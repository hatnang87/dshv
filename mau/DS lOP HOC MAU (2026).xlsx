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viagsvn.sharepoint.com/sites/ViagsUserData/TTDTVIAGS/0. TTDT MB/DANH SACH LOP HOC/NĂM 2026/2026 (MẪU)/"/>
    </mc:Choice>
  </mc:AlternateContent>
  <xr:revisionPtr revIDLastSave="972" documentId="8_{C30E1014-2C22-4452-9B94-4C5D1A569A83}" xr6:coauthVersionLast="47" xr6:coauthVersionMax="47" xr10:uidLastSave="{057BC90F-90E7-4ECE-ADD3-E3E597F2FAAE}"/>
  <bookViews>
    <workbookView xWindow="-120" yWindow="-120" windowWidth="29040" windowHeight="15720" tabRatio="879" firstSheet="22" activeTab="43" xr2:uid="{00000000-000D-0000-FFFF-FFFF00000000}"/>
  </bookViews>
  <sheets>
    <sheet name="Muc luc" sheetId="32" r:id="rId1"/>
    <sheet name="1" sheetId="60" r:id="rId2"/>
    <sheet name="2" sheetId="33" r:id="rId3"/>
    <sheet name="3" sheetId="3" r:id="rId4"/>
    <sheet name="4" sheetId="4" r:id="rId5"/>
    <sheet name="5" sheetId="5" r:id="rId6"/>
    <sheet name="6" sheetId="6" r:id="rId7"/>
    <sheet name="7" sheetId="7" r:id="rId8"/>
    <sheet name="8" sheetId="8" r:id="rId9"/>
    <sheet name="9" sheetId="9" r:id="rId10"/>
    <sheet name="10" sheetId="10" r:id="rId11"/>
    <sheet name="11" sheetId="11" r:id="rId12"/>
    <sheet name="12" sheetId="34" r:id="rId13"/>
    <sheet name="13" sheetId="35" r:id="rId14"/>
    <sheet name="14" sheetId="36" r:id="rId15"/>
    <sheet name="15" sheetId="37" r:id="rId16"/>
    <sheet name="16" sheetId="16" r:id="rId17"/>
    <sheet name="17" sheetId="17" r:id="rId18"/>
    <sheet name="18" sheetId="18" r:id="rId19"/>
    <sheet name="19" sheetId="19" r:id="rId20"/>
    <sheet name="20" sheetId="20" r:id="rId21"/>
    <sheet name="21" sheetId="21" r:id="rId22"/>
    <sheet name="22" sheetId="22" r:id="rId23"/>
    <sheet name="23" sheetId="79" r:id="rId24"/>
    <sheet name="24" sheetId="24" r:id="rId25"/>
    <sheet name="25" sheetId="25" r:id="rId26"/>
    <sheet name="26" sheetId="26" r:id="rId27"/>
    <sheet name="27" sheetId="27" r:id="rId28"/>
    <sheet name="28" sheetId="28" r:id="rId29"/>
    <sheet name="29" sheetId="29" r:id="rId30"/>
    <sheet name="30" sheetId="30" r:id="rId31"/>
    <sheet name="31" sheetId="39" r:id="rId32"/>
    <sheet name="32" sheetId="40" r:id="rId33"/>
    <sheet name="33" sheetId="41" r:id="rId34"/>
    <sheet name="34" sheetId="43" r:id="rId35"/>
    <sheet name="35" sheetId="44" r:id="rId36"/>
    <sheet name="36" sheetId="45" r:id="rId37"/>
    <sheet name="37" sheetId="46" r:id="rId38"/>
    <sheet name="38" sheetId="47" r:id="rId39"/>
    <sheet name="39" sheetId="48" r:id="rId40"/>
    <sheet name="40" sheetId="81" r:id="rId41"/>
    <sheet name="41" sheetId="61" r:id="rId42"/>
    <sheet name="42" sheetId="62" r:id="rId43"/>
    <sheet name="43" sheetId="63" r:id="rId44"/>
    <sheet name="44" sheetId="64" r:id="rId45"/>
    <sheet name="45" sheetId="65" r:id="rId46"/>
    <sheet name="46" sheetId="66" r:id="rId47"/>
    <sheet name="47" sheetId="67" r:id="rId48"/>
    <sheet name="48" sheetId="68" r:id="rId49"/>
    <sheet name="49" sheetId="69" r:id="rId50"/>
    <sheet name="50" sheetId="70" r:id="rId51"/>
    <sheet name="51" sheetId="71" r:id="rId52"/>
    <sheet name="52" sheetId="72" r:id="rId53"/>
    <sheet name="53" sheetId="80" r:id="rId54"/>
    <sheet name="54" sheetId="82" r:id="rId55"/>
    <sheet name="55" sheetId="83" r:id="rId56"/>
    <sheet name="56" sheetId="84" r:id="rId57"/>
    <sheet name="57" sheetId="85" r:id="rId58"/>
    <sheet name="58" sheetId="86" r:id="rId59"/>
    <sheet name="59" sheetId="87" r:id="rId60"/>
    <sheet name="60" sheetId="88" r:id="rId61"/>
    <sheet name="61" sheetId="89" r:id="rId62"/>
    <sheet name="62" sheetId="90" r:id="rId63"/>
    <sheet name="63" sheetId="91" r:id="rId64"/>
    <sheet name="64" sheetId="92" r:id="rId65"/>
    <sheet name="65" sheetId="93" r:id="rId66"/>
    <sheet name="66" sheetId="94" r:id="rId67"/>
    <sheet name="67" sheetId="95" r:id="rId68"/>
    <sheet name="68" sheetId="96" r:id="rId69"/>
    <sheet name="69" sheetId="97" r:id="rId70"/>
    <sheet name="70" sheetId="98" r:id="rId71"/>
    <sheet name="71" sheetId="99" r:id="rId72"/>
    <sheet name="72" sheetId="100" r:id="rId73"/>
    <sheet name="73" sheetId="101" r:id="rId74"/>
    <sheet name="74" sheetId="102" r:id="rId75"/>
    <sheet name="75" sheetId="103" r:id="rId76"/>
    <sheet name="76" sheetId="105" r:id="rId77"/>
    <sheet name="77" sheetId="106" r:id="rId78"/>
    <sheet name="78" sheetId="107" r:id="rId79"/>
    <sheet name="79" sheetId="108" r:id="rId80"/>
    <sheet name="80" sheetId="109" r:id="rId81"/>
  </sheets>
  <definedNames>
    <definedName name="_xlnm._FilterDatabase" localSheetId="0" hidden="1">'Muc luc'!$A$2:$E$55</definedName>
    <definedName name="Index">'Muc luc'!$A$1</definedName>
    <definedName name="_xlnm.Print_Titles" localSheetId="40">'40'!$12:$13</definedName>
    <definedName name="_xlnm.Print_Titles" localSheetId="49">'49'!$12:$13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7" l="1"/>
  <c r="B18" i="27"/>
  <c r="B19" i="27"/>
  <c r="B20" i="27"/>
  <c r="B21" i="27"/>
  <c r="B22" i="27"/>
  <c r="B23" i="27"/>
  <c r="B24" i="27"/>
  <c r="B25" i="27"/>
  <c r="B26" i="27"/>
  <c r="B27" i="27"/>
  <c r="K14" i="27" l="1"/>
  <c r="I14" i="27"/>
  <c r="H14" i="27"/>
  <c r="G14" i="27"/>
  <c r="B14" i="27"/>
  <c r="K31" i="8" l="1"/>
  <c r="I31" i="8"/>
  <c r="H31" i="8"/>
  <c r="B31" i="8"/>
  <c r="G31" i="8" s="1"/>
  <c r="K30" i="8"/>
  <c r="I30" i="8"/>
  <c r="H30" i="8"/>
  <c r="G30" i="8"/>
  <c r="B30" i="8"/>
  <c r="K20" i="16" l="1"/>
  <c r="I20" i="16"/>
  <c r="H20" i="16"/>
  <c r="B20" i="16"/>
  <c r="G20" i="16" s="1"/>
  <c r="K21" i="11"/>
  <c r="I21" i="11"/>
  <c r="H21" i="11"/>
  <c r="B21" i="11"/>
  <c r="G21" i="11" s="1"/>
  <c r="K33" i="44" l="1"/>
  <c r="I33" i="44"/>
  <c r="H33" i="44"/>
  <c r="B33" i="44"/>
  <c r="G33" i="44" s="1"/>
  <c r="K24" i="21"/>
  <c r="I24" i="21"/>
  <c r="H24" i="21"/>
  <c r="B24" i="21"/>
  <c r="G24" i="21" s="1"/>
  <c r="K21" i="21"/>
  <c r="I21" i="21"/>
  <c r="H21" i="21"/>
  <c r="B21" i="21"/>
  <c r="G21" i="21" s="1"/>
  <c r="K20" i="21"/>
  <c r="I20" i="21"/>
  <c r="H20" i="21"/>
  <c r="B20" i="21"/>
  <c r="G20" i="21" s="1"/>
  <c r="K19" i="21"/>
  <c r="I19" i="21"/>
  <c r="H19" i="21"/>
  <c r="B19" i="21"/>
  <c r="G19" i="21" s="1"/>
  <c r="K28" i="17" l="1"/>
  <c r="I28" i="17"/>
  <c r="H28" i="17"/>
  <c r="B28" i="17"/>
  <c r="G28" i="17" s="1"/>
  <c r="K23" i="27"/>
  <c r="I23" i="27"/>
  <c r="H23" i="27"/>
  <c r="G23" i="27"/>
  <c r="K22" i="27"/>
  <c r="I22" i="27"/>
  <c r="H22" i="27"/>
  <c r="G22" i="27"/>
  <c r="K21" i="27"/>
  <c r="I21" i="27"/>
  <c r="H21" i="27"/>
  <c r="G21" i="27"/>
  <c r="K28" i="10"/>
  <c r="K25" i="10"/>
  <c r="K22" i="37" l="1"/>
  <c r="I22" i="37"/>
  <c r="H22" i="37"/>
  <c r="B22" i="37"/>
  <c r="G22" i="37" s="1"/>
  <c r="K27" i="9" l="1"/>
  <c r="I27" i="9"/>
  <c r="H27" i="9"/>
  <c r="B27" i="9"/>
  <c r="G27" i="9" s="1"/>
  <c r="K15" i="6"/>
  <c r="I15" i="6"/>
  <c r="H15" i="6"/>
  <c r="B15" i="6"/>
  <c r="G15" i="6" s="1"/>
  <c r="K14" i="6"/>
  <c r="I14" i="6"/>
  <c r="H14" i="6"/>
  <c r="B14" i="6"/>
  <c r="G14" i="6" s="1"/>
  <c r="K28" i="9"/>
  <c r="I28" i="9"/>
  <c r="H28" i="9"/>
  <c r="B28" i="9"/>
  <c r="G28" i="9" s="1"/>
  <c r="K29" i="34"/>
  <c r="I29" i="34"/>
  <c r="H29" i="34"/>
  <c r="B29" i="34"/>
  <c r="G29" i="34" s="1"/>
  <c r="I28" i="10"/>
  <c r="H28" i="10"/>
  <c r="B28" i="10"/>
  <c r="G28" i="10" s="1"/>
  <c r="K26" i="27" l="1"/>
  <c r="I26" i="27"/>
  <c r="H26" i="27"/>
  <c r="G26" i="27"/>
  <c r="K27" i="10" l="1"/>
  <c r="I27" i="10"/>
  <c r="H27" i="10"/>
  <c r="B27" i="10"/>
  <c r="G27" i="10" s="1"/>
  <c r="K26" i="10"/>
  <c r="I26" i="10"/>
  <c r="H26" i="10"/>
  <c r="B26" i="10"/>
  <c r="G26" i="10" s="1"/>
  <c r="K31" i="7"/>
  <c r="I31" i="7"/>
  <c r="H31" i="7"/>
  <c r="B31" i="7"/>
  <c r="G31" i="7" s="1"/>
  <c r="K30" i="7"/>
  <c r="I30" i="7"/>
  <c r="H30" i="7"/>
  <c r="B30" i="7"/>
  <c r="G30" i="7" s="1"/>
  <c r="K23" i="4" l="1"/>
  <c r="I23" i="4"/>
  <c r="H23" i="4"/>
  <c r="B23" i="4"/>
  <c r="G23" i="4" s="1"/>
  <c r="B63" i="32" l="1"/>
  <c r="C63" i="32"/>
  <c r="D63" i="32"/>
  <c r="E63" i="32"/>
  <c r="B64" i="32"/>
  <c r="C64" i="32"/>
  <c r="D64" i="32"/>
  <c r="E64" i="32"/>
  <c r="B65" i="32"/>
  <c r="C65" i="32"/>
  <c r="D65" i="32"/>
  <c r="E65" i="32"/>
  <c r="B66" i="32"/>
  <c r="C66" i="32"/>
  <c r="D66" i="32"/>
  <c r="E66" i="32"/>
  <c r="B67" i="32"/>
  <c r="C67" i="32"/>
  <c r="D67" i="32"/>
  <c r="E67" i="32"/>
  <c r="B68" i="32"/>
  <c r="C68" i="32"/>
  <c r="D68" i="32"/>
  <c r="E68" i="32"/>
  <c r="B69" i="32"/>
  <c r="C69" i="32"/>
  <c r="D69" i="32"/>
  <c r="E69" i="32"/>
  <c r="B70" i="32"/>
  <c r="C70" i="32"/>
  <c r="D70" i="32"/>
  <c r="E70" i="32"/>
  <c r="B71" i="32"/>
  <c r="C71" i="32"/>
  <c r="D71" i="32"/>
  <c r="E71" i="32"/>
  <c r="B72" i="32"/>
  <c r="C72" i="32"/>
  <c r="D72" i="32"/>
  <c r="E72" i="32"/>
  <c r="B73" i="32"/>
  <c r="C73" i="32"/>
  <c r="D73" i="32"/>
  <c r="E73" i="32"/>
  <c r="B74" i="32"/>
  <c r="C74" i="32"/>
  <c r="D74" i="32"/>
  <c r="E74" i="32"/>
  <c r="B75" i="32"/>
  <c r="C75" i="32"/>
  <c r="D75" i="32"/>
  <c r="E75" i="32"/>
  <c r="B76" i="32"/>
  <c r="C76" i="32"/>
  <c r="D76" i="32"/>
  <c r="E76" i="32"/>
  <c r="B77" i="32"/>
  <c r="C77" i="32"/>
  <c r="D77" i="32"/>
  <c r="E77" i="32"/>
  <c r="B78" i="32"/>
  <c r="C78" i="32"/>
  <c r="D78" i="32"/>
  <c r="E78" i="32"/>
  <c r="B79" i="32"/>
  <c r="C79" i="32"/>
  <c r="D79" i="32"/>
  <c r="E79" i="32"/>
  <c r="B80" i="32"/>
  <c r="C80" i="32"/>
  <c r="D80" i="32"/>
  <c r="E80" i="32"/>
  <c r="B81" i="32"/>
  <c r="C81" i="32"/>
  <c r="D81" i="32"/>
  <c r="E81" i="32"/>
  <c r="B82" i="32"/>
  <c r="C82" i="32"/>
  <c r="D82" i="32"/>
  <c r="E82" i="32"/>
  <c r="K43" i="109"/>
  <c r="I43" i="109"/>
  <c r="H43" i="109"/>
  <c r="B43" i="109"/>
  <c r="G43" i="109" s="1"/>
  <c r="K42" i="109"/>
  <c r="I42" i="109"/>
  <c r="H42" i="109"/>
  <c r="B42" i="109"/>
  <c r="G42" i="109" s="1"/>
  <c r="K41" i="109"/>
  <c r="I41" i="109"/>
  <c r="H41" i="109"/>
  <c r="G41" i="109"/>
  <c r="B41" i="109"/>
  <c r="K40" i="109"/>
  <c r="I40" i="109"/>
  <c r="H40" i="109"/>
  <c r="B40" i="109"/>
  <c r="G40" i="109" s="1"/>
  <c r="K39" i="109"/>
  <c r="I39" i="109"/>
  <c r="H39" i="109"/>
  <c r="B39" i="109"/>
  <c r="G39" i="109" s="1"/>
  <c r="K38" i="109"/>
  <c r="I38" i="109"/>
  <c r="H38" i="109"/>
  <c r="B38" i="109"/>
  <c r="G38" i="109" s="1"/>
  <c r="K37" i="109"/>
  <c r="I37" i="109"/>
  <c r="H37" i="109"/>
  <c r="G37" i="109"/>
  <c r="B37" i="109"/>
  <c r="K36" i="109"/>
  <c r="I36" i="109"/>
  <c r="H36" i="109"/>
  <c r="G36" i="109"/>
  <c r="B36" i="109"/>
  <c r="K35" i="109"/>
  <c r="I35" i="109"/>
  <c r="H35" i="109"/>
  <c r="B35" i="109"/>
  <c r="G35" i="109" s="1"/>
  <c r="K34" i="109"/>
  <c r="I34" i="109"/>
  <c r="H34" i="109"/>
  <c r="B34" i="109"/>
  <c r="G34" i="109" s="1"/>
  <c r="K33" i="109"/>
  <c r="I33" i="109"/>
  <c r="H33" i="109"/>
  <c r="G33" i="109"/>
  <c r="B33" i="109"/>
  <c r="K32" i="109"/>
  <c r="I32" i="109"/>
  <c r="H32" i="109"/>
  <c r="B32" i="109"/>
  <c r="G32" i="109" s="1"/>
  <c r="K31" i="109"/>
  <c r="I31" i="109"/>
  <c r="H31" i="109"/>
  <c r="B31" i="109"/>
  <c r="G31" i="109" s="1"/>
  <c r="K30" i="109"/>
  <c r="I30" i="109"/>
  <c r="H30" i="109"/>
  <c r="B30" i="109"/>
  <c r="G30" i="109" s="1"/>
  <c r="K29" i="109"/>
  <c r="I29" i="109"/>
  <c r="H29" i="109"/>
  <c r="G29" i="109"/>
  <c r="B29" i="109"/>
  <c r="K28" i="109"/>
  <c r="I28" i="109"/>
  <c r="H28" i="109"/>
  <c r="G28" i="109"/>
  <c r="B28" i="109"/>
  <c r="K27" i="109"/>
  <c r="I27" i="109"/>
  <c r="H27" i="109"/>
  <c r="B27" i="109"/>
  <c r="G27" i="109" s="1"/>
  <c r="K26" i="109"/>
  <c r="I26" i="109"/>
  <c r="H26" i="109"/>
  <c r="B26" i="109"/>
  <c r="G26" i="109" s="1"/>
  <c r="K25" i="109"/>
  <c r="I25" i="109"/>
  <c r="H25" i="109"/>
  <c r="G25" i="109"/>
  <c r="B25" i="109"/>
  <c r="K24" i="109"/>
  <c r="I24" i="109"/>
  <c r="H24" i="109"/>
  <c r="B24" i="109"/>
  <c r="G24" i="109" s="1"/>
  <c r="K23" i="109"/>
  <c r="I23" i="109"/>
  <c r="H23" i="109"/>
  <c r="B23" i="109"/>
  <c r="G23" i="109" s="1"/>
  <c r="K22" i="109"/>
  <c r="I22" i="109"/>
  <c r="H22" i="109"/>
  <c r="B22" i="109"/>
  <c r="G22" i="109" s="1"/>
  <c r="K21" i="109"/>
  <c r="I21" i="109"/>
  <c r="H21" i="109"/>
  <c r="B21" i="109"/>
  <c r="G21" i="109" s="1"/>
  <c r="K20" i="109"/>
  <c r="I20" i="109"/>
  <c r="H20" i="109"/>
  <c r="G20" i="109"/>
  <c r="B20" i="109"/>
  <c r="K19" i="109"/>
  <c r="I19" i="109"/>
  <c r="H19" i="109"/>
  <c r="B19" i="109"/>
  <c r="G19" i="109" s="1"/>
  <c r="K18" i="109"/>
  <c r="I18" i="109"/>
  <c r="H18" i="109"/>
  <c r="B18" i="109"/>
  <c r="G18" i="109" s="1"/>
  <c r="K17" i="109"/>
  <c r="I17" i="109"/>
  <c r="H17" i="109"/>
  <c r="G17" i="109"/>
  <c r="B17" i="109"/>
  <c r="K16" i="109"/>
  <c r="I16" i="109"/>
  <c r="H16" i="109"/>
  <c r="B16" i="109"/>
  <c r="G16" i="109" s="1"/>
  <c r="K15" i="109"/>
  <c r="I15" i="109"/>
  <c r="H15" i="109"/>
  <c r="B15" i="109"/>
  <c r="G15" i="109" s="1"/>
  <c r="K14" i="109"/>
  <c r="I14" i="109"/>
  <c r="H14" i="109"/>
  <c r="B14" i="109"/>
  <c r="G14" i="109" s="1"/>
  <c r="K11" i="109"/>
  <c r="I10" i="109"/>
  <c r="G10" i="109"/>
  <c r="I9" i="109"/>
  <c r="L13" i="109" s="1"/>
  <c r="G9" i="109"/>
  <c r="G8" i="109"/>
  <c r="I7" i="109"/>
  <c r="K43" i="108"/>
  <c r="I43" i="108"/>
  <c r="H43" i="108"/>
  <c r="G43" i="108"/>
  <c r="B43" i="108"/>
  <c r="K42" i="108"/>
  <c r="I42" i="108"/>
  <c r="H42" i="108"/>
  <c r="B42" i="108"/>
  <c r="G42" i="108" s="1"/>
  <c r="K41" i="108"/>
  <c r="I41" i="108"/>
  <c r="H41" i="108"/>
  <c r="B41" i="108"/>
  <c r="G41" i="108" s="1"/>
  <c r="K40" i="108"/>
  <c r="I40" i="108"/>
  <c r="H40" i="108"/>
  <c r="B40" i="108"/>
  <c r="G40" i="108" s="1"/>
  <c r="K39" i="108"/>
  <c r="I39" i="108"/>
  <c r="H39" i="108"/>
  <c r="G39" i="108"/>
  <c r="B39" i="108"/>
  <c r="K38" i="108"/>
  <c r="I38" i="108"/>
  <c r="H38" i="108"/>
  <c r="G38" i="108"/>
  <c r="B38" i="108"/>
  <c r="K37" i="108"/>
  <c r="I37" i="108"/>
  <c r="H37" i="108"/>
  <c r="G37" i="108"/>
  <c r="B37" i="108"/>
  <c r="K36" i="108"/>
  <c r="I36" i="108"/>
  <c r="H36" i="108"/>
  <c r="B36" i="108"/>
  <c r="G36" i="108" s="1"/>
  <c r="K35" i="108"/>
  <c r="I35" i="108"/>
  <c r="H35" i="108"/>
  <c r="G35" i="108"/>
  <c r="B35" i="108"/>
  <c r="K34" i="108"/>
  <c r="I34" i="108"/>
  <c r="H34" i="108"/>
  <c r="B34" i="108"/>
  <c r="G34" i="108" s="1"/>
  <c r="K33" i="108"/>
  <c r="I33" i="108"/>
  <c r="H33" i="108"/>
  <c r="B33" i="108"/>
  <c r="G33" i="108" s="1"/>
  <c r="K32" i="108"/>
  <c r="I32" i="108"/>
  <c r="H32" i="108"/>
  <c r="B32" i="108"/>
  <c r="G32" i="108" s="1"/>
  <c r="K31" i="108"/>
  <c r="I31" i="108"/>
  <c r="H31" i="108"/>
  <c r="G31" i="108"/>
  <c r="B31" i="108"/>
  <c r="K30" i="108"/>
  <c r="I30" i="108"/>
  <c r="H30" i="108"/>
  <c r="G30" i="108"/>
  <c r="B30" i="108"/>
  <c r="K29" i="108"/>
  <c r="I29" i="108"/>
  <c r="H29" i="108"/>
  <c r="G29" i="108"/>
  <c r="B29" i="108"/>
  <c r="K28" i="108"/>
  <c r="I28" i="108"/>
  <c r="H28" i="108"/>
  <c r="B28" i="108"/>
  <c r="G28" i="108" s="1"/>
  <c r="K27" i="108"/>
  <c r="I27" i="108"/>
  <c r="H27" i="108"/>
  <c r="G27" i="108"/>
  <c r="B27" i="108"/>
  <c r="K26" i="108"/>
  <c r="I26" i="108"/>
  <c r="H26" i="108"/>
  <c r="B26" i="108"/>
  <c r="G26" i="108" s="1"/>
  <c r="K25" i="108"/>
  <c r="I25" i="108"/>
  <c r="H25" i="108"/>
  <c r="B25" i="108"/>
  <c r="G25" i="108" s="1"/>
  <c r="K24" i="108"/>
  <c r="I24" i="108"/>
  <c r="H24" i="108"/>
  <c r="B24" i="108"/>
  <c r="G24" i="108" s="1"/>
  <c r="K23" i="108"/>
  <c r="I23" i="108"/>
  <c r="H23" i="108"/>
  <c r="G23" i="108"/>
  <c r="B23" i="108"/>
  <c r="K22" i="108"/>
  <c r="I22" i="108"/>
  <c r="H22" i="108"/>
  <c r="B22" i="108"/>
  <c r="G22" i="108" s="1"/>
  <c r="K21" i="108"/>
  <c r="I21" i="108"/>
  <c r="H21" i="108"/>
  <c r="G21" i="108"/>
  <c r="B21" i="108"/>
  <c r="K20" i="108"/>
  <c r="I20" i="108"/>
  <c r="H20" i="108"/>
  <c r="B20" i="108"/>
  <c r="G20" i="108" s="1"/>
  <c r="K19" i="108"/>
  <c r="I19" i="108"/>
  <c r="H19" i="108"/>
  <c r="G19" i="108"/>
  <c r="B19" i="108"/>
  <c r="K18" i="108"/>
  <c r="I18" i="108"/>
  <c r="H18" i="108"/>
  <c r="B18" i="108"/>
  <c r="G18" i="108" s="1"/>
  <c r="K17" i="108"/>
  <c r="I17" i="108"/>
  <c r="H17" i="108"/>
  <c r="G17" i="108"/>
  <c r="B17" i="108"/>
  <c r="K16" i="108"/>
  <c r="I16" i="108"/>
  <c r="H16" i="108"/>
  <c r="B16" i="108"/>
  <c r="G16" i="108" s="1"/>
  <c r="K15" i="108"/>
  <c r="I15" i="108"/>
  <c r="H15" i="108"/>
  <c r="G15" i="108"/>
  <c r="B15" i="108"/>
  <c r="K14" i="108"/>
  <c r="I14" i="108"/>
  <c r="H14" i="108"/>
  <c r="B14" i="108"/>
  <c r="G14" i="108" s="1"/>
  <c r="K11" i="108"/>
  <c r="I10" i="108"/>
  <c r="G10" i="108"/>
  <c r="I9" i="108"/>
  <c r="L13" i="108" s="1"/>
  <c r="G9" i="108"/>
  <c r="G8" i="108"/>
  <c r="I7" i="108"/>
  <c r="K43" i="107"/>
  <c r="I43" i="107"/>
  <c r="H43" i="107"/>
  <c r="B43" i="107"/>
  <c r="G43" i="107" s="1"/>
  <c r="K42" i="107"/>
  <c r="I42" i="107"/>
  <c r="H42" i="107"/>
  <c r="B42" i="107"/>
  <c r="G42" i="107" s="1"/>
  <c r="K41" i="107"/>
  <c r="I41" i="107"/>
  <c r="H41" i="107"/>
  <c r="G41" i="107"/>
  <c r="B41" i="107"/>
  <c r="K40" i="107"/>
  <c r="I40" i="107"/>
  <c r="H40" i="107"/>
  <c r="G40" i="107"/>
  <c r="B40" i="107"/>
  <c r="K39" i="107"/>
  <c r="I39" i="107"/>
  <c r="H39" i="107"/>
  <c r="G39" i="107"/>
  <c r="B39" i="107"/>
  <c r="K38" i="107"/>
  <c r="I38" i="107"/>
  <c r="H38" i="107"/>
  <c r="B38" i="107"/>
  <c r="G38" i="107" s="1"/>
  <c r="K37" i="107"/>
  <c r="I37" i="107"/>
  <c r="H37" i="107"/>
  <c r="G37" i="107"/>
  <c r="B37" i="107"/>
  <c r="K36" i="107"/>
  <c r="I36" i="107"/>
  <c r="H36" i="107"/>
  <c r="B36" i="107"/>
  <c r="G36" i="107" s="1"/>
  <c r="K35" i="107"/>
  <c r="I35" i="107"/>
  <c r="H35" i="107"/>
  <c r="B35" i="107"/>
  <c r="G35" i="107" s="1"/>
  <c r="K34" i="107"/>
  <c r="I34" i="107"/>
  <c r="H34" i="107"/>
  <c r="B34" i="107"/>
  <c r="G34" i="107" s="1"/>
  <c r="K33" i="107"/>
  <c r="I33" i="107"/>
  <c r="H33" i="107"/>
  <c r="G33" i="107"/>
  <c r="B33" i="107"/>
  <c r="K32" i="107"/>
  <c r="I32" i="107"/>
  <c r="H32" i="107"/>
  <c r="G32" i="107"/>
  <c r="B32" i="107"/>
  <c r="K31" i="107"/>
  <c r="I31" i="107"/>
  <c r="H31" i="107"/>
  <c r="G31" i="107"/>
  <c r="B31" i="107"/>
  <c r="K30" i="107"/>
  <c r="I30" i="107"/>
  <c r="H30" i="107"/>
  <c r="B30" i="107"/>
  <c r="G30" i="107" s="1"/>
  <c r="K29" i="107"/>
  <c r="I29" i="107"/>
  <c r="H29" i="107"/>
  <c r="G29" i="107"/>
  <c r="B29" i="107"/>
  <c r="K28" i="107"/>
  <c r="I28" i="107"/>
  <c r="H28" i="107"/>
  <c r="B28" i="107"/>
  <c r="G28" i="107" s="1"/>
  <c r="K27" i="107"/>
  <c r="I27" i="107"/>
  <c r="H27" i="107"/>
  <c r="B27" i="107"/>
  <c r="G27" i="107" s="1"/>
  <c r="K26" i="107"/>
  <c r="I26" i="107"/>
  <c r="H26" i="107"/>
  <c r="B26" i="107"/>
  <c r="G26" i="107" s="1"/>
  <c r="K25" i="107"/>
  <c r="I25" i="107"/>
  <c r="H25" i="107"/>
  <c r="G25" i="107"/>
  <c r="B25" i="107"/>
  <c r="K24" i="107"/>
  <c r="I24" i="107"/>
  <c r="H24" i="107"/>
  <c r="G24" i="107"/>
  <c r="B24" i="107"/>
  <c r="K23" i="107"/>
  <c r="I23" i="107"/>
  <c r="H23" i="107"/>
  <c r="G23" i="107"/>
  <c r="B23" i="107"/>
  <c r="K22" i="107"/>
  <c r="I22" i="107"/>
  <c r="H22" i="107"/>
  <c r="B22" i="107"/>
  <c r="G22" i="107" s="1"/>
  <c r="K21" i="107"/>
  <c r="I21" i="107"/>
  <c r="H21" i="107"/>
  <c r="G21" i="107"/>
  <c r="B21" i="107"/>
  <c r="K20" i="107"/>
  <c r="I20" i="107"/>
  <c r="H20" i="107"/>
  <c r="B20" i="107"/>
  <c r="G20" i="107" s="1"/>
  <c r="K19" i="107"/>
  <c r="I19" i="107"/>
  <c r="H19" i="107"/>
  <c r="B19" i="107"/>
  <c r="G19" i="107" s="1"/>
  <c r="K18" i="107"/>
  <c r="I18" i="107"/>
  <c r="H18" i="107"/>
  <c r="B18" i="107"/>
  <c r="G18" i="107" s="1"/>
  <c r="K17" i="107"/>
  <c r="I17" i="107"/>
  <c r="H17" i="107"/>
  <c r="G17" i="107"/>
  <c r="B17" i="107"/>
  <c r="K16" i="107"/>
  <c r="I16" i="107"/>
  <c r="H16" i="107"/>
  <c r="G16" i="107"/>
  <c r="B16" i="107"/>
  <c r="K15" i="107"/>
  <c r="I15" i="107"/>
  <c r="H15" i="107"/>
  <c r="G15" i="107"/>
  <c r="B15" i="107"/>
  <c r="K14" i="107"/>
  <c r="I14" i="107"/>
  <c r="H14" i="107"/>
  <c r="B14" i="107"/>
  <c r="G14" i="107" s="1"/>
  <c r="K11" i="107"/>
  <c r="I10" i="107"/>
  <c r="G10" i="107"/>
  <c r="I9" i="107"/>
  <c r="L13" i="107" s="1"/>
  <c r="G9" i="107"/>
  <c r="G8" i="107"/>
  <c r="I7" i="107"/>
  <c r="K43" i="106"/>
  <c r="I43" i="106"/>
  <c r="H43" i="106"/>
  <c r="B43" i="106"/>
  <c r="G43" i="106" s="1"/>
  <c r="K42" i="106"/>
  <c r="I42" i="106"/>
  <c r="H42" i="106"/>
  <c r="B42" i="106"/>
  <c r="G42" i="106" s="1"/>
  <c r="K41" i="106"/>
  <c r="I41" i="106"/>
  <c r="H41" i="106"/>
  <c r="G41" i="106"/>
  <c r="B41" i="106"/>
  <c r="K40" i="106"/>
  <c r="I40" i="106"/>
  <c r="H40" i="106"/>
  <c r="G40" i="106"/>
  <c r="B40" i="106"/>
  <c r="K39" i="106"/>
  <c r="I39" i="106"/>
  <c r="H39" i="106"/>
  <c r="G39" i="106"/>
  <c r="B39" i="106"/>
  <c r="K38" i="106"/>
  <c r="I38" i="106"/>
  <c r="H38" i="106"/>
  <c r="B38" i="106"/>
  <c r="G38" i="106" s="1"/>
  <c r="K37" i="106"/>
  <c r="I37" i="106"/>
  <c r="H37" i="106"/>
  <c r="G37" i="106"/>
  <c r="B37" i="106"/>
  <c r="K36" i="106"/>
  <c r="I36" i="106"/>
  <c r="H36" i="106"/>
  <c r="B36" i="106"/>
  <c r="G36" i="106" s="1"/>
  <c r="K35" i="106"/>
  <c r="I35" i="106"/>
  <c r="H35" i="106"/>
  <c r="G35" i="106"/>
  <c r="B35" i="106"/>
  <c r="K34" i="106"/>
  <c r="I34" i="106"/>
  <c r="H34" i="106"/>
  <c r="G34" i="106"/>
  <c r="B34" i="106"/>
  <c r="K33" i="106"/>
  <c r="I33" i="106"/>
  <c r="H33" i="106"/>
  <c r="G33" i="106"/>
  <c r="B33" i="106"/>
  <c r="K32" i="106"/>
  <c r="I32" i="106"/>
  <c r="H32" i="106"/>
  <c r="G32" i="106"/>
  <c r="B32" i="106"/>
  <c r="K31" i="106"/>
  <c r="I31" i="106"/>
  <c r="H31" i="106"/>
  <c r="G31" i="106"/>
  <c r="B31" i="106"/>
  <c r="K30" i="106"/>
  <c r="I30" i="106"/>
  <c r="H30" i="106"/>
  <c r="B30" i="106"/>
  <c r="G30" i="106" s="1"/>
  <c r="K29" i="106"/>
  <c r="I29" i="106"/>
  <c r="H29" i="106"/>
  <c r="G29" i="106"/>
  <c r="B29" i="106"/>
  <c r="K28" i="106"/>
  <c r="I28" i="106"/>
  <c r="H28" i="106"/>
  <c r="B28" i="106"/>
  <c r="G28" i="106" s="1"/>
  <c r="K27" i="106"/>
  <c r="I27" i="106"/>
  <c r="H27" i="106"/>
  <c r="G27" i="106"/>
  <c r="B27" i="106"/>
  <c r="K26" i="106"/>
  <c r="I26" i="106"/>
  <c r="H26" i="106"/>
  <c r="G26" i="106"/>
  <c r="B26" i="106"/>
  <c r="K25" i="106"/>
  <c r="I25" i="106"/>
  <c r="H25" i="106"/>
  <c r="G25" i="106"/>
  <c r="B25" i="106"/>
  <c r="K24" i="106"/>
  <c r="I24" i="106"/>
  <c r="H24" i="106"/>
  <c r="G24" i="106"/>
  <c r="B24" i="106"/>
  <c r="K23" i="106"/>
  <c r="I23" i="106"/>
  <c r="H23" i="106"/>
  <c r="G23" i="106"/>
  <c r="B23" i="106"/>
  <c r="K22" i="106"/>
  <c r="I22" i="106"/>
  <c r="H22" i="106"/>
  <c r="B22" i="106"/>
  <c r="G22" i="106" s="1"/>
  <c r="K21" i="106"/>
  <c r="I21" i="106"/>
  <c r="H21" i="106"/>
  <c r="G21" i="106"/>
  <c r="B21" i="106"/>
  <c r="K20" i="106"/>
  <c r="I20" i="106"/>
  <c r="H20" i="106"/>
  <c r="B20" i="106"/>
  <c r="G20" i="106" s="1"/>
  <c r="K19" i="106"/>
  <c r="I19" i="106"/>
  <c r="H19" i="106"/>
  <c r="G19" i="106"/>
  <c r="B19" i="106"/>
  <c r="K18" i="106"/>
  <c r="I18" i="106"/>
  <c r="H18" i="106"/>
  <c r="G18" i="106"/>
  <c r="B18" i="106"/>
  <c r="K17" i="106"/>
  <c r="I17" i="106"/>
  <c r="H17" i="106"/>
  <c r="G17" i="106"/>
  <c r="B17" i="106"/>
  <c r="K16" i="106"/>
  <c r="I16" i="106"/>
  <c r="H16" i="106"/>
  <c r="G16" i="106"/>
  <c r="B16" i="106"/>
  <c r="K15" i="106"/>
  <c r="I15" i="106"/>
  <c r="H15" i="106"/>
  <c r="G15" i="106"/>
  <c r="B15" i="106"/>
  <c r="K14" i="106"/>
  <c r="I14" i="106"/>
  <c r="H14" i="106"/>
  <c r="B14" i="106"/>
  <c r="G14" i="106" s="1"/>
  <c r="K11" i="106"/>
  <c r="I10" i="106"/>
  <c r="G10" i="106"/>
  <c r="I9" i="106"/>
  <c r="L13" i="106" s="1"/>
  <c r="G9" i="106"/>
  <c r="G8" i="106"/>
  <c r="I7" i="106"/>
  <c r="K43" i="105"/>
  <c r="I43" i="105"/>
  <c r="H43" i="105"/>
  <c r="B43" i="105"/>
  <c r="G43" i="105" s="1"/>
  <c r="K42" i="105"/>
  <c r="I42" i="105"/>
  <c r="H42" i="105"/>
  <c r="G42" i="105"/>
  <c r="B42" i="105"/>
  <c r="K41" i="105"/>
  <c r="I41" i="105"/>
  <c r="H41" i="105"/>
  <c r="G41" i="105"/>
  <c r="B41" i="105"/>
  <c r="K40" i="105"/>
  <c r="I40" i="105"/>
  <c r="H40" i="105"/>
  <c r="B40" i="105"/>
  <c r="G40" i="105" s="1"/>
  <c r="K39" i="105"/>
  <c r="I39" i="105"/>
  <c r="H39" i="105"/>
  <c r="G39" i="105"/>
  <c r="B39" i="105"/>
  <c r="K38" i="105"/>
  <c r="I38" i="105"/>
  <c r="H38" i="105"/>
  <c r="B38" i="105"/>
  <c r="G38" i="105" s="1"/>
  <c r="K37" i="105"/>
  <c r="I37" i="105"/>
  <c r="H37" i="105"/>
  <c r="G37" i="105"/>
  <c r="B37" i="105"/>
  <c r="K36" i="105"/>
  <c r="I36" i="105"/>
  <c r="H36" i="105"/>
  <c r="B36" i="105"/>
  <c r="G36" i="105" s="1"/>
  <c r="K35" i="105"/>
  <c r="I35" i="105"/>
  <c r="H35" i="105"/>
  <c r="B35" i="105"/>
  <c r="G35" i="105" s="1"/>
  <c r="K34" i="105"/>
  <c r="I34" i="105"/>
  <c r="H34" i="105"/>
  <c r="G34" i="105"/>
  <c r="B34" i="105"/>
  <c r="K33" i="105"/>
  <c r="I33" i="105"/>
  <c r="H33" i="105"/>
  <c r="G33" i="105"/>
  <c r="B33" i="105"/>
  <c r="K32" i="105"/>
  <c r="I32" i="105"/>
  <c r="H32" i="105"/>
  <c r="B32" i="105"/>
  <c r="G32" i="105" s="1"/>
  <c r="K31" i="105"/>
  <c r="I31" i="105"/>
  <c r="H31" i="105"/>
  <c r="G31" i="105"/>
  <c r="B31" i="105"/>
  <c r="K30" i="105"/>
  <c r="I30" i="105"/>
  <c r="H30" i="105"/>
  <c r="B30" i="105"/>
  <c r="G30" i="105" s="1"/>
  <c r="K29" i="105"/>
  <c r="I29" i="105"/>
  <c r="H29" i="105"/>
  <c r="G29" i="105"/>
  <c r="B29" i="105"/>
  <c r="K28" i="105"/>
  <c r="I28" i="105"/>
  <c r="H28" i="105"/>
  <c r="B28" i="105"/>
  <c r="G28" i="105" s="1"/>
  <c r="K27" i="105"/>
  <c r="I27" i="105"/>
  <c r="H27" i="105"/>
  <c r="B27" i="105"/>
  <c r="G27" i="105" s="1"/>
  <c r="K26" i="105"/>
  <c r="I26" i="105"/>
  <c r="H26" i="105"/>
  <c r="G26" i="105"/>
  <c r="B26" i="105"/>
  <c r="K25" i="105"/>
  <c r="I25" i="105"/>
  <c r="H25" i="105"/>
  <c r="G25" i="105"/>
  <c r="B25" i="105"/>
  <c r="K24" i="105"/>
  <c r="I24" i="105"/>
  <c r="H24" i="105"/>
  <c r="B24" i="105"/>
  <c r="G24" i="105" s="1"/>
  <c r="K23" i="105"/>
  <c r="I23" i="105"/>
  <c r="H23" i="105"/>
  <c r="G23" i="105"/>
  <c r="B23" i="105"/>
  <c r="K22" i="105"/>
  <c r="I22" i="105"/>
  <c r="H22" i="105"/>
  <c r="B22" i="105"/>
  <c r="G22" i="105" s="1"/>
  <c r="K21" i="105"/>
  <c r="I21" i="105"/>
  <c r="H21" i="105"/>
  <c r="G21" i="105"/>
  <c r="B21" i="105"/>
  <c r="K20" i="105"/>
  <c r="I20" i="105"/>
  <c r="H20" i="105"/>
  <c r="B20" i="105"/>
  <c r="G20" i="105" s="1"/>
  <c r="K19" i="105"/>
  <c r="I19" i="105"/>
  <c r="H19" i="105"/>
  <c r="B19" i="105"/>
  <c r="G19" i="105" s="1"/>
  <c r="K18" i="105"/>
  <c r="I18" i="105"/>
  <c r="H18" i="105"/>
  <c r="G18" i="105"/>
  <c r="B18" i="105"/>
  <c r="K17" i="105"/>
  <c r="I17" i="105"/>
  <c r="H17" i="105"/>
  <c r="G17" i="105"/>
  <c r="B17" i="105"/>
  <c r="K16" i="105"/>
  <c r="I16" i="105"/>
  <c r="H16" i="105"/>
  <c r="B16" i="105"/>
  <c r="G16" i="105" s="1"/>
  <c r="K15" i="105"/>
  <c r="I15" i="105"/>
  <c r="H15" i="105"/>
  <c r="G15" i="105"/>
  <c r="B15" i="105"/>
  <c r="K14" i="105"/>
  <c r="I14" i="105"/>
  <c r="H14" i="105"/>
  <c r="B14" i="105"/>
  <c r="G14" i="105" s="1"/>
  <c r="K11" i="105"/>
  <c r="I10" i="105"/>
  <c r="G10" i="105"/>
  <c r="I9" i="105"/>
  <c r="L13" i="105" s="1"/>
  <c r="G9" i="105"/>
  <c r="G8" i="105"/>
  <c r="I7" i="105"/>
  <c r="K43" i="103"/>
  <c r="I43" i="103"/>
  <c r="H43" i="103"/>
  <c r="B43" i="103"/>
  <c r="G43" i="103" s="1"/>
  <c r="K42" i="103"/>
  <c r="I42" i="103"/>
  <c r="H42" i="103"/>
  <c r="B42" i="103"/>
  <c r="G42" i="103" s="1"/>
  <c r="K41" i="103"/>
  <c r="I41" i="103"/>
  <c r="H41" i="103"/>
  <c r="G41" i="103"/>
  <c r="B41" i="103"/>
  <c r="K40" i="103"/>
  <c r="I40" i="103"/>
  <c r="H40" i="103"/>
  <c r="G40" i="103"/>
  <c r="B40" i="103"/>
  <c r="K39" i="103"/>
  <c r="I39" i="103"/>
  <c r="H39" i="103"/>
  <c r="G39" i="103"/>
  <c r="B39" i="103"/>
  <c r="K38" i="103"/>
  <c r="I38" i="103"/>
  <c r="H38" i="103"/>
  <c r="B38" i="103"/>
  <c r="G38" i="103" s="1"/>
  <c r="K37" i="103"/>
  <c r="I37" i="103"/>
  <c r="H37" i="103"/>
  <c r="G37" i="103"/>
  <c r="B37" i="103"/>
  <c r="K36" i="103"/>
  <c r="I36" i="103"/>
  <c r="H36" i="103"/>
  <c r="B36" i="103"/>
  <c r="G36" i="103" s="1"/>
  <c r="K35" i="103"/>
  <c r="I35" i="103"/>
  <c r="H35" i="103"/>
  <c r="B35" i="103"/>
  <c r="G35" i="103" s="1"/>
  <c r="K34" i="103"/>
  <c r="I34" i="103"/>
  <c r="H34" i="103"/>
  <c r="B34" i="103"/>
  <c r="G34" i="103" s="1"/>
  <c r="K33" i="103"/>
  <c r="I33" i="103"/>
  <c r="H33" i="103"/>
  <c r="G33" i="103"/>
  <c r="B33" i="103"/>
  <c r="K32" i="103"/>
  <c r="I32" i="103"/>
  <c r="H32" i="103"/>
  <c r="G32" i="103"/>
  <c r="B32" i="103"/>
  <c r="K31" i="103"/>
  <c r="I31" i="103"/>
  <c r="H31" i="103"/>
  <c r="G31" i="103"/>
  <c r="B31" i="103"/>
  <c r="K30" i="103"/>
  <c r="I30" i="103"/>
  <c r="H30" i="103"/>
  <c r="B30" i="103"/>
  <c r="G30" i="103" s="1"/>
  <c r="K29" i="103"/>
  <c r="I29" i="103"/>
  <c r="H29" i="103"/>
  <c r="G29" i="103"/>
  <c r="B29" i="103"/>
  <c r="K28" i="103"/>
  <c r="I28" i="103"/>
  <c r="H28" i="103"/>
  <c r="B28" i="103"/>
  <c r="G28" i="103" s="1"/>
  <c r="K27" i="103"/>
  <c r="I27" i="103"/>
  <c r="H27" i="103"/>
  <c r="G27" i="103"/>
  <c r="B27" i="103"/>
  <c r="K26" i="103"/>
  <c r="I26" i="103"/>
  <c r="H26" i="103"/>
  <c r="B26" i="103"/>
  <c r="G26" i="103" s="1"/>
  <c r="K25" i="103"/>
  <c r="I25" i="103"/>
  <c r="H25" i="103"/>
  <c r="G25" i="103"/>
  <c r="B25" i="103"/>
  <c r="K24" i="103"/>
  <c r="I24" i="103"/>
  <c r="H24" i="103"/>
  <c r="G24" i="103"/>
  <c r="B24" i="103"/>
  <c r="K23" i="103"/>
  <c r="I23" i="103"/>
  <c r="H23" i="103"/>
  <c r="G23" i="103"/>
  <c r="B23" i="103"/>
  <c r="K22" i="103"/>
  <c r="I22" i="103"/>
  <c r="H22" i="103"/>
  <c r="B22" i="103"/>
  <c r="G22" i="103" s="1"/>
  <c r="K21" i="103"/>
  <c r="I21" i="103"/>
  <c r="H21" i="103"/>
  <c r="G21" i="103"/>
  <c r="B21" i="103"/>
  <c r="K20" i="103"/>
  <c r="I20" i="103"/>
  <c r="H20" i="103"/>
  <c r="B20" i="103"/>
  <c r="G20" i="103" s="1"/>
  <c r="K19" i="103"/>
  <c r="I19" i="103"/>
  <c r="H19" i="103"/>
  <c r="G19" i="103"/>
  <c r="B19" i="103"/>
  <c r="K18" i="103"/>
  <c r="I18" i="103"/>
  <c r="H18" i="103"/>
  <c r="B18" i="103"/>
  <c r="G18" i="103" s="1"/>
  <c r="K17" i="103"/>
  <c r="I17" i="103"/>
  <c r="H17" i="103"/>
  <c r="G17" i="103"/>
  <c r="B17" i="103"/>
  <c r="K16" i="103"/>
  <c r="I16" i="103"/>
  <c r="H16" i="103"/>
  <c r="G16" i="103"/>
  <c r="B16" i="103"/>
  <c r="K15" i="103"/>
  <c r="I15" i="103"/>
  <c r="H15" i="103"/>
  <c r="G15" i="103"/>
  <c r="B15" i="103"/>
  <c r="K14" i="103"/>
  <c r="I14" i="103"/>
  <c r="H14" i="103"/>
  <c r="B14" i="103"/>
  <c r="G14" i="103" s="1"/>
  <c r="K11" i="103"/>
  <c r="I10" i="103"/>
  <c r="G10" i="103"/>
  <c r="I9" i="103"/>
  <c r="L13" i="103" s="1"/>
  <c r="G9" i="103"/>
  <c r="G8" i="103"/>
  <c r="I7" i="103"/>
  <c r="K43" i="102"/>
  <c r="I43" i="102"/>
  <c r="H43" i="102"/>
  <c r="G43" i="102"/>
  <c r="B43" i="102"/>
  <c r="K42" i="102"/>
  <c r="I42" i="102"/>
  <c r="H42" i="102"/>
  <c r="B42" i="102"/>
  <c r="G42" i="102" s="1"/>
  <c r="K41" i="102"/>
  <c r="I41" i="102"/>
  <c r="H41" i="102"/>
  <c r="B41" i="102"/>
  <c r="G41" i="102" s="1"/>
  <c r="K40" i="102"/>
  <c r="I40" i="102"/>
  <c r="H40" i="102"/>
  <c r="B40" i="102"/>
  <c r="G40" i="102" s="1"/>
  <c r="K39" i="102"/>
  <c r="I39" i="102"/>
  <c r="H39" i="102"/>
  <c r="G39" i="102"/>
  <c r="B39" i="102"/>
  <c r="K38" i="102"/>
  <c r="I38" i="102"/>
  <c r="H38" i="102"/>
  <c r="B38" i="102"/>
  <c r="G38" i="102" s="1"/>
  <c r="K37" i="102"/>
  <c r="I37" i="102"/>
  <c r="H37" i="102"/>
  <c r="G37" i="102"/>
  <c r="B37" i="102"/>
  <c r="K36" i="102"/>
  <c r="I36" i="102"/>
  <c r="H36" i="102"/>
  <c r="B36" i="102"/>
  <c r="G36" i="102" s="1"/>
  <c r="K35" i="102"/>
  <c r="I35" i="102"/>
  <c r="H35" i="102"/>
  <c r="G35" i="102"/>
  <c r="B35" i="102"/>
  <c r="K34" i="102"/>
  <c r="I34" i="102"/>
  <c r="H34" i="102"/>
  <c r="B34" i="102"/>
  <c r="G34" i="102" s="1"/>
  <c r="K33" i="102"/>
  <c r="I33" i="102"/>
  <c r="H33" i="102"/>
  <c r="B33" i="102"/>
  <c r="G33" i="102" s="1"/>
  <c r="K32" i="102"/>
  <c r="I32" i="102"/>
  <c r="H32" i="102"/>
  <c r="B32" i="102"/>
  <c r="G32" i="102" s="1"/>
  <c r="K31" i="102"/>
  <c r="I31" i="102"/>
  <c r="H31" i="102"/>
  <c r="G31" i="102"/>
  <c r="B31" i="102"/>
  <c r="K30" i="102"/>
  <c r="I30" i="102"/>
  <c r="H30" i="102"/>
  <c r="B30" i="102"/>
  <c r="G30" i="102" s="1"/>
  <c r="K29" i="102"/>
  <c r="I29" i="102"/>
  <c r="H29" i="102"/>
  <c r="G29" i="102"/>
  <c r="B29" i="102"/>
  <c r="K28" i="102"/>
  <c r="I28" i="102"/>
  <c r="H28" i="102"/>
  <c r="B28" i="102"/>
  <c r="G28" i="102" s="1"/>
  <c r="K27" i="102"/>
  <c r="I27" i="102"/>
  <c r="H27" i="102"/>
  <c r="G27" i="102"/>
  <c r="B27" i="102"/>
  <c r="K26" i="102"/>
  <c r="I26" i="102"/>
  <c r="H26" i="102"/>
  <c r="B26" i="102"/>
  <c r="G26" i="102" s="1"/>
  <c r="K25" i="102"/>
  <c r="I25" i="102"/>
  <c r="H25" i="102"/>
  <c r="B25" i="102"/>
  <c r="G25" i="102" s="1"/>
  <c r="K24" i="102"/>
  <c r="I24" i="102"/>
  <c r="H24" i="102"/>
  <c r="B24" i="102"/>
  <c r="G24" i="102" s="1"/>
  <c r="K23" i="102"/>
  <c r="I23" i="102"/>
  <c r="H23" i="102"/>
  <c r="G23" i="102"/>
  <c r="B23" i="102"/>
  <c r="K22" i="102"/>
  <c r="I22" i="102"/>
  <c r="H22" i="102"/>
  <c r="B22" i="102"/>
  <c r="G22" i="102" s="1"/>
  <c r="K21" i="102"/>
  <c r="I21" i="102"/>
  <c r="H21" i="102"/>
  <c r="B21" i="102"/>
  <c r="G21" i="102" s="1"/>
  <c r="K20" i="102"/>
  <c r="I20" i="102"/>
  <c r="H20" i="102"/>
  <c r="B20" i="102"/>
  <c r="G20" i="102" s="1"/>
  <c r="K19" i="102"/>
  <c r="I19" i="102"/>
  <c r="H19" i="102"/>
  <c r="G19" i="102"/>
  <c r="B19" i="102"/>
  <c r="K18" i="102"/>
  <c r="I18" i="102"/>
  <c r="H18" i="102"/>
  <c r="B18" i="102"/>
  <c r="G18" i="102" s="1"/>
  <c r="K17" i="102"/>
  <c r="I17" i="102"/>
  <c r="H17" i="102"/>
  <c r="B17" i="102"/>
  <c r="G17" i="102" s="1"/>
  <c r="K16" i="102"/>
  <c r="I16" i="102"/>
  <c r="H16" i="102"/>
  <c r="B16" i="102"/>
  <c r="G16" i="102" s="1"/>
  <c r="K15" i="102"/>
  <c r="I15" i="102"/>
  <c r="H15" i="102"/>
  <c r="G15" i="102"/>
  <c r="B15" i="102"/>
  <c r="K14" i="102"/>
  <c r="I14" i="102"/>
  <c r="H14" i="102"/>
  <c r="B14" i="102"/>
  <c r="G14" i="102" s="1"/>
  <c r="L13" i="102"/>
  <c r="K11" i="102"/>
  <c r="I10" i="102"/>
  <c r="G10" i="102"/>
  <c r="I9" i="102"/>
  <c r="G9" i="102"/>
  <c r="G8" i="102"/>
  <c r="I7" i="102"/>
  <c r="K43" i="101"/>
  <c r="I43" i="101"/>
  <c r="H43" i="101"/>
  <c r="B43" i="101"/>
  <c r="G43" i="101" s="1"/>
  <c r="K42" i="101"/>
  <c r="I42" i="101"/>
  <c r="H42" i="101"/>
  <c r="B42" i="101"/>
  <c r="G42" i="101" s="1"/>
  <c r="K41" i="101"/>
  <c r="I41" i="101"/>
  <c r="H41" i="101"/>
  <c r="G41" i="101"/>
  <c r="B41" i="101"/>
  <c r="K40" i="101"/>
  <c r="I40" i="101"/>
  <c r="H40" i="101"/>
  <c r="G40" i="101"/>
  <c r="B40" i="101"/>
  <c r="K39" i="101"/>
  <c r="I39" i="101"/>
  <c r="H39" i="101"/>
  <c r="G39" i="101"/>
  <c r="B39" i="101"/>
  <c r="K38" i="101"/>
  <c r="I38" i="101"/>
  <c r="H38" i="101"/>
  <c r="B38" i="101"/>
  <c r="G38" i="101" s="1"/>
  <c r="K37" i="101"/>
  <c r="I37" i="101"/>
  <c r="H37" i="101"/>
  <c r="G37" i="101"/>
  <c r="B37" i="101"/>
  <c r="K36" i="101"/>
  <c r="I36" i="101"/>
  <c r="H36" i="101"/>
  <c r="B36" i="101"/>
  <c r="G36" i="101" s="1"/>
  <c r="K35" i="101"/>
  <c r="I35" i="101"/>
  <c r="H35" i="101"/>
  <c r="B35" i="101"/>
  <c r="G35" i="101" s="1"/>
  <c r="K34" i="101"/>
  <c r="I34" i="101"/>
  <c r="H34" i="101"/>
  <c r="B34" i="101"/>
  <c r="G34" i="101" s="1"/>
  <c r="K33" i="101"/>
  <c r="I33" i="101"/>
  <c r="H33" i="101"/>
  <c r="G33" i="101"/>
  <c r="B33" i="101"/>
  <c r="K32" i="101"/>
  <c r="I32" i="101"/>
  <c r="H32" i="101"/>
  <c r="G32" i="101"/>
  <c r="B32" i="101"/>
  <c r="K31" i="101"/>
  <c r="I31" i="101"/>
  <c r="H31" i="101"/>
  <c r="G31" i="101"/>
  <c r="B31" i="101"/>
  <c r="K30" i="101"/>
  <c r="I30" i="101"/>
  <c r="H30" i="101"/>
  <c r="B30" i="101"/>
  <c r="G30" i="101" s="1"/>
  <c r="K29" i="101"/>
  <c r="I29" i="101"/>
  <c r="H29" i="101"/>
  <c r="G29" i="101"/>
  <c r="B29" i="101"/>
  <c r="K28" i="101"/>
  <c r="I28" i="101"/>
  <c r="H28" i="101"/>
  <c r="B28" i="101"/>
  <c r="G28" i="101" s="1"/>
  <c r="K27" i="101"/>
  <c r="I27" i="101"/>
  <c r="H27" i="101"/>
  <c r="B27" i="101"/>
  <c r="G27" i="101" s="1"/>
  <c r="K26" i="101"/>
  <c r="I26" i="101"/>
  <c r="H26" i="101"/>
  <c r="B26" i="101"/>
  <c r="G26" i="101" s="1"/>
  <c r="K25" i="101"/>
  <c r="I25" i="101"/>
  <c r="H25" i="101"/>
  <c r="G25" i="101"/>
  <c r="B25" i="101"/>
  <c r="K24" i="101"/>
  <c r="I24" i="101"/>
  <c r="H24" i="101"/>
  <c r="G24" i="101"/>
  <c r="B24" i="101"/>
  <c r="K23" i="101"/>
  <c r="I23" i="101"/>
  <c r="H23" i="101"/>
  <c r="G23" i="101"/>
  <c r="B23" i="101"/>
  <c r="K22" i="101"/>
  <c r="I22" i="101"/>
  <c r="H22" i="101"/>
  <c r="B22" i="101"/>
  <c r="G22" i="101" s="1"/>
  <c r="K21" i="101"/>
  <c r="I21" i="101"/>
  <c r="H21" i="101"/>
  <c r="G21" i="101"/>
  <c r="B21" i="101"/>
  <c r="K20" i="101"/>
  <c r="I20" i="101"/>
  <c r="H20" i="101"/>
  <c r="B20" i="101"/>
  <c r="G20" i="101" s="1"/>
  <c r="K19" i="101"/>
  <c r="I19" i="101"/>
  <c r="H19" i="101"/>
  <c r="G19" i="101"/>
  <c r="B19" i="101"/>
  <c r="K18" i="101"/>
  <c r="I18" i="101"/>
  <c r="H18" i="101"/>
  <c r="B18" i="101"/>
  <c r="G18" i="101" s="1"/>
  <c r="K17" i="101"/>
  <c r="I17" i="101"/>
  <c r="H17" i="101"/>
  <c r="G17" i="101"/>
  <c r="B17" i="101"/>
  <c r="K16" i="101"/>
  <c r="I16" i="101"/>
  <c r="H16" i="101"/>
  <c r="G16" i="101"/>
  <c r="B16" i="101"/>
  <c r="K15" i="101"/>
  <c r="I15" i="101"/>
  <c r="H15" i="101"/>
  <c r="G15" i="101"/>
  <c r="B15" i="101"/>
  <c r="K14" i="101"/>
  <c r="I14" i="101"/>
  <c r="H14" i="101"/>
  <c r="B14" i="101"/>
  <c r="G14" i="101" s="1"/>
  <c r="K11" i="101"/>
  <c r="I10" i="101"/>
  <c r="G10" i="101"/>
  <c r="I9" i="101"/>
  <c r="L13" i="101" s="1"/>
  <c r="G9" i="101"/>
  <c r="G8" i="101"/>
  <c r="I7" i="101"/>
  <c r="K43" i="100"/>
  <c r="I43" i="100"/>
  <c r="H43" i="100"/>
  <c r="B43" i="100"/>
  <c r="G43" i="100" s="1"/>
  <c r="K42" i="100"/>
  <c r="I42" i="100"/>
  <c r="H42" i="100"/>
  <c r="B42" i="100"/>
  <c r="G42" i="100" s="1"/>
  <c r="K41" i="100"/>
  <c r="I41" i="100"/>
  <c r="H41" i="100"/>
  <c r="B41" i="100"/>
  <c r="G41" i="100" s="1"/>
  <c r="K40" i="100"/>
  <c r="I40" i="100"/>
  <c r="H40" i="100"/>
  <c r="B40" i="100"/>
  <c r="G40" i="100" s="1"/>
  <c r="K39" i="100"/>
  <c r="I39" i="100"/>
  <c r="H39" i="100"/>
  <c r="G39" i="100"/>
  <c r="B39" i="100"/>
  <c r="K38" i="100"/>
  <c r="I38" i="100"/>
  <c r="H38" i="100"/>
  <c r="G38" i="100"/>
  <c r="B38" i="100"/>
  <c r="K37" i="100"/>
  <c r="I37" i="100"/>
  <c r="H37" i="100"/>
  <c r="G37" i="100"/>
  <c r="B37" i="100"/>
  <c r="K36" i="100"/>
  <c r="I36" i="100"/>
  <c r="H36" i="100"/>
  <c r="B36" i="100"/>
  <c r="G36" i="100" s="1"/>
  <c r="K35" i="100"/>
  <c r="I35" i="100"/>
  <c r="H35" i="100"/>
  <c r="B35" i="100"/>
  <c r="G35" i="100" s="1"/>
  <c r="K34" i="100"/>
  <c r="I34" i="100"/>
  <c r="H34" i="100"/>
  <c r="B34" i="100"/>
  <c r="G34" i="100" s="1"/>
  <c r="K33" i="100"/>
  <c r="I33" i="100"/>
  <c r="H33" i="100"/>
  <c r="B33" i="100"/>
  <c r="G33" i="100" s="1"/>
  <c r="K32" i="100"/>
  <c r="I32" i="100"/>
  <c r="H32" i="100"/>
  <c r="B32" i="100"/>
  <c r="G32" i="100" s="1"/>
  <c r="K31" i="100"/>
  <c r="I31" i="100"/>
  <c r="H31" i="100"/>
  <c r="G31" i="100"/>
  <c r="B31" i="100"/>
  <c r="K30" i="100"/>
  <c r="I30" i="100"/>
  <c r="H30" i="100"/>
  <c r="G30" i="100"/>
  <c r="B30" i="100"/>
  <c r="K29" i="100"/>
  <c r="I29" i="100"/>
  <c r="H29" i="100"/>
  <c r="B29" i="100"/>
  <c r="G29" i="100" s="1"/>
  <c r="K28" i="100"/>
  <c r="I28" i="100"/>
  <c r="H28" i="100"/>
  <c r="B28" i="100"/>
  <c r="G28" i="100" s="1"/>
  <c r="K27" i="100"/>
  <c r="I27" i="100"/>
  <c r="H27" i="100"/>
  <c r="B27" i="100"/>
  <c r="G27" i="100" s="1"/>
  <c r="K26" i="100"/>
  <c r="I26" i="100"/>
  <c r="H26" i="100"/>
  <c r="B26" i="100"/>
  <c r="G26" i="100" s="1"/>
  <c r="K25" i="100"/>
  <c r="I25" i="100"/>
  <c r="H25" i="100"/>
  <c r="B25" i="100"/>
  <c r="G25" i="100" s="1"/>
  <c r="K24" i="100"/>
  <c r="I24" i="100"/>
  <c r="H24" i="100"/>
  <c r="B24" i="100"/>
  <c r="G24" i="100" s="1"/>
  <c r="K23" i="100"/>
  <c r="I23" i="100"/>
  <c r="H23" i="100"/>
  <c r="G23" i="100"/>
  <c r="B23" i="100"/>
  <c r="K22" i="100"/>
  <c r="I22" i="100"/>
  <c r="H22" i="100"/>
  <c r="B22" i="100"/>
  <c r="G22" i="100" s="1"/>
  <c r="K21" i="100"/>
  <c r="I21" i="100"/>
  <c r="H21" i="100"/>
  <c r="B21" i="100"/>
  <c r="G21" i="100" s="1"/>
  <c r="K20" i="100"/>
  <c r="I20" i="100"/>
  <c r="H20" i="100"/>
  <c r="B20" i="100"/>
  <c r="G20" i="100" s="1"/>
  <c r="K19" i="100"/>
  <c r="I19" i="100"/>
  <c r="H19" i="100"/>
  <c r="B19" i="100"/>
  <c r="G19" i="100" s="1"/>
  <c r="K18" i="100"/>
  <c r="I18" i="100"/>
  <c r="H18" i="100"/>
  <c r="G18" i="100"/>
  <c r="B18" i="100"/>
  <c r="K17" i="100"/>
  <c r="I17" i="100"/>
  <c r="H17" i="100"/>
  <c r="G17" i="100"/>
  <c r="B17" i="100"/>
  <c r="K16" i="100"/>
  <c r="I16" i="100"/>
  <c r="H16" i="100"/>
  <c r="B16" i="100"/>
  <c r="G16" i="100" s="1"/>
  <c r="K15" i="100"/>
  <c r="I15" i="100"/>
  <c r="H15" i="100"/>
  <c r="G15" i="100"/>
  <c r="B15" i="100"/>
  <c r="K14" i="100"/>
  <c r="I14" i="100"/>
  <c r="H14" i="100"/>
  <c r="G14" i="100"/>
  <c r="B14" i="100"/>
  <c r="K11" i="100"/>
  <c r="I10" i="100"/>
  <c r="G10" i="100"/>
  <c r="I9" i="100"/>
  <c r="L13" i="100" s="1"/>
  <c r="G9" i="100"/>
  <c r="G8" i="100"/>
  <c r="I7" i="100"/>
  <c r="K43" i="99"/>
  <c r="I43" i="99"/>
  <c r="H43" i="99"/>
  <c r="B43" i="99"/>
  <c r="G43" i="99" s="1"/>
  <c r="K42" i="99"/>
  <c r="I42" i="99"/>
  <c r="H42" i="99"/>
  <c r="B42" i="99"/>
  <c r="G42" i="99" s="1"/>
  <c r="K41" i="99"/>
  <c r="I41" i="99"/>
  <c r="H41" i="99"/>
  <c r="B41" i="99"/>
  <c r="G41" i="99" s="1"/>
  <c r="K40" i="99"/>
  <c r="I40" i="99"/>
  <c r="H40" i="99"/>
  <c r="G40" i="99"/>
  <c r="B40" i="99"/>
  <c r="K39" i="99"/>
  <c r="I39" i="99"/>
  <c r="H39" i="99"/>
  <c r="G39" i="99"/>
  <c r="B39" i="99"/>
  <c r="K38" i="99"/>
  <c r="I38" i="99"/>
  <c r="H38" i="99"/>
  <c r="G38" i="99"/>
  <c r="B38" i="99"/>
  <c r="K37" i="99"/>
  <c r="I37" i="99"/>
  <c r="H37" i="99"/>
  <c r="G37" i="99"/>
  <c r="B37" i="99"/>
  <c r="K36" i="99"/>
  <c r="I36" i="99"/>
  <c r="H36" i="99"/>
  <c r="B36" i="99"/>
  <c r="G36" i="99" s="1"/>
  <c r="K35" i="99"/>
  <c r="I35" i="99"/>
  <c r="H35" i="99"/>
  <c r="B35" i="99"/>
  <c r="G35" i="99" s="1"/>
  <c r="K34" i="99"/>
  <c r="I34" i="99"/>
  <c r="H34" i="99"/>
  <c r="B34" i="99"/>
  <c r="G34" i="99" s="1"/>
  <c r="K33" i="99"/>
  <c r="I33" i="99"/>
  <c r="H33" i="99"/>
  <c r="G33" i="99"/>
  <c r="B33" i="99"/>
  <c r="K32" i="99"/>
  <c r="I32" i="99"/>
  <c r="H32" i="99"/>
  <c r="G32" i="99"/>
  <c r="B32" i="99"/>
  <c r="K31" i="99"/>
  <c r="I31" i="99"/>
  <c r="H31" i="99"/>
  <c r="G31" i="99"/>
  <c r="B31" i="99"/>
  <c r="K30" i="99"/>
  <c r="I30" i="99"/>
  <c r="H30" i="99"/>
  <c r="G30" i="99"/>
  <c r="B30" i="99"/>
  <c r="K29" i="99"/>
  <c r="I29" i="99"/>
  <c r="H29" i="99"/>
  <c r="G29" i="99"/>
  <c r="B29" i="99"/>
  <c r="K28" i="99"/>
  <c r="I28" i="99"/>
  <c r="H28" i="99"/>
  <c r="B28" i="99"/>
  <c r="G28" i="99" s="1"/>
  <c r="K27" i="99"/>
  <c r="I27" i="99"/>
  <c r="H27" i="99"/>
  <c r="B27" i="99"/>
  <c r="G27" i="99" s="1"/>
  <c r="K26" i="99"/>
  <c r="I26" i="99"/>
  <c r="H26" i="99"/>
  <c r="B26" i="99"/>
  <c r="G26" i="99" s="1"/>
  <c r="K25" i="99"/>
  <c r="I25" i="99"/>
  <c r="H25" i="99"/>
  <c r="B25" i="99"/>
  <c r="G25" i="99" s="1"/>
  <c r="K24" i="99"/>
  <c r="I24" i="99"/>
  <c r="H24" i="99"/>
  <c r="G24" i="99"/>
  <c r="B24" i="99"/>
  <c r="K23" i="99"/>
  <c r="I23" i="99"/>
  <c r="H23" i="99"/>
  <c r="G23" i="99"/>
  <c r="B23" i="99"/>
  <c r="K22" i="99"/>
  <c r="I22" i="99"/>
  <c r="H22" i="99"/>
  <c r="B22" i="99"/>
  <c r="G22" i="99" s="1"/>
  <c r="K21" i="99"/>
  <c r="I21" i="99"/>
  <c r="H21" i="99"/>
  <c r="B21" i="99"/>
  <c r="G21" i="99" s="1"/>
  <c r="K20" i="99"/>
  <c r="I20" i="99"/>
  <c r="H20" i="99"/>
  <c r="B20" i="99"/>
  <c r="G20" i="99" s="1"/>
  <c r="K19" i="99"/>
  <c r="I19" i="99"/>
  <c r="H19" i="99"/>
  <c r="B19" i="99"/>
  <c r="G19" i="99" s="1"/>
  <c r="K18" i="99"/>
  <c r="I18" i="99"/>
  <c r="H18" i="99"/>
  <c r="B18" i="99"/>
  <c r="G18" i="99" s="1"/>
  <c r="K17" i="99"/>
  <c r="I17" i="99"/>
  <c r="H17" i="99"/>
  <c r="B17" i="99"/>
  <c r="G17" i="99" s="1"/>
  <c r="K16" i="99"/>
  <c r="I16" i="99"/>
  <c r="H16" i="99"/>
  <c r="B16" i="99"/>
  <c r="G16" i="99" s="1"/>
  <c r="K15" i="99"/>
  <c r="I15" i="99"/>
  <c r="H15" i="99"/>
  <c r="G15" i="99"/>
  <c r="B15" i="99"/>
  <c r="K14" i="99"/>
  <c r="I14" i="99"/>
  <c r="H14" i="99"/>
  <c r="B14" i="99"/>
  <c r="G14" i="99" s="1"/>
  <c r="K11" i="99"/>
  <c r="I10" i="99"/>
  <c r="G10" i="99"/>
  <c r="I9" i="99"/>
  <c r="L13" i="99" s="1"/>
  <c r="G9" i="99"/>
  <c r="G8" i="99"/>
  <c r="I7" i="99"/>
  <c r="K43" i="98"/>
  <c r="I43" i="98"/>
  <c r="H43" i="98"/>
  <c r="B43" i="98"/>
  <c r="G43" i="98" s="1"/>
  <c r="K42" i="98"/>
  <c r="I42" i="98"/>
  <c r="H42" i="98"/>
  <c r="B42" i="98"/>
  <c r="G42" i="98" s="1"/>
  <c r="K41" i="98"/>
  <c r="I41" i="98"/>
  <c r="H41" i="98"/>
  <c r="G41" i="98"/>
  <c r="B41" i="98"/>
  <c r="K40" i="98"/>
  <c r="I40" i="98"/>
  <c r="H40" i="98"/>
  <c r="G40" i="98"/>
  <c r="B40" i="98"/>
  <c r="K39" i="98"/>
  <c r="I39" i="98"/>
  <c r="H39" i="98"/>
  <c r="G39" i="98"/>
  <c r="B39" i="98"/>
  <c r="K38" i="98"/>
  <c r="I38" i="98"/>
  <c r="H38" i="98"/>
  <c r="B38" i="98"/>
  <c r="G38" i="98" s="1"/>
  <c r="K37" i="98"/>
  <c r="I37" i="98"/>
  <c r="H37" i="98"/>
  <c r="G37" i="98"/>
  <c r="B37" i="98"/>
  <c r="K36" i="98"/>
  <c r="I36" i="98"/>
  <c r="H36" i="98"/>
  <c r="B36" i="98"/>
  <c r="G36" i="98" s="1"/>
  <c r="K35" i="98"/>
  <c r="I35" i="98"/>
  <c r="H35" i="98"/>
  <c r="G35" i="98"/>
  <c r="B35" i="98"/>
  <c r="K34" i="98"/>
  <c r="I34" i="98"/>
  <c r="H34" i="98"/>
  <c r="B34" i="98"/>
  <c r="G34" i="98" s="1"/>
  <c r="K33" i="98"/>
  <c r="I33" i="98"/>
  <c r="H33" i="98"/>
  <c r="G33" i="98"/>
  <c r="B33" i="98"/>
  <c r="K32" i="98"/>
  <c r="I32" i="98"/>
  <c r="H32" i="98"/>
  <c r="G32" i="98"/>
  <c r="B32" i="98"/>
  <c r="K31" i="98"/>
  <c r="I31" i="98"/>
  <c r="H31" i="98"/>
  <c r="G31" i="98"/>
  <c r="B31" i="98"/>
  <c r="K30" i="98"/>
  <c r="I30" i="98"/>
  <c r="H30" i="98"/>
  <c r="B30" i="98"/>
  <c r="G30" i="98" s="1"/>
  <c r="K29" i="98"/>
  <c r="I29" i="98"/>
  <c r="H29" i="98"/>
  <c r="B29" i="98"/>
  <c r="G29" i="98" s="1"/>
  <c r="K28" i="98"/>
  <c r="I28" i="98"/>
  <c r="H28" i="98"/>
  <c r="B28" i="98"/>
  <c r="G28" i="98" s="1"/>
  <c r="K27" i="98"/>
  <c r="I27" i="98"/>
  <c r="H27" i="98"/>
  <c r="G27" i="98"/>
  <c r="B27" i="98"/>
  <c r="K26" i="98"/>
  <c r="I26" i="98"/>
  <c r="H26" i="98"/>
  <c r="B26" i="98"/>
  <c r="G26" i="98" s="1"/>
  <c r="K25" i="98"/>
  <c r="I25" i="98"/>
  <c r="H25" i="98"/>
  <c r="G25" i="98"/>
  <c r="B25" i="98"/>
  <c r="K24" i="98"/>
  <c r="I24" i="98"/>
  <c r="H24" i="98"/>
  <c r="G24" i="98"/>
  <c r="B24" i="98"/>
  <c r="K23" i="98"/>
  <c r="I23" i="98"/>
  <c r="H23" i="98"/>
  <c r="G23" i="98"/>
  <c r="B23" i="98"/>
  <c r="K22" i="98"/>
  <c r="I22" i="98"/>
  <c r="H22" i="98"/>
  <c r="B22" i="98"/>
  <c r="G22" i="98" s="1"/>
  <c r="K21" i="98"/>
  <c r="I21" i="98"/>
  <c r="H21" i="98"/>
  <c r="G21" i="98"/>
  <c r="B21" i="98"/>
  <c r="K20" i="98"/>
  <c r="I20" i="98"/>
  <c r="H20" i="98"/>
  <c r="B20" i="98"/>
  <c r="G20" i="98" s="1"/>
  <c r="K19" i="98"/>
  <c r="I19" i="98"/>
  <c r="H19" i="98"/>
  <c r="G19" i="98"/>
  <c r="B19" i="98"/>
  <c r="K18" i="98"/>
  <c r="I18" i="98"/>
  <c r="H18" i="98"/>
  <c r="B18" i="98"/>
  <c r="G18" i="98" s="1"/>
  <c r="K17" i="98"/>
  <c r="I17" i="98"/>
  <c r="H17" i="98"/>
  <c r="G17" i="98"/>
  <c r="B17" i="98"/>
  <c r="K16" i="98"/>
  <c r="I16" i="98"/>
  <c r="H16" i="98"/>
  <c r="G16" i="98"/>
  <c r="B16" i="98"/>
  <c r="K15" i="98"/>
  <c r="I15" i="98"/>
  <c r="H15" i="98"/>
  <c r="G15" i="98"/>
  <c r="B15" i="98"/>
  <c r="K14" i="98"/>
  <c r="I14" i="98"/>
  <c r="H14" i="98"/>
  <c r="B14" i="98"/>
  <c r="G14" i="98" s="1"/>
  <c r="K11" i="98"/>
  <c r="I10" i="98"/>
  <c r="G10" i="98"/>
  <c r="I9" i="98"/>
  <c r="L13" i="98" s="1"/>
  <c r="G9" i="98"/>
  <c r="G8" i="98"/>
  <c r="I7" i="98"/>
  <c r="K43" i="97"/>
  <c r="I43" i="97"/>
  <c r="H43" i="97"/>
  <c r="B43" i="97"/>
  <c r="G43" i="97" s="1"/>
  <c r="K42" i="97"/>
  <c r="I42" i="97"/>
  <c r="H42" i="97"/>
  <c r="B42" i="97"/>
  <c r="G42" i="97" s="1"/>
  <c r="K41" i="97"/>
  <c r="I41" i="97"/>
  <c r="H41" i="97"/>
  <c r="B41" i="97"/>
  <c r="G41" i="97" s="1"/>
  <c r="K40" i="97"/>
  <c r="I40" i="97"/>
  <c r="H40" i="97"/>
  <c r="B40" i="97"/>
  <c r="G40" i="97" s="1"/>
  <c r="K39" i="97"/>
  <c r="I39" i="97"/>
  <c r="H39" i="97"/>
  <c r="G39" i="97"/>
  <c r="B39" i="97"/>
  <c r="K38" i="97"/>
  <c r="I38" i="97"/>
  <c r="H38" i="97"/>
  <c r="B38" i="97"/>
  <c r="G38" i="97" s="1"/>
  <c r="K37" i="97"/>
  <c r="I37" i="97"/>
  <c r="H37" i="97"/>
  <c r="G37" i="97"/>
  <c r="B37" i="97"/>
  <c r="K36" i="97"/>
  <c r="I36" i="97"/>
  <c r="H36" i="97"/>
  <c r="B36" i="97"/>
  <c r="G36" i="97" s="1"/>
  <c r="K35" i="97"/>
  <c r="I35" i="97"/>
  <c r="H35" i="97"/>
  <c r="B35" i="97"/>
  <c r="G35" i="97" s="1"/>
  <c r="K34" i="97"/>
  <c r="I34" i="97"/>
  <c r="H34" i="97"/>
  <c r="B34" i="97"/>
  <c r="G34" i="97" s="1"/>
  <c r="K33" i="97"/>
  <c r="I33" i="97"/>
  <c r="H33" i="97"/>
  <c r="B33" i="97"/>
  <c r="G33" i="97" s="1"/>
  <c r="K32" i="97"/>
  <c r="I32" i="97"/>
  <c r="H32" i="97"/>
  <c r="B32" i="97"/>
  <c r="G32" i="97" s="1"/>
  <c r="K31" i="97"/>
  <c r="I31" i="97"/>
  <c r="H31" i="97"/>
  <c r="G31" i="97"/>
  <c r="B31" i="97"/>
  <c r="K30" i="97"/>
  <c r="I30" i="97"/>
  <c r="H30" i="97"/>
  <c r="B30" i="97"/>
  <c r="G30" i="97" s="1"/>
  <c r="K29" i="97"/>
  <c r="I29" i="97"/>
  <c r="H29" i="97"/>
  <c r="G29" i="97"/>
  <c r="B29" i="97"/>
  <c r="K28" i="97"/>
  <c r="I28" i="97"/>
  <c r="H28" i="97"/>
  <c r="B28" i="97"/>
  <c r="G28" i="97" s="1"/>
  <c r="K27" i="97"/>
  <c r="I27" i="97"/>
  <c r="H27" i="97"/>
  <c r="B27" i="97"/>
  <c r="G27" i="97" s="1"/>
  <c r="K26" i="97"/>
  <c r="I26" i="97"/>
  <c r="H26" i="97"/>
  <c r="B26" i="97"/>
  <c r="G26" i="97" s="1"/>
  <c r="K25" i="97"/>
  <c r="I25" i="97"/>
  <c r="H25" i="97"/>
  <c r="B25" i="97"/>
  <c r="G25" i="97" s="1"/>
  <c r="K24" i="97"/>
  <c r="I24" i="97"/>
  <c r="H24" i="97"/>
  <c r="B24" i="97"/>
  <c r="G24" i="97" s="1"/>
  <c r="K23" i="97"/>
  <c r="I23" i="97"/>
  <c r="H23" i="97"/>
  <c r="G23" i="97"/>
  <c r="B23" i="97"/>
  <c r="K22" i="97"/>
  <c r="I22" i="97"/>
  <c r="H22" i="97"/>
  <c r="B22" i="97"/>
  <c r="G22" i="97" s="1"/>
  <c r="K21" i="97"/>
  <c r="I21" i="97"/>
  <c r="H21" i="97"/>
  <c r="B21" i="97"/>
  <c r="G21" i="97" s="1"/>
  <c r="K20" i="97"/>
  <c r="I20" i="97"/>
  <c r="H20" i="97"/>
  <c r="B20" i="97"/>
  <c r="G20" i="97" s="1"/>
  <c r="K19" i="97"/>
  <c r="I19" i="97"/>
  <c r="H19" i="97"/>
  <c r="B19" i="97"/>
  <c r="G19" i="97" s="1"/>
  <c r="K18" i="97"/>
  <c r="I18" i="97"/>
  <c r="H18" i="97"/>
  <c r="B18" i="97"/>
  <c r="G18" i="97" s="1"/>
  <c r="K17" i="97"/>
  <c r="I17" i="97"/>
  <c r="H17" i="97"/>
  <c r="B17" i="97"/>
  <c r="G17" i="97" s="1"/>
  <c r="K16" i="97"/>
  <c r="I16" i="97"/>
  <c r="H16" i="97"/>
  <c r="B16" i="97"/>
  <c r="G16" i="97" s="1"/>
  <c r="K15" i="97"/>
  <c r="I15" i="97"/>
  <c r="H15" i="97"/>
  <c r="G15" i="97"/>
  <c r="B15" i="97"/>
  <c r="K14" i="97"/>
  <c r="I14" i="97"/>
  <c r="H14" i="97"/>
  <c r="B14" i="97"/>
  <c r="G14" i="97" s="1"/>
  <c r="L13" i="97"/>
  <c r="K11" i="97"/>
  <c r="I10" i="97"/>
  <c r="G10" i="97"/>
  <c r="I9" i="97"/>
  <c r="G9" i="97"/>
  <c r="G8" i="97"/>
  <c r="I7" i="97"/>
  <c r="K43" i="96"/>
  <c r="I43" i="96"/>
  <c r="H43" i="96"/>
  <c r="B43" i="96"/>
  <c r="G43" i="96" s="1"/>
  <c r="K42" i="96"/>
  <c r="I42" i="96"/>
  <c r="H42" i="96"/>
  <c r="B42" i="96"/>
  <c r="G42" i="96" s="1"/>
  <c r="K41" i="96"/>
  <c r="I41" i="96"/>
  <c r="H41" i="96"/>
  <c r="B41" i="96"/>
  <c r="G41" i="96" s="1"/>
  <c r="K40" i="96"/>
  <c r="I40" i="96"/>
  <c r="H40" i="96"/>
  <c r="G40" i="96"/>
  <c r="B40" i="96"/>
  <c r="K39" i="96"/>
  <c r="I39" i="96"/>
  <c r="H39" i="96"/>
  <c r="G39" i="96"/>
  <c r="B39" i="96"/>
  <c r="K38" i="96"/>
  <c r="I38" i="96"/>
  <c r="H38" i="96"/>
  <c r="G38" i="96"/>
  <c r="B38" i="96"/>
  <c r="K37" i="96"/>
  <c r="I37" i="96"/>
  <c r="H37" i="96"/>
  <c r="G37" i="96"/>
  <c r="B37" i="96"/>
  <c r="K36" i="96"/>
  <c r="I36" i="96"/>
  <c r="H36" i="96"/>
  <c r="B36" i="96"/>
  <c r="G36" i="96" s="1"/>
  <c r="K35" i="96"/>
  <c r="I35" i="96"/>
  <c r="H35" i="96"/>
  <c r="B35" i="96"/>
  <c r="G35" i="96" s="1"/>
  <c r="K34" i="96"/>
  <c r="I34" i="96"/>
  <c r="H34" i="96"/>
  <c r="B34" i="96"/>
  <c r="G34" i="96" s="1"/>
  <c r="K33" i="96"/>
  <c r="I33" i="96"/>
  <c r="H33" i="96"/>
  <c r="B33" i="96"/>
  <c r="G33" i="96" s="1"/>
  <c r="K32" i="96"/>
  <c r="I32" i="96"/>
  <c r="H32" i="96"/>
  <c r="G32" i="96"/>
  <c r="B32" i="96"/>
  <c r="K31" i="96"/>
  <c r="I31" i="96"/>
  <c r="H31" i="96"/>
  <c r="G31" i="96"/>
  <c r="B31" i="96"/>
  <c r="K30" i="96"/>
  <c r="I30" i="96"/>
  <c r="H30" i="96"/>
  <c r="G30" i="96"/>
  <c r="B30" i="96"/>
  <c r="K29" i="96"/>
  <c r="I29" i="96"/>
  <c r="H29" i="96"/>
  <c r="G29" i="96"/>
  <c r="B29" i="96"/>
  <c r="K28" i="96"/>
  <c r="I28" i="96"/>
  <c r="H28" i="96"/>
  <c r="B28" i="96"/>
  <c r="G28" i="96" s="1"/>
  <c r="K27" i="96"/>
  <c r="I27" i="96"/>
  <c r="H27" i="96"/>
  <c r="B27" i="96"/>
  <c r="G27" i="96" s="1"/>
  <c r="K26" i="96"/>
  <c r="I26" i="96"/>
  <c r="H26" i="96"/>
  <c r="B26" i="96"/>
  <c r="G26" i="96" s="1"/>
  <c r="K25" i="96"/>
  <c r="I25" i="96"/>
  <c r="H25" i="96"/>
  <c r="B25" i="96"/>
  <c r="G25" i="96" s="1"/>
  <c r="K24" i="96"/>
  <c r="I24" i="96"/>
  <c r="H24" i="96"/>
  <c r="G24" i="96"/>
  <c r="B24" i="96"/>
  <c r="K23" i="96"/>
  <c r="I23" i="96"/>
  <c r="H23" i="96"/>
  <c r="G23" i="96"/>
  <c r="B23" i="96"/>
  <c r="K22" i="96"/>
  <c r="I22" i="96"/>
  <c r="H22" i="96"/>
  <c r="G22" i="96"/>
  <c r="B22" i="96"/>
  <c r="K21" i="96"/>
  <c r="I21" i="96"/>
  <c r="H21" i="96"/>
  <c r="G21" i="96"/>
  <c r="B21" i="96"/>
  <c r="K20" i="96"/>
  <c r="I20" i="96"/>
  <c r="H20" i="96"/>
  <c r="B20" i="96"/>
  <c r="G20" i="96" s="1"/>
  <c r="K19" i="96"/>
  <c r="I19" i="96"/>
  <c r="H19" i="96"/>
  <c r="B19" i="96"/>
  <c r="G19" i="96" s="1"/>
  <c r="K18" i="96"/>
  <c r="I18" i="96"/>
  <c r="H18" i="96"/>
  <c r="B18" i="96"/>
  <c r="G18" i="96" s="1"/>
  <c r="K17" i="96"/>
  <c r="I17" i="96"/>
  <c r="H17" i="96"/>
  <c r="B17" i="96"/>
  <c r="G17" i="96" s="1"/>
  <c r="K16" i="96"/>
  <c r="I16" i="96"/>
  <c r="H16" i="96"/>
  <c r="G16" i="96"/>
  <c r="B16" i="96"/>
  <c r="K15" i="96"/>
  <c r="I15" i="96"/>
  <c r="H15" i="96"/>
  <c r="G15" i="96"/>
  <c r="B15" i="96"/>
  <c r="K14" i="96"/>
  <c r="I14" i="96"/>
  <c r="H14" i="96"/>
  <c r="G14" i="96"/>
  <c r="B14" i="96"/>
  <c r="K11" i="96"/>
  <c r="I10" i="96"/>
  <c r="G10" i="96"/>
  <c r="I9" i="96"/>
  <c r="L13" i="96" s="1"/>
  <c r="G9" i="96"/>
  <c r="G8" i="96"/>
  <c r="I7" i="96"/>
  <c r="K43" i="95"/>
  <c r="I43" i="95"/>
  <c r="H43" i="95"/>
  <c r="B43" i="95"/>
  <c r="G43" i="95" s="1"/>
  <c r="K42" i="95"/>
  <c r="I42" i="95"/>
  <c r="H42" i="95"/>
  <c r="G42" i="95"/>
  <c r="B42" i="95"/>
  <c r="K41" i="95"/>
  <c r="I41" i="95"/>
  <c r="H41" i="95"/>
  <c r="B41" i="95"/>
  <c r="G41" i="95" s="1"/>
  <c r="K40" i="95"/>
  <c r="I40" i="95"/>
  <c r="H40" i="95"/>
  <c r="B40" i="95"/>
  <c r="G40" i="95" s="1"/>
  <c r="K39" i="95"/>
  <c r="I39" i="95"/>
  <c r="H39" i="95"/>
  <c r="G39" i="95"/>
  <c r="B39" i="95"/>
  <c r="K38" i="95"/>
  <c r="I38" i="95"/>
  <c r="H38" i="95"/>
  <c r="G38" i="95"/>
  <c r="B38" i="95"/>
  <c r="K37" i="95"/>
  <c r="I37" i="95"/>
  <c r="H37" i="95"/>
  <c r="G37" i="95"/>
  <c r="B37" i="95"/>
  <c r="K36" i="95"/>
  <c r="I36" i="95"/>
  <c r="H36" i="95"/>
  <c r="B36" i="95"/>
  <c r="G36" i="95" s="1"/>
  <c r="K35" i="95"/>
  <c r="I35" i="95"/>
  <c r="H35" i="95"/>
  <c r="B35" i="95"/>
  <c r="G35" i="95" s="1"/>
  <c r="K34" i="95"/>
  <c r="I34" i="95"/>
  <c r="H34" i="95"/>
  <c r="G34" i="95"/>
  <c r="B34" i="95"/>
  <c r="K33" i="95"/>
  <c r="I33" i="95"/>
  <c r="H33" i="95"/>
  <c r="B33" i="95"/>
  <c r="G33" i="95" s="1"/>
  <c r="K32" i="95"/>
  <c r="I32" i="95"/>
  <c r="H32" i="95"/>
  <c r="G32" i="95"/>
  <c r="B32" i="95"/>
  <c r="K31" i="95"/>
  <c r="I31" i="95"/>
  <c r="H31" i="95"/>
  <c r="G31" i="95"/>
  <c r="B31" i="95"/>
  <c r="K30" i="95"/>
  <c r="I30" i="95"/>
  <c r="H30" i="95"/>
  <c r="G30" i="95"/>
  <c r="B30" i="95"/>
  <c r="K29" i="95"/>
  <c r="I29" i="95"/>
  <c r="H29" i="95"/>
  <c r="G29" i="95"/>
  <c r="B29" i="95"/>
  <c r="K28" i="95"/>
  <c r="I28" i="95"/>
  <c r="H28" i="95"/>
  <c r="B28" i="95"/>
  <c r="G28" i="95" s="1"/>
  <c r="K27" i="95"/>
  <c r="I27" i="95"/>
  <c r="H27" i="95"/>
  <c r="B27" i="95"/>
  <c r="G27" i="95" s="1"/>
  <c r="K26" i="95"/>
  <c r="I26" i="95"/>
  <c r="H26" i="95"/>
  <c r="G26" i="95"/>
  <c r="B26" i="95"/>
  <c r="K25" i="95"/>
  <c r="I25" i="95"/>
  <c r="H25" i="95"/>
  <c r="B25" i="95"/>
  <c r="G25" i="95" s="1"/>
  <c r="K24" i="95"/>
  <c r="I24" i="95"/>
  <c r="H24" i="95"/>
  <c r="B24" i="95"/>
  <c r="G24" i="95" s="1"/>
  <c r="K23" i="95"/>
  <c r="I23" i="95"/>
  <c r="H23" i="95"/>
  <c r="G23" i="95"/>
  <c r="B23" i="95"/>
  <c r="K22" i="95"/>
  <c r="I22" i="95"/>
  <c r="H22" i="95"/>
  <c r="G22" i="95"/>
  <c r="B22" i="95"/>
  <c r="K21" i="95"/>
  <c r="I21" i="95"/>
  <c r="H21" i="95"/>
  <c r="B21" i="95"/>
  <c r="G21" i="95" s="1"/>
  <c r="K20" i="95"/>
  <c r="I20" i="95"/>
  <c r="H20" i="95"/>
  <c r="B20" i="95"/>
  <c r="G20" i="95" s="1"/>
  <c r="K19" i="95"/>
  <c r="I19" i="95"/>
  <c r="H19" i="95"/>
  <c r="B19" i="95"/>
  <c r="G19" i="95" s="1"/>
  <c r="K18" i="95"/>
  <c r="I18" i="95"/>
  <c r="H18" i="95"/>
  <c r="G18" i="95"/>
  <c r="B18" i="95"/>
  <c r="K17" i="95"/>
  <c r="I17" i="95"/>
  <c r="H17" i="95"/>
  <c r="B17" i="95"/>
  <c r="G17" i="95" s="1"/>
  <c r="K16" i="95"/>
  <c r="I16" i="95"/>
  <c r="H16" i="95"/>
  <c r="G16" i="95"/>
  <c r="B16" i="95"/>
  <c r="K15" i="95"/>
  <c r="I15" i="95"/>
  <c r="H15" i="95"/>
  <c r="G15" i="95"/>
  <c r="B15" i="95"/>
  <c r="K14" i="95"/>
  <c r="I14" i="95"/>
  <c r="H14" i="95"/>
  <c r="G14" i="95"/>
  <c r="B14" i="95"/>
  <c r="K11" i="95"/>
  <c r="I10" i="95"/>
  <c r="G10" i="95"/>
  <c r="I9" i="95"/>
  <c r="L13" i="95" s="1"/>
  <c r="G9" i="95"/>
  <c r="G8" i="95"/>
  <c r="I7" i="95"/>
  <c r="K43" i="94"/>
  <c r="I43" i="94"/>
  <c r="H43" i="94"/>
  <c r="B43" i="94"/>
  <c r="G43" i="94" s="1"/>
  <c r="K42" i="94"/>
  <c r="I42" i="94"/>
  <c r="H42" i="94"/>
  <c r="B42" i="94"/>
  <c r="G42" i="94" s="1"/>
  <c r="K41" i="94"/>
  <c r="I41" i="94"/>
  <c r="H41" i="94"/>
  <c r="B41" i="94"/>
  <c r="G41" i="94" s="1"/>
  <c r="K40" i="94"/>
  <c r="I40" i="94"/>
  <c r="H40" i="94"/>
  <c r="B40" i="94"/>
  <c r="G40" i="94" s="1"/>
  <c r="K39" i="94"/>
  <c r="I39" i="94"/>
  <c r="H39" i="94"/>
  <c r="G39" i="94"/>
  <c r="B39" i="94"/>
  <c r="K38" i="94"/>
  <c r="I38" i="94"/>
  <c r="H38" i="94"/>
  <c r="B38" i="94"/>
  <c r="G38" i="94" s="1"/>
  <c r="K37" i="94"/>
  <c r="I37" i="94"/>
  <c r="H37" i="94"/>
  <c r="B37" i="94"/>
  <c r="G37" i="94" s="1"/>
  <c r="K36" i="94"/>
  <c r="I36" i="94"/>
  <c r="H36" i="94"/>
  <c r="B36" i="94"/>
  <c r="G36" i="94" s="1"/>
  <c r="K35" i="94"/>
  <c r="I35" i="94"/>
  <c r="H35" i="94"/>
  <c r="G35" i="94"/>
  <c r="B35" i="94"/>
  <c r="K34" i="94"/>
  <c r="I34" i="94"/>
  <c r="H34" i="94"/>
  <c r="G34" i="94"/>
  <c r="B34" i="94"/>
  <c r="K33" i="94"/>
  <c r="I33" i="94"/>
  <c r="H33" i="94"/>
  <c r="B33" i="94"/>
  <c r="G33" i="94" s="1"/>
  <c r="K32" i="94"/>
  <c r="I32" i="94"/>
  <c r="H32" i="94"/>
  <c r="B32" i="94"/>
  <c r="G32" i="94" s="1"/>
  <c r="K31" i="94"/>
  <c r="I31" i="94"/>
  <c r="H31" i="94"/>
  <c r="G31" i="94"/>
  <c r="B31" i="94"/>
  <c r="K30" i="94"/>
  <c r="I30" i="94"/>
  <c r="H30" i="94"/>
  <c r="B30" i="94"/>
  <c r="G30" i="94" s="1"/>
  <c r="K29" i="94"/>
  <c r="I29" i="94"/>
  <c r="H29" i="94"/>
  <c r="B29" i="94"/>
  <c r="G29" i="94" s="1"/>
  <c r="K28" i="94"/>
  <c r="I28" i="94"/>
  <c r="H28" i="94"/>
  <c r="B28" i="94"/>
  <c r="G28" i="94" s="1"/>
  <c r="K27" i="94"/>
  <c r="I27" i="94"/>
  <c r="H27" i="94"/>
  <c r="B27" i="94"/>
  <c r="G27" i="94" s="1"/>
  <c r="K26" i="94"/>
  <c r="I26" i="94"/>
  <c r="H26" i="94"/>
  <c r="G26" i="94"/>
  <c r="B26" i="94"/>
  <c r="K25" i="94"/>
  <c r="I25" i="94"/>
  <c r="H25" i="94"/>
  <c r="B25" i="94"/>
  <c r="G25" i="94" s="1"/>
  <c r="K24" i="94"/>
  <c r="I24" i="94"/>
  <c r="H24" i="94"/>
  <c r="B24" i="94"/>
  <c r="G24" i="94" s="1"/>
  <c r="K23" i="94"/>
  <c r="I23" i="94"/>
  <c r="H23" i="94"/>
  <c r="G23" i="94"/>
  <c r="B23" i="94"/>
  <c r="K22" i="94"/>
  <c r="I22" i="94"/>
  <c r="H22" i="94"/>
  <c r="B22" i="94"/>
  <c r="G22" i="94" s="1"/>
  <c r="K21" i="94"/>
  <c r="I21" i="94"/>
  <c r="H21" i="94"/>
  <c r="B21" i="94"/>
  <c r="G21" i="94" s="1"/>
  <c r="K20" i="94"/>
  <c r="I20" i="94"/>
  <c r="H20" i="94"/>
  <c r="B20" i="94"/>
  <c r="G20" i="94" s="1"/>
  <c r="K19" i="94"/>
  <c r="I19" i="94"/>
  <c r="H19" i="94"/>
  <c r="G19" i="94"/>
  <c r="B19" i="94"/>
  <c r="K18" i="94"/>
  <c r="I18" i="94"/>
  <c r="H18" i="94"/>
  <c r="G18" i="94"/>
  <c r="B18" i="94"/>
  <c r="K17" i="94"/>
  <c r="I17" i="94"/>
  <c r="H17" i="94"/>
  <c r="B17" i="94"/>
  <c r="G17" i="94" s="1"/>
  <c r="K16" i="94"/>
  <c r="I16" i="94"/>
  <c r="H16" i="94"/>
  <c r="B16" i="94"/>
  <c r="G16" i="94" s="1"/>
  <c r="K15" i="94"/>
  <c r="I15" i="94"/>
  <c r="H15" i="94"/>
  <c r="G15" i="94"/>
  <c r="B15" i="94"/>
  <c r="K14" i="94"/>
  <c r="I14" i="94"/>
  <c r="H14" i="94"/>
  <c r="B14" i="94"/>
  <c r="G14" i="94" s="1"/>
  <c r="L13" i="94"/>
  <c r="K11" i="94"/>
  <c r="I10" i="94"/>
  <c r="G10" i="94"/>
  <c r="I9" i="94"/>
  <c r="G9" i="94"/>
  <c r="G8" i="94"/>
  <c r="I7" i="94"/>
  <c r="K43" i="93"/>
  <c r="I43" i="93"/>
  <c r="H43" i="93"/>
  <c r="G43" i="93"/>
  <c r="B43" i="93"/>
  <c r="K42" i="93"/>
  <c r="I42" i="93"/>
  <c r="H42" i="93"/>
  <c r="B42" i="93"/>
  <c r="G42" i="93" s="1"/>
  <c r="K41" i="93"/>
  <c r="I41" i="93"/>
  <c r="H41" i="93"/>
  <c r="B41" i="93"/>
  <c r="G41" i="93" s="1"/>
  <c r="K40" i="93"/>
  <c r="I40" i="93"/>
  <c r="H40" i="93"/>
  <c r="B40" i="93"/>
  <c r="G40" i="93" s="1"/>
  <c r="K39" i="93"/>
  <c r="I39" i="93"/>
  <c r="H39" i="93"/>
  <c r="G39" i="93"/>
  <c r="B39" i="93"/>
  <c r="K38" i="93"/>
  <c r="I38" i="93"/>
  <c r="H38" i="93"/>
  <c r="B38" i="93"/>
  <c r="G38" i="93" s="1"/>
  <c r="K37" i="93"/>
  <c r="I37" i="93"/>
  <c r="H37" i="93"/>
  <c r="G37" i="93"/>
  <c r="B37" i="93"/>
  <c r="K36" i="93"/>
  <c r="I36" i="93"/>
  <c r="H36" i="93"/>
  <c r="B36" i="93"/>
  <c r="G36" i="93" s="1"/>
  <c r="K35" i="93"/>
  <c r="I35" i="93"/>
  <c r="H35" i="93"/>
  <c r="G35" i="93"/>
  <c r="B35" i="93"/>
  <c r="K34" i="93"/>
  <c r="I34" i="93"/>
  <c r="H34" i="93"/>
  <c r="B34" i="93"/>
  <c r="G34" i="93" s="1"/>
  <c r="K33" i="93"/>
  <c r="I33" i="93"/>
  <c r="H33" i="93"/>
  <c r="B33" i="93"/>
  <c r="G33" i="93" s="1"/>
  <c r="K32" i="93"/>
  <c r="I32" i="93"/>
  <c r="H32" i="93"/>
  <c r="B32" i="93"/>
  <c r="G32" i="93" s="1"/>
  <c r="K31" i="93"/>
  <c r="I31" i="93"/>
  <c r="H31" i="93"/>
  <c r="G31" i="93"/>
  <c r="B31" i="93"/>
  <c r="K30" i="93"/>
  <c r="I30" i="93"/>
  <c r="H30" i="93"/>
  <c r="B30" i="93"/>
  <c r="G30" i="93" s="1"/>
  <c r="K29" i="93"/>
  <c r="I29" i="93"/>
  <c r="H29" i="93"/>
  <c r="G29" i="93"/>
  <c r="B29" i="93"/>
  <c r="K28" i="93"/>
  <c r="I28" i="93"/>
  <c r="H28" i="93"/>
  <c r="B28" i="93"/>
  <c r="G28" i="93" s="1"/>
  <c r="K27" i="93"/>
  <c r="I27" i="93"/>
  <c r="H27" i="93"/>
  <c r="G27" i="93"/>
  <c r="B27" i="93"/>
  <c r="K26" i="93"/>
  <c r="I26" i="93"/>
  <c r="H26" i="93"/>
  <c r="G26" i="93"/>
  <c r="B26" i="93"/>
  <c r="K25" i="93"/>
  <c r="I25" i="93"/>
  <c r="H25" i="93"/>
  <c r="B25" i="93"/>
  <c r="G25" i="93" s="1"/>
  <c r="K24" i="93"/>
  <c r="I24" i="93"/>
  <c r="H24" i="93"/>
  <c r="B24" i="93"/>
  <c r="G24" i="93" s="1"/>
  <c r="K23" i="93"/>
  <c r="I23" i="93"/>
  <c r="H23" i="93"/>
  <c r="G23" i="93"/>
  <c r="B23" i="93"/>
  <c r="K22" i="93"/>
  <c r="I22" i="93"/>
  <c r="H22" i="93"/>
  <c r="B22" i="93"/>
  <c r="G22" i="93" s="1"/>
  <c r="K21" i="93"/>
  <c r="I21" i="93"/>
  <c r="H21" i="93"/>
  <c r="B21" i="93"/>
  <c r="G21" i="93" s="1"/>
  <c r="K20" i="93"/>
  <c r="I20" i="93"/>
  <c r="H20" i="93"/>
  <c r="B20" i="93"/>
  <c r="G20" i="93" s="1"/>
  <c r="K19" i="93"/>
  <c r="I19" i="93"/>
  <c r="H19" i="93"/>
  <c r="G19" i="93"/>
  <c r="B19" i="93"/>
  <c r="K18" i="93"/>
  <c r="I18" i="93"/>
  <c r="H18" i="93"/>
  <c r="B18" i="93"/>
  <c r="G18" i="93" s="1"/>
  <c r="K17" i="93"/>
  <c r="I17" i="93"/>
  <c r="H17" i="93"/>
  <c r="B17" i="93"/>
  <c r="G17" i="93" s="1"/>
  <c r="K16" i="93"/>
  <c r="I16" i="93"/>
  <c r="H16" i="93"/>
  <c r="B16" i="93"/>
  <c r="G16" i="93" s="1"/>
  <c r="K15" i="93"/>
  <c r="I15" i="93"/>
  <c r="H15" i="93"/>
  <c r="G15" i="93"/>
  <c r="B15" i="93"/>
  <c r="K14" i="93"/>
  <c r="I14" i="93"/>
  <c r="H14" i="93"/>
  <c r="B14" i="93"/>
  <c r="G14" i="93" s="1"/>
  <c r="L13" i="93"/>
  <c r="K11" i="93"/>
  <c r="I10" i="93"/>
  <c r="G10" i="93"/>
  <c r="I9" i="93"/>
  <c r="G9" i="93"/>
  <c r="G8" i="93"/>
  <c r="I7" i="93"/>
  <c r="K43" i="92"/>
  <c r="I43" i="92"/>
  <c r="H43" i="92"/>
  <c r="B43" i="92"/>
  <c r="G43" i="92" s="1"/>
  <c r="K42" i="92"/>
  <c r="I42" i="92"/>
  <c r="H42" i="92"/>
  <c r="B42" i="92"/>
  <c r="G42" i="92" s="1"/>
  <c r="K41" i="92"/>
  <c r="I41" i="92"/>
  <c r="H41" i="92"/>
  <c r="G41" i="92"/>
  <c r="B41" i="92"/>
  <c r="K40" i="92"/>
  <c r="I40" i="92"/>
  <c r="H40" i="92"/>
  <c r="G40" i="92"/>
  <c r="B40" i="92"/>
  <c r="K39" i="92"/>
  <c r="I39" i="92"/>
  <c r="H39" i="92"/>
  <c r="G39" i="92"/>
  <c r="B39" i="92"/>
  <c r="K38" i="92"/>
  <c r="I38" i="92"/>
  <c r="H38" i="92"/>
  <c r="B38" i="92"/>
  <c r="G38" i="92" s="1"/>
  <c r="K37" i="92"/>
  <c r="I37" i="92"/>
  <c r="H37" i="92"/>
  <c r="G37" i="92"/>
  <c r="B37" i="92"/>
  <c r="K36" i="92"/>
  <c r="I36" i="92"/>
  <c r="H36" i="92"/>
  <c r="B36" i="92"/>
  <c r="G36" i="92" s="1"/>
  <c r="K35" i="92"/>
  <c r="I35" i="92"/>
  <c r="H35" i="92"/>
  <c r="G35" i="92"/>
  <c r="B35" i="92"/>
  <c r="K34" i="92"/>
  <c r="I34" i="92"/>
  <c r="H34" i="92"/>
  <c r="B34" i="92"/>
  <c r="G34" i="92" s="1"/>
  <c r="K33" i="92"/>
  <c r="I33" i="92"/>
  <c r="H33" i="92"/>
  <c r="G33" i="92"/>
  <c r="B33" i="92"/>
  <c r="K32" i="92"/>
  <c r="I32" i="92"/>
  <c r="H32" i="92"/>
  <c r="G32" i="92"/>
  <c r="B32" i="92"/>
  <c r="K31" i="92"/>
  <c r="I31" i="92"/>
  <c r="H31" i="92"/>
  <c r="G31" i="92"/>
  <c r="B31" i="92"/>
  <c r="K30" i="92"/>
  <c r="I30" i="92"/>
  <c r="H30" i="92"/>
  <c r="B30" i="92"/>
  <c r="G30" i="92" s="1"/>
  <c r="K29" i="92"/>
  <c r="I29" i="92"/>
  <c r="H29" i="92"/>
  <c r="B29" i="92"/>
  <c r="G29" i="92" s="1"/>
  <c r="K28" i="92"/>
  <c r="I28" i="92"/>
  <c r="H28" i="92"/>
  <c r="B28" i="92"/>
  <c r="G28" i="92" s="1"/>
  <c r="K27" i="92"/>
  <c r="I27" i="92"/>
  <c r="H27" i="92"/>
  <c r="B27" i="92"/>
  <c r="G27" i="92" s="1"/>
  <c r="K26" i="92"/>
  <c r="I26" i="92"/>
  <c r="H26" i="92"/>
  <c r="B26" i="92"/>
  <c r="G26" i="92" s="1"/>
  <c r="K25" i="92"/>
  <c r="I25" i="92"/>
  <c r="H25" i="92"/>
  <c r="G25" i="92"/>
  <c r="B25" i="92"/>
  <c r="K24" i="92"/>
  <c r="I24" i="92"/>
  <c r="H24" i="92"/>
  <c r="G24" i="92"/>
  <c r="B24" i="92"/>
  <c r="K23" i="92"/>
  <c r="I23" i="92"/>
  <c r="H23" i="92"/>
  <c r="G23" i="92"/>
  <c r="B23" i="92"/>
  <c r="K22" i="92"/>
  <c r="I22" i="92"/>
  <c r="H22" i="92"/>
  <c r="B22" i="92"/>
  <c r="G22" i="92" s="1"/>
  <c r="K21" i="92"/>
  <c r="I21" i="92"/>
  <c r="H21" i="92"/>
  <c r="G21" i="92"/>
  <c r="B21" i="92"/>
  <c r="K20" i="92"/>
  <c r="I20" i="92"/>
  <c r="H20" i="92"/>
  <c r="B20" i="92"/>
  <c r="G20" i="92" s="1"/>
  <c r="K19" i="92"/>
  <c r="I19" i="92"/>
  <c r="H19" i="92"/>
  <c r="B19" i="92"/>
  <c r="G19" i="92" s="1"/>
  <c r="K18" i="92"/>
  <c r="I18" i="92"/>
  <c r="H18" i="92"/>
  <c r="B18" i="92"/>
  <c r="G18" i="92" s="1"/>
  <c r="K17" i="92"/>
  <c r="I17" i="92"/>
  <c r="H17" i="92"/>
  <c r="G17" i="92"/>
  <c r="B17" i="92"/>
  <c r="K16" i="92"/>
  <c r="I16" i="92"/>
  <c r="H16" i="92"/>
  <c r="G16" i="92"/>
  <c r="B16" i="92"/>
  <c r="K15" i="92"/>
  <c r="I15" i="92"/>
  <c r="H15" i="92"/>
  <c r="G15" i="92"/>
  <c r="B15" i="92"/>
  <c r="K14" i="92"/>
  <c r="I14" i="92"/>
  <c r="H14" i="92"/>
  <c r="B14" i="92"/>
  <c r="G14" i="92" s="1"/>
  <c r="K11" i="92"/>
  <c r="I10" i="92"/>
  <c r="G10" i="92"/>
  <c r="I9" i="92"/>
  <c r="L13" i="92" s="1"/>
  <c r="G9" i="92"/>
  <c r="G8" i="92"/>
  <c r="I7" i="92"/>
  <c r="K43" i="91"/>
  <c r="I43" i="91"/>
  <c r="H43" i="91"/>
  <c r="G43" i="91"/>
  <c r="B43" i="91"/>
  <c r="K42" i="91"/>
  <c r="I42" i="91"/>
  <c r="H42" i="91"/>
  <c r="B42" i="91"/>
  <c r="G42" i="91" s="1"/>
  <c r="K41" i="91"/>
  <c r="I41" i="91"/>
  <c r="H41" i="91"/>
  <c r="B41" i="91"/>
  <c r="G41" i="91" s="1"/>
  <c r="K40" i="91"/>
  <c r="I40" i="91"/>
  <c r="H40" i="91"/>
  <c r="B40" i="91"/>
  <c r="G40" i="91" s="1"/>
  <c r="K39" i="91"/>
  <c r="I39" i="91"/>
  <c r="H39" i="91"/>
  <c r="G39" i="91"/>
  <c r="B39" i="91"/>
  <c r="K38" i="91"/>
  <c r="I38" i="91"/>
  <c r="H38" i="91"/>
  <c r="B38" i="91"/>
  <c r="G38" i="91" s="1"/>
  <c r="K37" i="91"/>
  <c r="I37" i="91"/>
  <c r="H37" i="91"/>
  <c r="B37" i="91"/>
  <c r="G37" i="91" s="1"/>
  <c r="K36" i="91"/>
  <c r="I36" i="91"/>
  <c r="H36" i="91"/>
  <c r="B36" i="91"/>
  <c r="G36" i="91" s="1"/>
  <c r="K35" i="91"/>
  <c r="I35" i="91"/>
  <c r="H35" i="91"/>
  <c r="G35" i="91"/>
  <c r="B35" i="91"/>
  <c r="K34" i="91"/>
  <c r="I34" i="91"/>
  <c r="H34" i="91"/>
  <c r="G34" i="91"/>
  <c r="B34" i="91"/>
  <c r="K33" i="91"/>
  <c r="I33" i="91"/>
  <c r="H33" i="91"/>
  <c r="B33" i="91"/>
  <c r="G33" i="91" s="1"/>
  <c r="K32" i="91"/>
  <c r="I32" i="91"/>
  <c r="H32" i="91"/>
  <c r="B32" i="91"/>
  <c r="G32" i="91" s="1"/>
  <c r="K31" i="91"/>
  <c r="I31" i="91"/>
  <c r="H31" i="91"/>
  <c r="G31" i="91"/>
  <c r="B31" i="91"/>
  <c r="K30" i="91"/>
  <c r="I30" i="91"/>
  <c r="H30" i="91"/>
  <c r="B30" i="91"/>
  <c r="G30" i="91" s="1"/>
  <c r="K29" i="91"/>
  <c r="I29" i="91"/>
  <c r="H29" i="91"/>
  <c r="B29" i="91"/>
  <c r="G29" i="91" s="1"/>
  <c r="K28" i="91"/>
  <c r="I28" i="91"/>
  <c r="H28" i="91"/>
  <c r="B28" i="91"/>
  <c r="G28" i="91" s="1"/>
  <c r="K27" i="91"/>
  <c r="I27" i="91"/>
  <c r="H27" i="91"/>
  <c r="G27" i="91"/>
  <c r="B27" i="91"/>
  <c r="K26" i="91"/>
  <c r="I26" i="91"/>
  <c r="H26" i="91"/>
  <c r="G26" i="91"/>
  <c r="B26" i="91"/>
  <c r="K25" i="91"/>
  <c r="I25" i="91"/>
  <c r="H25" i="91"/>
  <c r="B25" i="91"/>
  <c r="G25" i="91" s="1"/>
  <c r="K24" i="91"/>
  <c r="I24" i="91"/>
  <c r="H24" i="91"/>
  <c r="B24" i="91"/>
  <c r="G24" i="91" s="1"/>
  <c r="K23" i="91"/>
  <c r="I23" i="91"/>
  <c r="H23" i="91"/>
  <c r="G23" i="91"/>
  <c r="B23" i="91"/>
  <c r="K22" i="91"/>
  <c r="I22" i="91"/>
  <c r="H22" i="91"/>
  <c r="B22" i="91"/>
  <c r="G22" i="91" s="1"/>
  <c r="K21" i="91"/>
  <c r="I21" i="91"/>
  <c r="H21" i="91"/>
  <c r="B21" i="91"/>
  <c r="G21" i="91" s="1"/>
  <c r="K20" i="91"/>
  <c r="I20" i="91"/>
  <c r="H20" i="91"/>
  <c r="B20" i="91"/>
  <c r="G20" i="91" s="1"/>
  <c r="K19" i="91"/>
  <c r="I19" i="91"/>
  <c r="H19" i="91"/>
  <c r="G19" i="91"/>
  <c r="B19" i="91"/>
  <c r="K18" i="91"/>
  <c r="I18" i="91"/>
  <c r="H18" i="91"/>
  <c r="G18" i="91"/>
  <c r="B18" i="91"/>
  <c r="K17" i="91"/>
  <c r="I17" i="91"/>
  <c r="H17" i="91"/>
  <c r="B17" i="91"/>
  <c r="G17" i="91" s="1"/>
  <c r="K16" i="91"/>
  <c r="I16" i="91"/>
  <c r="H16" i="91"/>
  <c r="B16" i="91"/>
  <c r="G16" i="91" s="1"/>
  <c r="K15" i="91"/>
  <c r="I15" i="91"/>
  <c r="H15" i="91"/>
  <c r="G15" i="91"/>
  <c r="B15" i="91"/>
  <c r="K14" i="91"/>
  <c r="I14" i="91"/>
  <c r="H14" i="91"/>
  <c r="B14" i="91"/>
  <c r="G14" i="91" s="1"/>
  <c r="L13" i="91"/>
  <c r="K11" i="91"/>
  <c r="I10" i="91"/>
  <c r="G10" i="91"/>
  <c r="I9" i="91"/>
  <c r="G9" i="91"/>
  <c r="G8" i="91"/>
  <c r="I7" i="91"/>
  <c r="K43" i="90"/>
  <c r="I43" i="90"/>
  <c r="H43" i="90"/>
  <c r="B43" i="90"/>
  <c r="G43" i="90" s="1"/>
  <c r="K42" i="90"/>
  <c r="I42" i="90"/>
  <c r="H42" i="90"/>
  <c r="B42" i="90"/>
  <c r="G42" i="90" s="1"/>
  <c r="K41" i="90"/>
  <c r="I41" i="90"/>
  <c r="H41" i="90"/>
  <c r="G41" i="90"/>
  <c r="B41" i="90"/>
  <c r="K40" i="90"/>
  <c r="I40" i="90"/>
  <c r="H40" i="90"/>
  <c r="G40" i="90"/>
  <c r="B40" i="90"/>
  <c r="K39" i="90"/>
  <c r="I39" i="90"/>
  <c r="H39" i="90"/>
  <c r="G39" i="90"/>
  <c r="B39" i="90"/>
  <c r="K38" i="90"/>
  <c r="I38" i="90"/>
  <c r="H38" i="90"/>
  <c r="B38" i="90"/>
  <c r="G38" i="90" s="1"/>
  <c r="K37" i="90"/>
  <c r="I37" i="90"/>
  <c r="H37" i="90"/>
  <c r="G37" i="90"/>
  <c r="B37" i="90"/>
  <c r="K36" i="90"/>
  <c r="I36" i="90"/>
  <c r="H36" i="90"/>
  <c r="B36" i="90"/>
  <c r="G36" i="90" s="1"/>
  <c r="K35" i="90"/>
  <c r="I35" i="90"/>
  <c r="H35" i="90"/>
  <c r="B35" i="90"/>
  <c r="G35" i="90" s="1"/>
  <c r="K34" i="90"/>
  <c r="I34" i="90"/>
  <c r="H34" i="90"/>
  <c r="B34" i="90"/>
  <c r="G34" i="90" s="1"/>
  <c r="K33" i="90"/>
  <c r="I33" i="90"/>
  <c r="H33" i="90"/>
  <c r="G33" i="90"/>
  <c r="B33" i="90"/>
  <c r="K32" i="90"/>
  <c r="I32" i="90"/>
  <c r="H32" i="90"/>
  <c r="G32" i="90"/>
  <c r="B32" i="90"/>
  <c r="K31" i="90"/>
  <c r="I31" i="90"/>
  <c r="H31" i="90"/>
  <c r="G31" i="90"/>
  <c r="B31" i="90"/>
  <c r="K30" i="90"/>
  <c r="I30" i="90"/>
  <c r="H30" i="90"/>
  <c r="B30" i="90"/>
  <c r="G30" i="90" s="1"/>
  <c r="K29" i="90"/>
  <c r="I29" i="90"/>
  <c r="H29" i="90"/>
  <c r="G29" i="90"/>
  <c r="B29" i="90"/>
  <c r="K28" i="90"/>
  <c r="I28" i="90"/>
  <c r="H28" i="90"/>
  <c r="B28" i="90"/>
  <c r="G28" i="90" s="1"/>
  <c r="K27" i="90"/>
  <c r="I27" i="90"/>
  <c r="H27" i="90"/>
  <c r="B27" i="90"/>
  <c r="G27" i="90" s="1"/>
  <c r="K26" i="90"/>
  <c r="I26" i="90"/>
  <c r="H26" i="90"/>
  <c r="B26" i="90"/>
  <c r="G26" i="90" s="1"/>
  <c r="K25" i="90"/>
  <c r="I25" i="90"/>
  <c r="H25" i="90"/>
  <c r="G25" i="90"/>
  <c r="B25" i="90"/>
  <c r="K24" i="90"/>
  <c r="I24" i="90"/>
  <c r="H24" i="90"/>
  <c r="G24" i="90"/>
  <c r="B24" i="90"/>
  <c r="K23" i="90"/>
  <c r="I23" i="90"/>
  <c r="H23" i="90"/>
  <c r="G23" i="90"/>
  <c r="B23" i="90"/>
  <c r="K22" i="90"/>
  <c r="I22" i="90"/>
  <c r="H22" i="90"/>
  <c r="B22" i="90"/>
  <c r="G22" i="90" s="1"/>
  <c r="K21" i="90"/>
  <c r="I21" i="90"/>
  <c r="H21" i="90"/>
  <c r="G21" i="90"/>
  <c r="B21" i="90"/>
  <c r="K20" i="90"/>
  <c r="I20" i="90"/>
  <c r="H20" i="90"/>
  <c r="B20" i="90"/>
  <c r="G20" i="90" s="1"/>
  <c r="K19" i="90"/>
  <c r="I19" i="90"/>
  <c r="H19" i="90"/>
  <c r="B19" i="90"/>
  <c r="G19" i="90" s="1"/>
  <c r="K18" i="90"/>
  <c r="I18" i="90"/>
  <c r="H18" i="90"/>
  <c r="B18" i="90"/>
  <c r="G18" i="90" s="1"/>
  <c r="K17" i="90"/>
  <c r="I17" i="90"/>
  <c r="H17" i="90"/>
  <c r="G17" i="90"/>
  <c r="B17" i="90"/>
  <c r="K16" i="90"/>
  <c r="I16" i="90"/>
  <c r="H16" i="90"/>
  <c r="G16" i="90"/>
  <c r="B16" i="90"/>
  <c r="K15" i="90"/>
  <c r="I15" i="90"/>
  <c r="H15" i="90"/>
  <c r="G15" i="90"/>
  <c r="B15" i="90"/>
  <c r="K14" i="90"/>
  <c r="I14" i="90"/>
  <c r="H14" i="90"/>
  <c r="B14" i="90"/>
  <c r="G14" i="90" s="1"/>
  <c r="K11" i="90"/>
  <c r="I10" i="90"/>
  <c r="G10" i="90"/>
  <c r="I9" i="90"/>
  <c r="L13" i="90" s="1"/>
  <c r="G9" i="90"/>
  <c r="G8" i="90"/>
  <c r="I7" i="90"/>
  <c r="K43" i="89"/>
  <c r="I43" i="89"/>
  <c r="H43" i="89"/>
  <c r="B43" i="89"/>
  <c r="G43" i="89" s="1"/>
  <c r="K42" i="89"/>
  <c r="I42" i="89"/>
  <c r="H42" i="89"/>
  <c r="B42" i="89"/>
  <c r="G42" i="89" s="1"/>
  <c r="K41" i="89"/>
  <c r="I41" i="89"/>
  <c r="H41" i="89"/>
  <c r="G41" i="89"/>
  <c r="B41" i="89"/>
  <c r="K40" i="89"/>
  <c r="I40" i="89"/>
  <c r="H40" i="89"/>
  <c r="B40" i="89"/>
  <c r="G40" i="89" s="1"/>
  <c r="K39" i="89"/>
  <c r="I39" i="89"/>
  <c r="H39" i="89"/>
  <c r="G39" i="89"/>
  <c r="B39" i="89"/>
  <c r="K38" i="89"/>
  <c r="I38" i="89"/>
  <c r="H38" i="89"/>
  <c r="G38" i="89"/>
  <c r="B38" i="89"/>
  <c r="K37" i="89"/>
  <c r="I37" i="89"/>
  <c r="H37" i="89"/>
  <c r="G37" i="89"/>
  <c r="B37" i="89"/>
  <c r="K36" i="89"/>
  <c r="I36" i="89"/>
  <c r="H36" i="89"/>
  <c r="B36" i="89"/>
  <c r="G36" i="89" s="1"/>
  <c r="K35" i="89"/>
  <c r="I35" i="89"/>
  <c r="H35" i="89"/>
  <c r="B35" i="89"/>
  <c r="G35" i="89" s="1"/>
  <c r="K34" i="89"/>
  <c r="I34" i="89"/>
  <c r="H34" i="89"/>
  <c r="B34" i="89"/>
  <c r="G34" i="89" s="1"/>
  <c r="K33" i="89"/>
  <c r="I33" i="89"/>
  <c r="H33" i="89"/>
  <c r="B33" i="89"/>
  <c r="G33" i="89" s="1"/>
  <c r="K32" i="89"/>
  <c r="I32" i="89"/>
  <c r="H32" i="89"/>
  <c r="B32" i="89"/>
  <c r="G32" i="89" s="1"/>
  <c r="K31" i="89"/>
  <c r="I31" i="89"/>
  <c r="H31" i="89"/>
  <c r="G31" i="89"/>
  <c r="B31" i="89"/>
  <c r="K30" i="89"/>
  <c r="I30" i="89"/>
  <c r="H30" i="89"/>
  <c r="G30" i="89"/>
  <c r="B30" i="89"/>
  <c r="K29" i="89"/>
  <c r="I29" i="89"/>
  <c r="H29" i="89"/>
  <c r="G29" i="89"/>
  <c r="B29" i="89"/>
  <c r="K28" i="89"/>
  <c r="I28" i="89"/>
  <c r="H28" i="89"/>
  <c r="B28" i="89"/>
  <c r="G28" i="89" s="1"/>
  <c r="K27" i="89"/>
  <c r="I27" i="89"/>
  <c r="H27" i="89"/>
  <c r="B27" i="89"/>
  <c r="G27" i="89" s="1"/>
  <c r="K26" i="89"/>
  <c r="I26" i="89"/>
  <c r="H26" i="89"/>
  <c r="B26" i="89"/>
  <c r="G26" i="89" s="1"/>
  <c r="K25" i="89"/>
  <c r="I25" i="89"/>
  <c r="H25" i="89"/>
  <c r="B25" i="89"/>
  <c r="G25" i="89" s="1"/>
  <c r="K24" i="89"/>
  <c r="I24" i="89"/>
  <c r="H24" i="89"/>
  <c r="B24" i="89"/>
  <c r="G24" i="89" s="1"/>
  <c r="K23" i="89"/>
  <c r="I23" i="89"/>
  <c r="H23" i="89"/>
  <c r="G23" i="89"/>
  <c r="B23" i="89"/>
  <c r="K22" i="89"/>
  <c r="I22" i="89"/>
  <c r="H22" i="89"/>
  <c r="G22" i="89"/>
  <c r="B22" i="89"/>
  <c r="K21" i="89"/>
  <c r="I21" i="89"/>
  <c r="H21" i="89"/>
  <c r="G21" i="89"/>
  <c r="B21" i="89"/>
  <c r="K20" i="89"/>
  <c r="I20" i="89"/>
  <c r="H20" i="89"/>
  <c r="B20" i="89"/>
  <c r="G20" i="89" s="1"/>
  <c r="K19" i="89"/>
  <c r="I19" i="89"/>
  <c r="H19" i="89"/>
  <c r="B19" i="89"/>
  <c r="G19" i="89" s="1"/>
  <c r="K18" i="89"/>
  <c r="I18" i="89"/>
  <c r="H18" i="89"/>
  <c r="B18" i="89"/>
  <c r="G18" i="89" s="1"/>
  <c r="K17" i="89"/>
  <c r="I17" i="89"/>
  <c r="H17" i="89"/>
  <c r="B17" i="89"/>
  <c r="G17" i="89" s="1"/>
  <c r="K16" i="89"/>
  <c r="I16" i="89"/>
  <c r="H16" i="89"/>
  <c r="G16" i="89"/>
  <c r="B16" i="89"/>
  <c r="K15" i="89"/>
  <c r="I15" i="89"/>
  <c r="H15" i="89"/>
  <c r="G15" i="89"/>
  <c r="B15" i="89"/>
  <c r="K14" i="89"/>
  <c r="I14" i="89"/>
  <c r="H14" i="89"/>
  <c r="G14" i="89"/>
  <c r="B14" i="89"/>
  <c r="L13" i="89"/>
  <c r="K11" i="89"/>
  <c r="I10" i="89"/>
  <c r="G10" i="89"/>
  <c r="I9" i="89"/>
  <c r="G9" i="89"/>
  <c r="G8" i="89"/>
  <c r="I7" i="89"/>
  <c r="B57" i="32"/>
  <c r="B58" i="32"/>
  <c r="B59" i="32"/>
  <c r="B60" i="32"/>
  <c r="B61" i="32"/>
  <c r="B62" i="32"/>
  <c r="B56" i="32"/>
  <c r="C56" i="32"/>
  <c r="D56" i="32"/>
  <c r="E56" i="32"/>
  <c r="C57" i="32"/>
  <c r="D57" i="32"/>
  <c r="E57" i="32"/>
  <c r="C58" i="32"/>
  <c r="D58" i="32"/>
  <c r="E58" i="32"/>
  <c r="C59" i="32"/>
  <c r="D59" i="32"/>
  <c r="E59" i="32"/>
  <c r="C60" i="32"/>
  <c r="D60" i="32"/>
  <c r="E60" i="32"/>
  <c r="C61" i="32"/>
  <c r="D61" i="32"/>
  <c r="E61" i="32"/>
  <c r="C62" i="32"/>
  <c r="D62" i="32"/>
  <c r="E62" i="32"/>
  <c r="K43" i="88"/>
  <c r="I43" i="88"/>
  <c r="H43" i="88"/>
  <c r="G43" i="88"/>
  <c r="B43" i="88"/>
  <c r="K42" i="88"/>
  <c r="I42" i="88"/>
  <c r="H42" i="88"/>
  <c r="B42" i="88"/>
  <c r="G42" i="88" s="1"/>
  <c r="K41" i="88"/>
  <c r="I41" i="88"/>
  <c r="H41" i="88"/>
  <c r="B41" i="88"/>
  <c r="G41" i="88" s="1"/>
  <c r="K40" i="88"/>
  <c r="I40" i="88"/>
  <c r="H40" i="88"/>
  <c r="B40" i="88"/>
  <c r="G40" i="88" s="1"/>
  <c r="K39" i="88"/>
  <c r="I39" i="88"/>
  <c r="H39" i="88"/>
  <c r="G39" i="88"/>
  <c r="B39" i="88"/>
  <c r="K38" i="88"/>
  <c r="I38" i="88"/>
  <c r="H38" i="88"/>
  <c r="B38" i="88"/>
  <c r="G38" i="88" s="1"/>
  <c r="K37" i="88"/>
  <c r="I37" i="88"/>
  <c r="H37" i="88"/>
  <c r="G37" i="88"/>
  <c r="B37" i="88"/>
  <c r="K36" i="88"/>
  <c r="I36" i="88"/>
  <c r="H36" i="88"/>
  <c r="B36" i="88"/>
  <c r="G36" i="88" s="1"/>
  <c r="K35" i="88"/>
  <c r="I35" i="88"/>
  <c r="H35" i="88"/>
  <c r="G35" i="88"/>
  <c r="B35" i="88"/>
  <c r="K34" i="88"/>
  <c r="I34" i="88"/>
  <c r="H34" i="88"/>
  <c r="B34" i="88"/>
  <c r="G34" i="88" s="1"/>
  <c r="K33" i="88"/>
  <c r="I33" i="88"/>
  <c r="H33" i="88"/>
  <c r="G33" i="88"/>
  <c r="B33" i="88"/>
  <c r="K32" i="88"/>
  <c r="I32" i="88"/>
  <c r="H32" i="88"/>
  <c r="B32" i="88"/>
  <c r="G32" i="88" s="1"/>
  <c r="K31" i="88"/>
  <c r="I31" i="88"/>
  <c r="H31" i="88"/>
  <c r="G31" i="88"/>
  <c r="B31" i="88"/>
  <c r="K30" i="88"/>
  <c r="I30" i="88"/>
  <c r="H30" i="88"/>
  <c r="B30" i="88"/>
  <c r="G30" i="88" s="1"/>
  <c r="K29" i="88"/>
  <c r="I29" i="88"/>
  <c r="H29" i="88"/>
  <c r="G29" i="88"/>
  <c r="B29" i="88"/>
  <c r="K28" i="88"/>
  <c r="I28" i="88"/>
  <c r="H28" i="88"/>
  <c r="B28" i="88"/>
  <c r="G28" i="88" s="1"/>
  <c r="K27" i="88"/>
  <c r="I27" i="88"/>
  <c r="H27" i="88"/>
  <c r="G27" i="88"/>
  <c r="B27" i="88"/>
  <c r="K26" i="88"/>
  <c r="I26" i="88"/>
  <c r="H26" i="88"/>
  <c r="B26" i="88"/>
  <c r="G26" i="88" s="1"/>
  <c r="K25" i="88"/>
  <c r="I25" i="88"/>
  <c r="H25" i="88"/>
  <c r="B25" i="88"/>
  <c r="G25" i="88" s="1"/>
  <c r="K24" i="88"/>
  <c r="I24" i="88"/>
  <c r="H24" i="88"/>
  <c r="B24" i="88"/>
  <c r="G24" i="88" s="1"/>
  <c r="K23" i="88"/>
  <c r="I23" i="88"/>
  <c r="H23" i="88"/>
  <c r="G23" i="88"/>
  <c r="B23" i="88"/>
  <c r="K22" i="88"/>
  <c r="I22" i="88"/>
  <c r="H22" i="88"/>
  <c r="B22" i="88"/>
  <c r="G22" i="88" s="1"/>
  <c r="K21" i="88"/>
  <c r="I21" i="88"/>
  <c r="H21" i="88"/>
  <c r="G21" i="88"/>
  <c r="B21" i="88"/>
  <c r="K20" i="88"/>
  <c r="I20" i="88"/>
  <c r="H20" i="88"/>
  <c r="B20" i="88"/>
  <c r="G20" i="88" s="1"/>
  <c r="K19" i="88"/>
  <c r="I19" i="88"/>
  <c r="H19" i="88"/>
  <c r="G19" i="88"/>
  <c r="B19" i="88"/>
  <c r="K18" i="88"/>
  <c r="I18" i="88"/>
  <c r="H18" i="88"/>
  <c r="B18" i="88"/>
  <c r="G18" i="88" s="1"/>
  <c r="K17" i="88"/>
  <c r="I17" i="88"/>
  <c r="H17" i="88"/>
  <c r="B17" i="88"/>
  <c r="G17" i="88" s="1"/>
  <c r="K16" i="88"/>
  <c r="I16" i="88"/>
  <c r="H16" i="88"/>
  <c r="B16" i="88"/>
  <c r="G16" i="88" s="1"/>
  <c r="K15" i="88"/>
  <c r="I15" i="88"/>
  <c r="H15" i="88"/>
  <c r="G15" i="88"/>
  <c r="B15" i="88"/>
  <c r="K14" i="88"/>
  <c r="I14" i="88"/>
  <c r="H14" i="88"/>
  <c r="B14" i="88"/>
  <c r="G14" i="88" s="1"/>
  <c r="K11" i="88"/>
  <c r="I10" i="88"/>
  <c r="G10" i="88"/>
  <c r="I9" i="88"/>
  <c r="L13" i="88" s="1"/>
  <c r="G9" i="88"/>
  <c r="G8" i="88"/>
  <c r="I7" i="88"/>
  <c r="K43" i="87"/>
  <c r="I43" i="87"/>
  <c r="H43" i="87"/>
  <c r="B43" i="87"/>
  <c r="G43" i="87" s="1"/>
  <c r="K42" i="87"/>
  <c r="I42" i="87"/>
  <c r="H42" i="87"/>
  <c r="B42" i="87"/>
  <c r="G42" i="87" s="1"/>
  <c r="K41" i="87"/>
  <c r="I41" i="87"/>
  <c r="H41" i="87"/>
  <c r="B41" i="87"/>
  <c r="G41" i="87" s="1"/>
  <c r="K40" i="87"/>
  <c r="I40" i="87"/>
  <c r="H40" i="87"/>
  <c r="B40" i="87"/>
  <c r="G40" i="87" s="1"/>
  <c r="K39" i="87"/>
  <c r="I39" i="87"/>
  <c r="H39" i="87"/>
  <c r="G39" i="87"/>
  <c r="B39" i="87"/>
  <c r="K38" i="87"/>
  <c r="I38" i="87"/>
  <c r="H38" i="87"/>
  <c r="B38" i="87"/>
  <c r="G38" i="87" s="1"/>
  <c r="K37" i="87"/>
  <c r="I37" i="87"/>
  <c r="H37" i="87"/>
  <c r="G37" i="87"/>
  <c r="B37" i="87"/>
  <c r="K36" i="87"/>
  <c r="I36" i="87"/>
  <c r="H36" i="87"/>
  <c r="B36" i="87"/>
  <c r="G36" i="87" s="1"/>
  <c r="K35" i="87"/>
  <c r="I35" i="87"/>
  <c r="H35" i="87"/>
  <c r="B35" i="87"/>
  <c r="G35" i="87" s="1"/>
  <c r="K34" i="87"/>
  <c r="I34" i="87"/>
  <c r="H34" i="87"/>
  <c r="B34" i="87"/>
  <c r="G34" i="87" s="1"/>
  <c r="K33" i="87"/>
  <c r="I33" i="87"/>
  <c r="H33" i="87"/>
  <c r="B33" i="87"/>
  <c r="G33" i="87" s="1"/>
  <c r="K32" i="87"/>
  <c r="I32" i="87"/>
  <c r="H32" i="87"/>
  <c r="B32" i="87"/>
  <c r="G32" i="87" s="1"/>
  <c r="K31" i="87"/>
  <c r="I31" i="87"/>
  <c r="H31" i="87"/>
  <c r="G31" i="87"/>
  <c r="B31" i="87"/>
  <c r="K30" i="87"/>
  <c r="I30" i="87"/>
  <c r="H30" i="87"/>
  <c r="B30" i="87"/>
  <c r="G30" i="87" s="1"/>
  <c r="K29" i="87"/>
  <c r="I29" i="87"/>
  <c r="H29" i="87"/>
  <c r="G29" i="87"/>
  <c r="B29" i="87"/>
  <c r="K28" i="87"/>
  <c r="I28" i="87"/>
  <c r="H28" i="87"/>
  <c r="B28" i="87"/>
  <c r="G28" i="87" s="1"/>
  <c r="K27" i="87"/>
  <c r="I27" i="87"/>
  <c r="H27" i="87"/>
  <c r="B27" i="87"/>
  <c r="G27" i="87" s="1"/>
  <c r="K26" i="87"/>
  <c r="I26" i="87"/>
  <c r="H26" i="87"/>
  <c r="B26" i="87"/>
  <c r="G26" i="87" s="1"/>
  <c r="K25" i="87"/>
  <c r="I25" i="87"/>
  <c r="H25" i="87"/>
  <c r="B25" i="87"/>
  <c r="G25" i="87" s="1"/>
  <c r="K24" i="87"/>
  <c r="I24" i="87"/>
  <c r="H24" i="87"/>
  <c r="G24" i="87"/>
  <c r="B24" i="87"/>
  <c r="K23" i="87"/>
  <c r="I23" i="87"/>
  <c r="H23" i="87"/>
  <c r="G23" i="87"/>
  <c r="B23" i="87"/>
  <c r="K22" i="87"/>
  <c r="I22" i="87"/>
  <c r="H22" i="87"/>
  <c r="B22" i="87"/>
  <c r="G22" i="87" s="1"/>
  <c r="K21" i="87"/>
  <c r="I21" i="87"/>
  <c r="H21" i="87"/>
  <c r="B21" i="87"/>
  <c r="G21" i="87" s="1"/>
  <c r="K20" i="87"/>
  <c r="I20" i="87"/>
  <c r="H20" i="87"/>
  <c r="B20" i="87"/>
  <c r="G20" i="87" s="1"/>
  <c r="K19" i="87"/>
  <c r="I19" i="87"/>
  <c r="H19" i="87"/>
  <c r="B19" i="87"/>
  <c r="G19" i="87" s="1"/>
  <c r="K18" i="87"/>
  <c r="I18" i="87"/>
  <c r="H18" i="87"/>
  <c r="B18" i="87"/>
  <c r="G18" i="87" s="1"/>
  <c r="K17" i="87"/>
  <c r="I17" i="87"/>
  <c r="H17" i="87"/>
  <c r="B17" i="87"/>
  <c r="G17" i="87" s="1"/>
  <c r="K16" i="87"/>
  <c r="I16" i="87"/>
  <c r="H16" i="87"/>
  <c r="G16" i="87"/>
  <c r="B16" i="87"/>
  <c r="K15" i="87"/>
  <c r="I15" i="87"/>
  <c r="H15" i="87"/>
  <c r="G15" i="87"/>
  <c r="B15" i="87"/>
  <c r="K14" i="87"/>
  <c r="I14" i="87"/>
  <c r="H14" i="87"/>
  <c r="B14" i="87"/>
  <c r="G14" i="87" s="1"/>
  <c r="L13" i="87"/>
  <c r="K11" i="87"/>
  <c r="I10" i="87"/>
  <c r="G10" i="87"/>
  <c r="I9" i="87"/>
  <c r="G9" i="87"/>
  <c r="G8" i="87"/>
  <c r="I7" i="87"/>
  <c r="K43" i="86"/>
  <c r="I43" i="86"/>
  <c r="H43" i="86"/>
  <c r="B43" i="86"/>
  <c r="G43" i="86" s="1"/>
  <c r="K42" i="86"/>
  <c r="I42" i="86"/>
  <c r="H42" i="86"/>
  <c r="B42" i="86"/>
  <c r="G42" i="86" s="1"/>
  <c r="K41" i="86"/>
  <c r="I41" i="86"/>
  <c r="H41" i="86"/>
  <c r="B41" i="86"/>
  <c r="G41" i="86" s="1"/>
  <c r="K40" i="86"/>
  <c r="I40" i="86"/>
  <c r="H40" i="86"/>
  <c r="G40" i="86"/>
  <c r="B40" i="86"/>
  <c r="K39" i="86"/>
  <c r="I39" i="86"/>
  <c r="H39" i="86"/>
  <c r="G39" i="86"/>
  <c r="B39" i="86"/>
  <c r="K38" i="86"/>
  <c r="I38" i="86"/>
  <c r="H38" i="86"/>
  <c r="B38" i="86"/>
  <c r="G38" i="86" s="1"/>
  <c r="K37" i="86"/>
  <c r="I37" i="86"/>
  <c r="H37" i="86"/>
  <c r="G37" i="86"/>
  <c r="B37" i="86"/>
  <c r="K36" i="86"/>
  <c r="I36" i="86"/>
  <c r="H36" i="86"/>
  <c r="B36" i="86"/>
  <c r="G36" i="86" s="1"/>
  <c r="K35" i="86"/>
  <c r="I35" i="86"/>
  <c r="H35" i="86"/>
  <c r="G35" i="86"/>
  <c r="B35" i="86"/>
  <c r="K34" i="86"/>
  <c r="I34" i="86"/>
  <c r="H34" i="86"/>
  <c r="B34" i="86"/>
  <c r="G34" i="86" s="1"/>
  <c r="K33" i="86"/>
  <c r="I33" i="86"/>
  <c r="H33" i="86"/>
  <c r="B33" i="86"/>
  <c r="G33" i="86" s="1"/>
  <c r="K32" i="86"/>
  <c r="I32" i="86"/>
  <c r="H32" i="86"/>
  <c r="G32" i="86"/>
  <c r="B32" i="86"/>
  <c r="K31" i="86"/>
  <c r="I31" i="86"/>
  <c r="H31" i="86"/>
  <c r="G31" i="86"/>
  <c r="B31" i="86"/>
  <c r="K30" i="86"/>
  <c r="I30" i="86"/>
  <c r="H30" i="86"/>
  <c r="B30" i="86"/>
  <c r="G30" i="86" s="1"/>
  <c r="K29" i="86"/>
  <c r="I29" i="86"/>
  <c r="H29" i="86"/>
  <c r="B29" i="86"/>
  <c r="G29" i="86" s="1"/>
  <c r="K28" i="86"/>
  <c r="I28" i="86"/>
  <c r="H28" i="86"/>
  <c r="B28" i="86"/>
  <c r="G28" i="86" s="1"/>
  <c r="K27" i="86"/>
  <c r="I27" i="86"/>
  <c r="H27" i="86"/>
  <c r="G27" i="86"/>
  <c r="B27" i="86"/>
  <c r="K26" i="86"/>
  <c r="I26" i="86"/>
  <c r="H26" i="86"/>
  <c r="B26" i="86"/>
  <c r="G26" i="86" s="1"/>
  <c r="K25" i="86"/>
  <c r="I25" i="86"/>
  <c r="H25" i="86"/>
  <c r="G25" i="86"/>
  <c r="B25" i="86"/>
  <c r="K24" i="86"/>
  <c r="I24" i="86"/>
  <c r="H24" i="86"/>
  <c r="G24" i="86"/>
  <c r="B24" i="86"/>
  <c r="K23" i="86"/>
  <c r="I23" i="86"/>
  <c r="H23" i="86"/>
  <c r="G23" i="86"/>
  <c r="B23" i="86"/>
  <c r="K22" i="86"/>
  <c r="I22" i="86"/>
  <c r="H22" i="86"/>
  <c r="G22" i="86"/>
  <c r="B22" i="86"/>
  <c r="K21" i="86"/>
  <c r="I21" i="86"/>
  <c r="H21" i="86"/>
  <c r="G21" i="86"/>
  <c r="B21" i="86"/>
  <c r="K20" i="86"/>
  <c r="I20" i="86"/>
  <c r="H20" i="86"/>
  <c r="B20" i="86"/>
  <c r="G20" i="86" s="1"/>
  <c r="K19" i="86"/>
  <c r="I19" i="86"/>
  <c r="H19" i="86"/>
  <c r="B19" i="86"/>
  <c r="G19" i="86" s="1"/>
  <c r="K18" i="86"/>
  <c r="I18" i="86"/>
  <c r="H18" i="86"/>
  <c r="B18" i="86"/>
  <c r="G18" i="86" s="1"/>
  <c r="K17" i="86"/>
  <c r="I17" i="86"/>
  <c r="H17" i="86"/>
  <c r="G17" i="86"/>
  <c r="B17" i="86"/>
  <c r="K16" i="86"/>
  <c r="I16" i="86"/>
  <c r="H16" i="86"/>
  <c r="G16" i="86"/>
  <c r="B16" i="86"/>
  <c r="K15" i="86"/>
  <c r="I15" i="86"/>
  <c r="H15" i="86"/>
  <c r="G15" i="86"/>
  <c r="B15" i="86"/>
  <c r="K14" i="86"/>
  <c r="I14" i="86"/>
  <c r="H14" i="86"/>
  <c r="G14" i="86"/>
  <c r="B14" i="86"/>
  <c r="K11" i="86"/>
  <c r="I10" i="86"/>
  <c r="G10" i="86"/>
  <c r="I9" i="86"/>
  <c r="L13" i="86" s="1"/>
  <c r="G9" i="86"/>
  <c r="G8" i="86"/>
  <c r="I7" i="86"/>
  <c r="K43" i="85"/>
  <c r="I43" i="85"/>
  <c r="H43" i="85"/>
  <c r="B43" i="85"/>
  <c r="G43" i="85" s="1"/>
  <c r="K42" i="85"/>
  <c r="I42" i="85"/>
  <c r="H42" i="85"/>
  <c r="B42" i="85"/>
  <c r="G42" i="85" s="1"/>
  <c r="K41" i="85"/>
  <c r="I41" i="85"/>
  <c r="H41" i="85"/>
  <c r="G41" i="85"/>
  <c r="B41" i="85"/>
  <c r="K40" i="85"/>
  <c r="I40" i="85"/>
  <c r="H40" i="85"/>
  <c r="G40" i="85"/>
  <c r="B40" i="85"/>
  <c r="K39" i="85"/>
  <c r="I39" i="85"/>
  <c r="H39" i="85"/>
  <c r="G39" i="85"/>
  <c r="B39" i="85"/>
  <c r="K38" i="85"/>
  <c r="I38" i="85"/>
  <c r="H38" i="85"/>
  <c r="B38" i="85"/>
  <c r="G38" i="85" s="1"/>
  <c r="K37" i="85"/>
  <c r="I37" i="85"/>
  <c r="H37" i="85"/>
  <c r="G37" i="85"/>
  <c r="B37" i="85"/>
  <c r="K36" i="85"/>
  <c r="I36" i="85"/>
  <c r="H36" i="85"/>
  <c r="B36" i="85"/>
  <c r="G36" i="85" s="1"/>
  <c r="K35" i="85"/>
  <c r="I35" i="85"/>
  <c r="H35" i="85"/>
  <c r="B35" i="85"/>
  <c r="G35" i="85" s="1"/>
  <c r="K34" i="85"/>
  <c r="I34" i="85"/>
  <c r="H34" i="85"/>
  <c r="B34" i="85"/>
  <c r="G34" i="85" s="1"/>
  <c r="K33" i="85"/>
  <c r="I33" i="85"/>
  <c r="H33" i="85"/>
  <c r="G33" i="85"/>
  <c r="B33" i="85"/>
  <c r="K32" i="85"/>
  <c r="I32" i="85"/>
  <c r="H32" i="85"/>
  <c r="G32" i="85"/>
  <c r="B32" i="85"/>
  <c r="K31" i="85"/>
  <c r="I31" i="85"/>
  <c r="H31" i="85"/>
  <c r="G31" i="85"/>
  <c r="B31" i="85"/>
  <c r="K30" i="85"/>
  <c r="I30" i="85"/>
  <c r="H30" i="85"/>
  <c r="B30" i="85"/>
  <c r="G30" i="85" s="1"/>
  <c r="K29" i="85"/>
  <c r="I29" i="85"/>
  <c r="H29" i="85"/>
  <c r="G29" i="85"/>
  <c r="B29" i="85"/>
  <c r="K28" i="85"/>
  <c r="I28" i="85"/>
  <c r="H28" i="85"/>
  <c r="B28" i="85"/>
  <c r="G28" i="85" s="1"/>
  <c r="K27" i="85"/>
  <c r="I27" i="85"/>
  <c r="H27" i="85"/>
  <c r="B27" i="85"/>
  <c r="G27" i="85" s="1"/>
  <c r="K26" i="85"/>
  <c r="I26" i="85"/>
  <c r="H26" i="85"/>
  <c r="B26" i="85"/>
  <c r="G26" i="85" s="1"/>
  <c r="K25" i="85"/>
  <c r="I25" i="85"/>
  <c r="H25" i="85"/>
  <c r="G25" i="85"/>
  <c r="B25" i="85"/>
  <c r="K24" i="85"/>
  <c r="I24" i="85"/>
  <c r="H24" i="85"/>
  <c r="G24" i="85"/>
  <c r="B24" i="85"/>
  <c r="K23" i="85"/>
  <c r="I23" i="85"/>
  <c r="H23" i="85"/>
  <c r="G23" i="85"/>
  <c r="B23" i="85"/>
  <c r="K22" i="85"/>
  <c r="I22" i="85"/>
  <c r="H22" i="85"/>
  <c r="B22" i="85"/>
  <c r="G22" i="85" s="1"/>
  <c r="K21" i="85"/>
  <c r="I21" i="85"/>
  <c r="H21" i="85"/>
  <c r="B21" i="85"/>
  <c r="G21" i="85" s="1"/>
  <c r="K20" i="85"/>
  <c r="I20" i="85"/>
  <c r="H20" i="85"/>
  <c r="B20" i="85"/>
  <c r="G20" i="85" s="1"/>
  <c r="K19" i="85"/>
  <c r="I19" i="85"/>
  <c r="H19" i="85"/>
  <c r="B19" i="85"/>
  <c r="G19" i="85" s="1"/>
  <c r="K18" i="85"/>
  <c r="I18" i="85"/>
  <c r="H18" i="85"/>
  <c r="B18" i="85"/>
  <c r="G18" i="85" s="1"/>
  <c r="K17" i="85"/>
  <c r="I17" i="85"/>
  <c r="H17" i="85"/>
  <c r="G17" i="85"/>
  <c r="B17" i="85"/>
  <c r="K16" i="85"/>
  <c r="I16" i="85"/>
  <c r="H16" i="85"/>
  <c r="G16" i="85"/>
  <c r="B16" i="85"/>
  <c r="K15" i="85"/>
  <c r="I15" i="85"/>
  <c r="H15" i="85"/>
  <c r="G15" i="85"/>
  <c r="B15" i="85"/>
  <c r="K14" i="85"/>
  <c r="I14" i="85"/>
  <c r="H14" i="85"/>
  <c r="B14" i="85"/>
  <c r="G14" i="85" s="1"/>
  <c r="K11" i="85"/>
  <c r="I10" i="85"/>
  <c r="G10" i="85"/>
  <c r="I9" i="85"/>
  <c r="L13" i="85" s="1"/>
  <c r="G9" i="85"/>
  <c r="G8" i="85"/>
  <c r="I7" i="85"/>
  <c r="K43" i="84"/>
  <c r="I43" i="84"/>
  <c r="H43" i="84"/>
  <c r="B43" i="84"/>
  <c r="G43" i="84" s="1"/>
  <c r="K42" i="84"/>
  <c r="I42" i="84"/>
  <c r="H42" i="84"/>
  <c r="B42" i="84"/>
  <c r="G42" i="84" s="1"/>
  <c r="K41" i="84"/>
  <c r="I41" i="84"/>
  <c r="H41" i="84"/>
  <c r="B41" i="84"/>
  <c r="G41" i="84" s="1"/>
  <c r="K40" i="84"/>
  <c r="I40" i="84"/>
  <c r="H40" i="84"/>
  <c r="B40" i="84"/>
  <c r="G40" i="84" s="1"/>
  <c r="K39" i="84"/>
  <c r="I39" i="84"/>
  <c r="H39" i="84"/>
  <c r="G39" i="84"/>
  <c r="B39" i="84"/>
  <c r="K38" i="84"/>
  <c r="I38" i="84"/>
  <c r="H38" i="84"/>
  <c r="B38" i="84"/>
  <c r="G38" i="84" s="1"/>
  <c r="K37" i="84"/>
  <c r="I37" i="84"/>
  <c r="H37" i="84"/>
  <c r="B37" i="84"/>
  <c r="G37" i="84" s="1"/>
  <c r="K36" i="84"/>
  <c r="I36" i="84"/>
  <c r="H36" i="84"/>
  <c r="B36" i="84"/>
  <c r="G36" i="84" s="1"/>
  <c r="K35" i="84"/>
  <c r="I35" i="84"/>
  <c r="H35" i="84"/>
  <c r="B35" i="84"/>
  <c r="G35" i="84" s="1"/>
  <c r="K34" i="84"/>
  <c r="I34" i="84"/>
  <c r="H34" i="84"/>
  <c r="B34" i="84"/>
  <c r="G34" i="84" s="1"/>
  <c r="K33" i="84"/>
  <c r="I33" i="84"/>
  <c r="H33" i="84"/>
  <c r="B33" i="84"/>
  <c r="G33" i="84" s="1"/>
  <c r="K32" i="84"/>
  <c r="I32" i="84"/>
  <c r="H32" i="84"/>
  <c r="B32" i="84"/>
  <c r="G32" i="84" s="1"/>
  <c r="K31" i="84"/>
  <c r="I31" i="84"/>
  <c r="H31" i="84"/>
  <c r="G31" i="84"/>
  <c r="B31" i="84"/>
  <c r="K30" i="84"/>
  <c r="I30" i="84"/>
  <c r="H30" i="84"/>
  <c r="B30" i="84"/>
  <c r="G30" i="84" s="1"/>
  <c r="K29" i="84"/>
  <c r="I29" i="84"/>
  <c r="H29" i="84"/>
  <c r="B29" i="84"/>
  <c r="G29" i="84" s="1"/>
  <c r="K28" i="84"/>
  <c r="I28" i="84"/>
  <c r="H28" i="84"/>
  <c r="B28" i="84"/>
  <c r="G28" i="84" s="1"/>
  <c r="K27" i="84"/>
  <c r="I27" i="84"/>
  <c r="H27" i="84"/>
  <c r="B27" i="84"/>
  <c r="G27" i="84" s="1"/>
  <c r="K26" i="84"/>
  <c r="I26" i="84"/>
  <c r="H26" i="84"/>
  <c r="G26" i="84"/>
  <c r="B26" i="84"/>
  <c r="K25" i="84"/>
  <c r="I25" i="84"/>
  <c r="H25" i="84"/>
  <c r="B25" i="84"/>
  <c r="G25" i="84" s="1"/>
  <c r="K24" i="84"/>
  <c r="I24" i="84"/>
  <c r="H24" i="84"/>
  <c r="B24" i="84"/>
  <c r="G24" i="84" s="1"/>
  <c r="K23" i="84"/>
  <c r="I23" i="84"/>
  <c r="H23" i="84"/>
  <c r="G23" i="84"/>
  <c r="B23" i="84"/>
  <c r="K22" i="84"/>
  <c r="I22" i="84"/>
  <c r="H22" i="84"/>
  <c r="B22" i="84"/>
  <c r="G22" i="84" s="1"/>
  <c r="K21" i="84"/>
  <c r="I21" i="84"/>
  <c r="H21" i="84"/>
  <c r="B21" i="84"/>
  <c r="G21" i="84" s="1"/>
  <c r="K20" i="84"/>
  <c r="I20" i="84"/>
  <c r="H20" i="84"/>
  <c r="B20" i="84"/>
  <c r="G20" i="84" s="1"/>
  <c r="K19" i="84"/>
  <c r="I19" i="84"/>
  <c r="H19" i="84"/>
  <c r="B19" i="84"/>
  <c r="G19" i="84" s="1"/>
  <c r="K18" i="84"/>
  <c r="I18" i="84"/>
  <c r="H18" i="84"/>
  <c r="B18" i="84"/>
  <c r="G18" i="84" s="1"/>
  <c r="K17" i="84"/>
  <c r="I17" i="84"/>
  <c r="H17" i="84"/>
  <c r="B17" i="84"/>
  <c r="G17" i="84" s="1"/>
  <c r="K16" i="84"/>
  <c r="I16" i="84"/>
  <c r="H16" i="84"/>
  <c r="B16" i="84"/>
  <c r="G16" i="84" s="1"/>
  <c r="K15" i="84"/>
  <c r="I15" i="84"/>
  <c r="H15" i="84"/>
  <c r="G15" i="84"/>
  <c r="B15" i="84"/>
  <c r="K14" i="84"/>
  <c r="I14" i="84"/>
  <c r="H14" i="84"/>
  <c r="B14" i="84"/>
  <c r="G14" i="84" s="1"/>
  <c r="L13" i="84"/>
  <c r="K11" i="84"/>
  <c r="I10" i="84"/>
  <c r="G10" i="84"/>
  <c r="I9" i="84"/>
  <c r="G9" i="84"/>
  <c r="G8" i="84"/>
  <c r="I7" i="84"/>
  <c r="K43" i="83"/>
  <c r="I43" i="83"/>
  <c r="H43" i="83"/>
  <c r="B43" i="83"/>
  <c r="G43" i="83" s="1"/>
  <c r="K42" i="83"/>
  <c r="I42" i="83"/>
  <c r="H42" i="83"/>
  <c r="B42" i="83"/>
  <c r="G42" i="83" s="1"/>
  <c r="K41" i="83"/>
  <c r="I41" i="83"/>
  <c r="H41" i="83"/>
  <c r="B41" i="83"/>
  <c r="G41" i="83" s="1"/>
  <c r="K40" i="83"/>
  <c r="I40" i="83"/>
  <c r="H40" i="83"/>
  <c r="B40" i="83"/>
  <c r="G40" i="83" s="1"/>
  <c r="K39" i="83"/>
  <c r="I39" i="83"/>
  <c r="H39" i="83"/>
  <c r="G39" i="83"/>
  <c r="B39" i="83"/>
  <c r="K38" i="83"/>
  <c r="I38" i="83"/>
  <c r="H38" i="83"/>
  <c r="G38" i="83"/>
  <c r="B38" i="83"/>
  <c r="K37" i="83"/>
  <c r="I37" i="83"/>
  <c r="H37" i="83"/>
  <c r="G37" i="83"/>
  <c r="B37" i="83"/>
  <c r="K36" i="83"/>
  <c r="I36" i="83"/>
  <c r="H36" i="83"/>
  <c r="B36" i="83"/>
  <c r="G36" i="83" s="1"/>
  <c r="K35" i="83"/>
  <c r="I35" i="83"/>
  <c r="H35" i="83"/>
  <c r="B35" i="83"/>
  <c r="G35" i="83" s="1"/>
  <c r="K34" i="83"/>
  <c r="I34" i="83"/>
  <c r="H34" i="83"/>
  <c r="G34" i="83"/>
  <c r="B34" i="83"/>
  <c r="K33" i="83"/>
  <c r="I33" i="83"/>
  <c r="H33" i="83"/>
  <c r="G33" i="83"/>
  <c r="B33" i="83"/>
  <c r="K32" i="83"/>
  <c r="I32" i="83"/>
  <c r="H32" i="83"/>
  <c r="B32" i="83"/>
  <c r="G32" i="83" s="1"/>
  <c r="K31" i="83"/>
  <c r="I31" i="83"/>
  <c r="H31" i="83"/>
  <c r="G31" i="83"/>
  <c r="B31" i="83"/>
  <c r="K30" i="83"/>
  <c r="I30" i="83"/>
  <c r="H30" i="83"/>
  <c r="G30" i="83"/>
  <c r="B30" i="83"/>
  <c r="K29" i="83"/>
  <c r="I29" i="83"/>
  <c r="H29" i="83"/>
  <c r="B29" i="83"/>
  <c r="G29" i="83" s="1"/>
  <c r="K28" i="83"/>
  <c r="I28" i="83"/>
  <c r="H28" i="83"/>
  <c r="B28" i="83"/>
  <c r="G28" i="83" s="1"/>
  <c r="K27" i="83"/>
  <c r="I27" i="83"/>
  <c r="H27" i="83"/>
  <c r="B27" i="83"/>
  <c r="G27" i="83" s="1"/>
  <c r="K26" i="83"/>
  <c r="I26" i="83"/>
  <c r="H26" i="83"/>
  <c r="B26" i="83"/>
  <c r="G26" i="83" s="1"/>
  <c r="K25" i="83"/>
  <c r="I25" i="83"/>
  <c r="H25" i="83"/>
  <c r="B25" i="83"/>
  <c r="G25" i="83" s="1"/>
  <c r="K24" i="83"/>
  <c r="I24" i="83"/>
  <c r="H24" i="83"/>
  <c r="B24" i="83"/>
  <c r="G24" i="83" s="1"/>
  <c r="K23" i="83"/>
  <c r="I23" i="83"/>
  <c r="H23" i="83"/>
  <c r="G23" i="83"/>
  <c r="B23" i="83"/>
  <c r="K22" i="83"/>
  <c r="I22" i="83"/>
  <c r="H22" i="83"/>
  <c r="G22" i="83"/>
  <c r="B22" i="83"/>
  <c r="K21" i="83"/>
  <c r="I21" i="83"/>
  <c r="H21" i="83"/>
  <c r="B21" i="83"/>
  <c r="G21" i="83" s="1"/>
  <c r="K20" i="83"/>
  <c r="I20" i="83"/>
  <c r="H20" i="83"/>
  <c r="B20" i="83"/>
  <c r="G20" i="83" s="1"/>
  <c r="K19" i="83"/>
  <c r="I19" i="83"/>
  <c r="H19" i="83"/>
  <c r="B19" i="83"/>
  <c r="G19" i="83" s="1"/>
  <c r="K18" i="83"/>
  <c r="I18" i="83"/>
  <c r="H18" i="83"/>
  <c r="G18" i="83"/>
  <c r="B18" i="83"/>
  <c r="K17" i="83"/>
  <c r="I17" i="83"/>
  <c r="H17" i="83"/>
  <c r="B17" i="83"/>
  <c r="G17" i="83" s="1"/>
  <c r="K16" i="83"/>
  <c r="I16" i="83"/>
  <c r="H16" i="83"/>
  <c r="G16" i="83"/>
  <c r="B16" i="83"/>
  <c r="K15" i="83"/>
  <c r="I15" i="83"/>
  <c r="H15" i="83"/>
  <c r="G15" i="83"/>
  <c r="B15" i="83"/>
  <c r="K14" i="83"/>
  <c r="I14" i="83"/>
  <c r="H14" i="83"/>
  <c r="G14" i="83"/>
  <c r="B14" i="83"/>
  <c r="K11" i="83"/>
  <c r="I10" i="83"/>
  <c r="G10" i="83"/>
  <c r="I9" i="83"/>
  <c r="L13" i="83" s="1"/>
  <c r="G9" i="83"/>
  <c r="G8" i="83"/>
  <c r="I7" i="83"/>
  <c r="K43" i="82"/>
  <c r="I43" i="82"/>
  <c r="H43" i="82"/>
  <c r="B43" i="82"/>
  <c r="G43" i="82" s="1"/>
  <c r="K42" i="82"/>
  <c r="I42" i="82"/>
  <c r="H42" i="82"/>
  <c r="B42" i="82"/>
  <c r="G42" i="82" s="1"/>
  <c r="K41" i="82"/>
  <c r="I41" i="82"/>
  <c r="H41" i="82"/>
  <c r="B41" i="82"/>
  <c r="G41" i="82" s="1"/>
  <c r="K40" i="82"/>
  <c r="I40" i="82"/>
  <c r="H40" i="82"/>
  <c r="B40" i="82"/>
  <c r="G40" i="82" s="1"/>
  <c r="K39" i="82"/>
  <c r="I39" i="82"/>
  <c r="H39" i="82"/>
  <c r="B39" i="82"/>
  <c r="G39" i="82" s="1"/>
  <c r="K38" i="82"/>
  <c r="I38" i="82"/>
  <c r="H38" i="82"/>
  <c r="B38" i="82"/>
  <c r="G38" i="82" s="1"/>
  <c r="K37" i="82"/>
  <c r="I37" i="82"/>
  <c r="H37" i="82"/>
  <c r="G37" i="82"/>
  <c r="B37" i="82"/>
  <c r="K36" i="82"/>
  <c r="I36" i="82"/>
  <c r="H36" i="82"/>
  <c r="G36" i="82"/>
  <c r="B36" i="82"/>
  <c r="K35" i="82"/>
  <c r="I35" i="82"/>
  <c r="H35" i="82"/>
  <c r="B35" i="82"/>
  <c r="G35" i="82" s="1"/>
  <c r="K34" i="82"/>
  <c r="I34" i="82"/>
  <c r="H34" i="82"/>
  <c r="B34" i="82"/>
  <c r="G34" i="82" s="1"/>
  <c r="K33" i="82"/>
  <c r="I33" i="82"/>
  <c r="H33" i="82"/>
  <c r="B33" i="82"/>
  <c r="G33" i="82" s="1"/>
  <c r="K32" i="82"/>
  <c r="I32" i="82"/>
  <c r="H32" i="82"/>
  <c r="B32" i="82"/>
  <c r="G32" i="82" s="1"/>
  <c r="K31" i="82"/>
  <c r="I31" i="82"/>
  <c r="H31" i="82"/>
  <c r="G31" i="82"/>
  <c r="B31" i="82"/>
  <c r="K30" i="82"/>
  <c r="I30" i="82"/>
  <c r="H30" i="82"/>
  <c r="B30" i="82"/>
  <c r="G30" i="82" s="1"/>
  <c r="K29" i="82"/>
  <c r="I29" i="82"/>
  <c r="H29" i="82"/>
  <c r="G29" i="82"/>
  <c r="B29" i="82"/>
  <c r="K28" i="82"/>
  <c r="I28" i="82"/>
  <c r="H28" i="82"/>
  <c r="G28" i="82"/>
  <c r="B28" i="82"/>
  <c r="K27" i="82"/>
  <c r="I27" i="82"/>
  <c r="H27" i="82"/>
  <c r="B27" i="82"/>
  <c r="G27" i="82" s="1"/>
  <c r="K26" i="82"/>
  <c r="I26" i="82"/>
  <c r="H26" i="82"/>
  <c r="B26" i="82"/>
  <c r="G26" i="82" s="1"/>
  <c r="K25" i="82"/>
  <c r="I25" i="82"/>
  <c r="H25" i="82"/>
  <c r="B25" i="82"/>
  <c r="G25" i="82" s="1"/>
  <c r="K24" i="82"/>
  <c r="I24" i="82"/>
  <c r="H24" i="82"/>
  <c r="B24" i="82"/>
  <c r="G24" i="82" s="1"/>
  <c r="K23" i="82"/>
  <c r="I23" i="82"/>
  <c r="H23" i="82"/>
  <c r="G23" i="82"/>
  <c r="B23" i="82"/>
  <c r="K22" i="82"/>
  <c r="I22" i="82"/>
  <c r="H22" i="82"/>
  <c r="B22" i="82"/>
  <c r="G22" i="82" s="1"/>
  <c r="K21" i="82"/>
  <c r="I21" i="82"/>
  <c r="H21" i="82"/>
  <c r="G21" i="82"/>
  <c r="B21" i="82"/>
  <c r="K20" i="82"/>
  <c r="I20" i="82"/>
  <c r="H20" i="82"/>
  <c r="G20" i="82"/>
  <c r="B20" i="82"/>
  <c r="K19" i="82"/>
  <c r="I19" i="82"/>
  <c r="H19" i="82"/>
  <c r="B19" i="82"/>
  <c r="G19" i="82" s="1"/>
  <c r="K18" i="82"/>
  <c r="I18" i="82"/>
  <c r="H18" i="82"/>
  <c r="B18" i="82"/>
  <c r="G18" i="82" s="1"/>
  <c r="K17" i="82"/>
  <c r="I17" i="82"/>
  <c r="H17" i="82"/>
  <c r="B17" i="82"/>
  <c r="G17" i="82" s="1"/>
  <c r="K16" i="82"/>
  <c r="I16" i="82"/>
  <c r="H16" i="82"/>
  <c r="B16" i="82"/>
  <c r="G16" i="82" s="1"/>
  <c r="K15" i="82"/>
  <c r="I15" i="82"/>
  <c r="H15" i="82"/>
  <c r="G15" i="82"/>
  <c r="B15" i="82"/>
  <c r="K14" i="82"/>
  <c r="I14" i="82"/>
  <c r="H14" i="82"/>
  <c r="B14" i="82"/>
  <c r="G14" i="82" s="1"/>
  <c r="L13" i="82"/>
  <c r="K11" i="82"/>
  <c r="I10" i="82"/>
  <c r="G10" i="82"/>
  <c r="I9" i="82"/>
  <c r="G9" i="82"/>
  <c r="G8" i="82"/>
  <c r="I7" i="82"/>
  <c r="K43" i="80"/>
  <c r="I43" i="80"/>
  <c r="H43" i="80"/>
  <c r="B43" i="80"/>
  <c r="G43" i="80" s="1"/>
  <c r="K42" i="80"/>
  <c r="I42" i="80"/>
  <c r="H42" i="80"/>
  <c r="G42" i="80"/>
  <c r="B42" i="80"/>
  <c r="K41" i="80"/>
  <c r="I41" i="80"/>
  <c r="H41" i="80"/>
  <c r="B41" i="80"/>
  <c r="G41" i="80" s="1"/>
  <c r="K40" i="80"/>
  <c r="I40" i="80"/>
  <c r="H40" i="80"/>
  <c r="G40" i="80"/>
  <c r="B40" i="80"/>
  <c r="K39" i="80"/>
  <c r="I39" i="80"/>
  <c r="H39" i="80"/>
  <c r="B39" i="80"/>
  <c r="G39" i="80" s="1"/>
  <c r="K38" i="80"/>
  <c r="I38" i="80"/>
  <c r="H38" i="80"/>
  <c r="B38" i="80"/>
  <c r="G38" i="80" s="1"/>
  <c r="K37" i="80"/>
  <c r="I37" i="80"/>
  <c r="H37" i="80"/>
  <c r="B37" i="80"/>
  <c r="G37" i="80" s="1"/>
  <c r="K36" i="80"/>
  <c r="I36" i="80"/>
  <c r="H36" i="80"/>
  <c r="B36" i="80"/>
  <c r="G36" i="80" s="1"/>
  <c r="K35" i="80"/>
  <c r="I35" i="80"/>
  <c r="H35" i="80"/>
  <c r="B35" i="80"/>
  <c r="G35" i="80" s="1"/>
  <c r="K34" i="80"/>
  <c r="I34" i="80"/>
  <c r="H34" i="80"/>
  <c r="G34" i="80"/>
  <c r="B34" i="80"/>
  <c r="K33" i="80"/>
  <c r="I33" i="80"/>
  <c r="H33" i="80"/>
  <c r="B33" i="80"/>
  <c r="G33" i="80" s="1"/>
  <c r="K32" i="80"/>
  <c r="I32" i="80"/>
  <c r="H32" i="80"/>
  <c r="G32" i="80"/>
  <c r="B32" i="80"/>
  <c r="K31" i="80"/>
  <c r="I31" i="80"/>
  <c r="H31" i="80"/>
  <c r="B31" i="80"/>
  <c r="G31" i="80" s="1"/>
  <c r="K30" i="80"/>
  <c r="I30" i="80"/>
  <c r="H30" i="80"/>
  <c r="B30" i="80"/>
  <c r="G30" i="80" s="1"/>
  <c r="K29" i="80"/>
  <c r="I29" i="80"/>
  <c r="H29" i="80"/>
  <c r="B29" i="80"/>
  <c r="G29" i="80" s="1"/>
  <c r="K28" i="80"/>
  <c r="I28" i="80"/>
  <c r="H28" i="80"/>
  <c r="G28" i="80"/>
  <c r="B28" i="80"/>
  <c r="K27" i="80"/>
  <c r="I27" i="80"/>
  <c r="H27" i="80"/>
  <c r="B27" i="80"/>
  <c r="G27" i="80" s="1"/>
  <c r="K26" i="80"/>
  <c r="I26" i="80"/>
  <c r="H26" i="80"/>
  <c r="G26" i="80"/>
  <c r="B26" i="80"/>
  <c r="K25" i="80"/>
  <c r="I25" i="80"/>
  <c r="H25" i="80"/>
  <c r="B25" i="80"/>
  <c r="G25" i="80" s="1"/>
  <c r="K24" i="80"/>
  <c r="I24" i="80"/>
  <c r="H24" i="80"/>
  <c r="B24" i="80"/>
  <c r="G24" i="80" s="1"/>
  <c r="K23" i="80"/>
  <c r="I23" i="80"/>
  <c r="H23" i="80"/>
  <c r="B23" i="80"/>
  <c r="G23" i="80" s="1"/>
  <c r="K22" i="80"/>
  <c r="I22" i="80"/>
  <c r="H22" i="80"/>
  <c r="B22" i="80"/>
  <c r="G22" i="80" s="1"/>
  <c r="K21" i="80"/>
  <c r="I21" i="80"/>
  <c r="H21" i="80"/>
  <c r="B21" i="80"/>
  <c r="G21" i="80" s="1"/>
  <c r="K20" i="80"/>
  <c r="I20" i="80"/>
  <c r="H20" i="80"/>
  <c r="B20" i="80"/>
  <c r="G20" i="80" s="1"/>
  <c r="K19" i="80"/>
  <c r="I19" i="80"/>
  <c r="H19" i="80"/>
  <c r="B19" i="80"/>
  <c r="G19" i="80" s="1"/>
  <c r="K18" i="80"/>
  <c r="I18" i="80"/>
  <c r="H18" i="80"/>
  <c r="G18" i="80"/>
  <c r="B18" i="80"/>
  <c r="K17" i="80"/>
  <c r="I17" i="80"/>
  <c r="H17" i="80"/>
  <c r="B17" i="80"/>
  <c r="G17" i="80" s="1"/>
  <c r="K16" i="80"/>
  <c r="I16" i="80"/>
  <c r="H16" i="80"/>
  <c r="G16" i="80"/>
  <c r="B16" i="80"/>
  <c r="K15" i="80"/>
  <c r="I15" i="80"/>
  <c r="H15" i="80"/>
  <c r="B15" i="80"/>
  <c r="G15" i="80" s="1"/>
  <c r="K14" i="80"/>
  <c r="I14" i="80"/>
  <c r="H14" i="80"/>
  <c r="B14" i="80"/>
  <c r="G14" i="80" s="1"/>
  <c r="K11" i="80"/>
  <c r="I10" i="80"/>
  <c r="G10" i="80"/>
  <c r="I9" i="80"/>
  <c r="L13" i="80" s="1"/>
  <c r="G9" i="80"/>
  <c r="G8" i="80"/>
  <c r="I7" i="80"/>
  <c r="K43" i="72"/>
  <c r="I43" i="72"/>
  <c r="H43" i="72"/>
  <c r="B43" i="72"/>
  <c r="G43" i="72" s="1"/>
  <c r="K42" i="72"/>
  <c r="I42" i="72"/>
  <c r="H42" i="72"/>
  <c r="B42" i="72"/>
  <c r="K41" i="72"/>
  <c r="I41" i="72"/>
  <c r="H41" i="72"/>
  <c r="B41" i="72"/>
  <c r="G41" i="72" s="1"/>
  <c r="K40" i="72"/>
  <c r="I40" i="72"/>
  <c r="H40" i="72"/>
  <c r="B40" i="72"/>
  <c r="K39" i="72"/>
  <c r="I39" i="72"/>
  <c r="H39" i="72"/>
  <c r="B39" i="72"/>
  <c r="G39" i="72" s="1"/>
  <c r="K38" i="72"/>
  <c r="I38" i="72"/>
  <c r="H38" i="72"/>
  <c r="B38" i="72"/>
  <c r="K37" i="72"/>
  <c r="I37" i="72"/>
  <c r="H37" i="72"/>
  <c r="B37" i="72"/>
  <c r="G37" i="72" s="1"/>
  <c r="K36" i="72"/>
  <c r="I36" i="72"/>
  <c r="H36" i="72"/>
  <c r="B36" i="72"/>
  <c r="K35" i="72"/>
  <c r="I35" i="72"/>
  <c r="H35" i="72"/>
  <c r="B35" i="72"/>
  <c r="G35" i="72" s="1"/>
  <c r="K34" i="72"/>
  <c r="I34" i="72"/>
  <c r="H34" i="72"/>
  <c r="B34" i="72"/>
  <c r="K33" i="72"/>
  <c r="I33" i="72"/>
  <c r="H33" i="72"/>
  <c r="B33" i="72"/>
  <c r="G33" i="72" s="1"/>
  <c r="K32" i="72"/>
  <c r="I32" i="72"/>
  <c r="H32" i="72"/>
  <c r="B32" i="72"/>
  <c r="K31" i="72"/>
  <c r="I31" i="72"/>
  <c r="H31" i="72"/>
  <c r="B31" i="72"/>
  <c r="G31" i="72" s="1"/>
  <c r="K30" i="72"/>
  <c r="I30" i="72"/>
  <c r="H30" i="72"/>
  <c r="B30" i="72"/>
  <c r="K29" i="72"/>
  <c r="I29" i="72"/>
  <c r="H29" i="72"/>
  <c r="B29" i="72"/>
  <c r="G29" i="72" s="1"/>
  <c r="K28" i="72"/>
  <c r="I28" i="72"/>
  <c r="H28" i="72"/>
  <c r="B28" i="72"/>
  <c r="K27" i="72"/>
  <c r="I27" i="72"/>
  <c r="H27" i="72"/>
  <c r="B27" i="72"/>
  <c r="G27" i="72" s="1"/>
  <c r="K26" i="72"/>
  <c r="I26" i="72"/>
  <c r="H26" i="72"/>
  <c r="B26" i="72"/>
  <c r="K25" i="72"/>
  <c r="I25" i="72"/>
  <c r="H25" i="72"/>
  <c r="B25" i="72"/>
  <c r="G25" i="72" s="1"/>
  <c r="K24" i="72"/>
  <c r="I24" i="72"/>
  <c r="H24" i="72"/>
  <c r="B24" i="72"/>
  <c r="K23" i="72"/>
  <c r="I23" i="72"/>
  <c r="H23" i="72"/>
  <c r="B23" i="72"/>
  <c r="G23" i="72" s="1"/>
  <c r="K22" i="72"/>
  <c r="I22" i="72"/>
  <c r="H22" i="72"/>
  <c r="B22" i="72"/>
  <c r="K21" i="72"/>
  <c r="I21" i="72"/>
  <c r="H21" i="72"/>
  <c r="B21" i="72"/>
  <c r="G21" i="72" s="1"/>
  <c r="K20" i="72"/>
  <c r="I20" i="72"/>
  <c r="H20" i="72"/>
  <c r="B20" i="72"/>
  <c r="K19" i="72"/>
  <c r="I19" i="72"/>
  <c r="H19" i="72"/>
  <c r="B19" i="72"/>
  <c r="G19" i="72" s="1"/>
  <c r="K18" i="72"/>
  <c r="I18" i="72"/>
  <c r="H18" i="72"/>
  <c r="B18" i="72"/>
  <c r="K17" i="72"/>
  <c r="I17" i="72"/>
  <c r="H17" i="72"/>
  <c r="B17" i="72"/>
  <c r="G17" i="72" s="1"/>
  <c r="K16" i="72"/>
  <c r="I16" i="72"/>
  <c r="H16" i="72"/>
  <c r="B16" i="72"/>
  <c r="K15" i="72"/>
  <c r="I15" i="72"/>
  <c r="H15" i="72"/>
  <c r="B15" i="72"/>
  <c r="G15" i="72" s="1"/>
  <c r="K14" i="72"/>
  <c r="I14" i="72"/>
  <c r="H14" i="72"/>
  <c r="B14" i="72"/>
  <c r="L13" i="72"/>
  <c r="K11" i="72"/>
  <c r="I10" i="72"/>
  <c r="G10" i="72"/>
  <c r="I9" i="72"/>
  <c r="G9" i="72"/>
  <c r="G8" i="72"/>
  <c r="I7" i="72"/>
  <c r="K43" i="71"/>
  <c r="I43" i="71"/>
  <c r="H43" i="71"/>
  <c r="B43" i="71"/>
  <c r="G43" i="71" s="1"/>
  <c r="K42" i="71"/>
  <c r="I42" i="71"/>
  <c r="H42" i="71"/>
  <c r="B42" i="71"/>
  <c r="K41" i="71"/>
  <c r="I41" i="71"/>
  <c r="H41" i="71"/>
  <c r="G41" i="71"/>
  <c r="B41" i="71"/>
  <c r="K40" i="71"/>
  <c r="I40" i="71"/>
  <c r="H40" i="71"/>
  <c r="B40" i="71"/>
  <c r="K39" i="71"/>
  <c r="I39" i="71"/>
  <c r="H39" i="71"/>
  <c r="B39" i="71"/>
  <c r="G39" i="71" s="1"/>
  <c r="K38" i="71"/>
  <c r="I38" i="71"/>
  <c r="H38" i="71"/>
  <c r="B38" i="71"/>
  <c r="K37" i="71"/>
  <c r="I37" i="71"/>
  <c r="H37" i="71"/>
  <c r="G37" i="71"/>
  <c r="B37" i="71"/>
  <c r="K36" i="71"/>
  <c r="I36" i="71"/>
  <c r="H36" i="71"/>
  <c r="B36" i="71"/>
  <c r="K35" i="71"/>
  <c r="I35" i="71"/>
  <c r="H35" i="71"/>
  <c r="B35" i="71"/>
  <c r="G35" i="71" s="1"/>
  <c r="K34" i="71"/>
  <c r="I34" i="71"/>
  <c r="H34" i="71"/>
  <c r="B34" i="71"/>
  <c r="K33" i="71"/>
  <c r="I33" i="71"/>
  <c r="H33" i="71"/>
  <c r="G33" i="71"/>
  <c r="B33" i="71"/>
  <c r="K32" i="71"/>
  <c r="I32" i="71"/>
  <c r="H32" i="71"/>
  <c r="B32" i="71"/>
  <c r="K31" i="71"/>
  <c r="I31" i="71"/>
  <c r="H31" i="71"/>
  <c r="B31" i="71"/>
  <c r="G31" i="71" s="1"/>
  <c r="K30" i="71"/>
  <c r="I30" i="71"/>
  <c r="H30" i="71"/>
  <c r="B30" i="71"/>
  <c r="K29" i="71"/>
  <c r="I29" i="71"/>
  <c r="H29" i="71"/>
  <c r="G29" i="71"/>
  <c r="B29" i="71"/>
  <c r="K28" i="71"/>
  <c r="I28" i="71"/>
  <c r="H28" i="71"/>
  <c r="B28" i="71"/>
  <c r="K27" i="71"/>
  <c r="I27" i="71"/>
  <c r="H27" i="71"/>
  <c r="G27" i="71"/>
  <c r="B27" i="71"/>
  <c r="K26" i="71"/>
  <c r="I26" i="71"/>
  <c r="H26" i="71"/>
  <c r="B26" i="71"/>
  <c r="K25" i="71"/>
  <c r="I25" i="71"/>
  <c r="H25" i="71"/>
  <c r="B25" i="71"/>
  <c r="G25" i="71" s="1"/>
  <c r="K24" i="71"/>
  <c r="I24" i="71"/>
  <c r="H24" i="71"/>
  <c r="B24" i="71"/>
  <c r="K23" i="71"/>
  <c r="I23" i="71"/>
  <c r="H23" i="71"/>
  <c r="B23" i="71"/>
  <c r="G23" i="71" s="1"/>
  <c r="K22" i="71"/>
  <c r="I22" i="71"/>
  <c r="H22" i="71"/>
  <c r="B22" i="71"/>
  <c r="K21" i="71"/>
  <c r="I21" i="71"/>
  <c r="H21" i="71"/>
  <c r="G21" i="71"/>
  <c r="B21" i="71"/>
  <c r="K20" i="71"/>
  <c r="I20" i="71"/>
  <c r="H20" i="71"/>
  <c r="B20" i="71"/>
  <c r="K19" i="71"/>
  <c r="I19" i="71"/>
  <c r="H19" i="71"/>
  <c r="B19" i="71"/>
  <c r="G19" i="71" s="1"/>
  <c r="K18" i="71"/>
  <c r="I18" i="71"/>
  <c r="H18" i="71"/>
  <c r="B18" i="71"/>
  <c r="K17" i="71"/>
  <c r="I17" i="71"/>
  <c r="H17" i="71"/>
  <c r="B17" i="71"/>
  <c r="G17" i="71" s="1"/>
  <c r="K16" i="71"/>
  <c r="I16" i="71"/>
  <c r="H16" i="71"/>
  <c r="B16" i="71"/>
  <c r="K15" i="71"/>
  <c r="I15" i="71"/>
  <c r="H15" i="71"/>
  <c r="B15" i="71"/>
  <c r="G15" i="71" s="1"/>
  <c r="K14" i="71"/>
  <c r="I14" i="71"/>
  <c r="H14" i="71"/>
  <c r="B14" i="71"/>
  <c r="K11" i="71"/>
  <c r="I10" i="71"/>
  <c r="G10" i="71"/>
  <c r="I9" i="71"/>
  <c r="L13" i="71" s="1"/>
  <c r="G9" i="71"/>
  <c r="G8" i="71"/>
  <c r="I7" i="71"/>
  <c r="K43" i="70"/>
  <c r="I43" i="70"/>
  <c r="H43" i="70"/>
  <c r="G43" i="70"/>
  <c r="B43" i="70"/>
  <c r="K42" i="70"/>
  <c r="I42" i="70"/>
  <c r="H42" i="70"/>
  <c r="B42" i="70"/>
  <c r="K41" i="70"/>
  <c r="I41" i="70"/>
  <c r="H41" i="70"/>
  <c r="G41" i="70"/>
  <c r="B41" i="70"/>
  <c r="K40" i="70"/>
  <c r="I40" i="70"/>
  <c r="H40" i="70"/>
  <c r="B40" i="70"/>
  <c r="K39" i="70"/>
  <c r="I39" i="70"/>
  <c r="H39" i="70"/>
  <c r="G39" i="70"/>
  <c r="B39" i="70"/>
  <c r="K38" i="70"/>
  <c r="I38" i="70"/>
  <c r="H38" i="70"/>
  <c r="B38" i="70"/>
  <c r="K37" i="70"/>
  <c r="I37" i="70"/>
  <c r="H37" i="70"/>
  <c r="B37" i="70"/>
  <c r="G37" i="70" s="1"/>
  <c r="K36" i="70"/>
  <c r="I36" i="70"/>
  <c r="H36" i="70"/>
  <c r="B36" i="70"/>
  <c r="K35" i="70"/>
  <c r="I35" i="70"/>
  <c r="H35" i="70"/>
  <c r="G35" i="70"/>
  <c r="B35" i="70"/>
  <c r="K34" i="70"/>
  <c r="I34" i="70"/>
  <c r="H34" i="70"/>
  <c r="B34" i="70"/>
  <c r="K33" i="70"/>
  <c r="I33" i="70"/>
  <c r="H33" i="70"/>
  <c r="B33" i="70"/>
  <c r="G33" i="70" s="1"/>
  <c r="K32" i="70"/>
  <c r="I32" i="70"/>
  <c r="H32" i="70"/>
  <c r="B32" i="70"/>
  <c r="K31" i="70"/>
  <c r="I31" i="70"/>
  <c r="H31" i="70"/>
  <c r="G31" i="70"/>
  <c r="B31" i="70"/>
  <c r="K30" i="70"/>
  <c r="I30" i="70"/>
  <c r="H30" i="70"/>
  <c r="B30" i="70"/>
  <c r="K29" i="70"/>
  <c r="I29" i="70"/>
  <c r="H29" i="70"/>
  <c r="B29" i="70"/>
  <c r="G29" i="70" s="1"/>
  <c r="K28" i="70"/>
  <c r="I28" i="70"/>
  <c r="H28" i="70"/>
  <c r="B28" i="70"/>
  <c r="K27" i="70"/>
  <c r="I27" i="70"/>
  <c r="H27" i="70"/>
  <c r="G27" i="70"/>
  <c r="B27" i="70"/>
  <c r="K26" i="70"/>
  <c r="I26" i="70"/>
  <c r="H26" i="70"/>
  <c r="B26" i="70"/>
  <c r="K25" i="70"/>
  <c r="I25" i="70"/>
  <c r="H25" i="70"/>
  <c r="G25" i="70"/>
  <c r="B25" i="70"/>
  <c r="K24" i="70"/>
  <c r="I24" i="70"/>
  <c r="H24" i="70"/>
  <c r="B24" i="70"/>
  <c r="K23" i="70"/>
  <c r="I23" i="70"/>
  <c r="H23" i="70"/>
  <c r="G23" i="70"/>
  <c r="B23" i="70"/>
  <c r="K22" i="70"/>
  <c r="I22" i="70"/>
  <c r="H22" i="70"/>
  <c r="B22" i="70"/>
  <c r="K21" i="70"/>
  <c r="I21" i="70"/>
  <c r="H21" i="70"/>
  <c r="B21" i="70"/>
  <c r="G21" i="70" s="1"/>
  <c r="K20" i="70"/>
  <c r="I20" i="70"/>
  <c r="H20" i="70"/>
  <c r="B20" i="70"/>
  <c r="K19" i="70"/>
  <c r="I19" i="70"/>
  <c r="H19" i="70"/>
  <c r="G19" i="70"/>
  <c r="B19" i="70"/>
  <c r="K18" i="70"/>
  <c r="I18" i="70"/>
  <c r="H18" i="70"/>
  <c r="B18" i="70"/>
  <c r="K17" i="70"/>
  <c r="I17" i="70"/>
  <c r="H17" i="70"/>
  <c r="B17" i="70"/>
  <c r="G17" i="70" s="1"/>
  <c r="K16" i="70"/>
  <c r="I16" i="70"/>
  <c r="H16" i="70"/>
  <c r="B16" i="70"/>
  <c r="K15" i="70"/>
  <c r="I15" i="70"/>
  <c r="H15" i="70"/>
  <c r="G15" i="70"/>
  <c r="B15" i="70"/>
  <c r="K14" i="70"/>
  <c r="I14" i="70"/>
  <c r="H14" i="70"/>
  <c r="B14" i="70"/>
  <c r="K11" i="70"/>
  <c r="I10" i="70"/>
  <c r="G10" i="70"/>
  <c r="I9" i="70"/>
  <c r="L13" i="70" s="1"/>
  <c r="G9" i="70"/>
  <c r="G8" i="70"/>
  <c r="I7" i="70"/>
  <c r="K43" i="69"/>
  <c r="I43" i="69"/>
  <c r="H43" i="69"/>
  <c r="B43" i="69"/>
  <c r="G43" i="69" s="1"/>
  <c r="K42" i="69"/>
  <c r="I42" i="69"/>
  <c r="H42" i="69"/>
  <c r="B42" i="69"/>
  <c r="K41" i="69"/>
  <c r="I41" i="69"/>
  <c r="H41" i="69"/>
  <c r="G41" i="69"/>
  <c r="B41" i="69"/>
  <c r="K40" i="69"/>
  <c r="I40" i="69"/>
  <c r="H40" i="69"/>
  <c r="B40" i="69"/>
  <c r="K39" i="69"/>
  <c r="I39" i="69"/>
  <c r="H39" i="69"/>
  <c r="G39" i="69"/>
  <c r="B39" i="69"/>
  <c r="K38" i="69"/>
  <c r="I38" i="69"/>
  <c r="H38" i="69"/>
  <c r="B38" i="69"/>
  <c r="K37" i="69"/>
  <c r="I37" i="69"/>
  <c r="H37" i="69"/>
  <c r="B37" i="69"/>
  <c r="G37" i="69" s="1"/>
  <c r="K36" i="69"/>
  <c r="I36" i="69"/>
  <c r="H36" i="69"/>
  <c r="B36" i="69"/>
  <c r="K35" i="69"/>
  <c r="I35" i="69"/>
  <c r="H35" i="69"/>
  <c r="G35" i="69"/>
  <c r="B35" i="69"/>
  <c r="K34" i="69"/>
  <c r="I34" i="69"/>
  <c r="H34" i="69"/>
  <c r="B34" i="69"/>
  <c r="K33" i="69"/>
  <c r="I33" i="69"/>
  <c r="H33" i="69"/>
  <c r="B33" i="69"/>
  <c r="G33" i="69" s="1"/>
  <c r="K32" i="69"/>
  <c r="I32" i="69"/>
  <c r="H32" i="69"/>
  <c r="B32" i="69"/>
  <c r="K31" i="69"/>
  <c r="I31" i="69"/>
  <c r="H31" i="69"/>
  <c r="B31" i="69"/>
  <c r="G31" i="69" s="1"/>
  <c r="K30" i="69"/>
  <c r="I30" i="69"/>
  <c r="H30" i="69"/>
  <c r="B30" i="69"/>
  <c r="K29" i="69"/>
  <c r="I29" i="69"/>
  <c r="H29" i="69"/>
  <c r="G29" i="69"/>
  <c r="B29" i="69"/>
  <c r="K28" i="69"/>
  <c r="I28" i="69"/>
  <c r="H28" i="69"/>
  <c r="B28" i="69"/>
  <c r="K27" i="69"/>
  <c r="I27" i="69"/>
  <c r="H27" i="69"/>
  <c r="B27" i="69"/>
  <c r="G27" i="69" s="1"/>
  <c r="K26" i="69"/>
  <c r="I26" i="69"/>
  <c r="H26" i="69"/>
  <c r="B26" i="69"/>
  <c r="K25" i="69"/>
  <c r="I25" i="69"/>
  <c r="H25" i="69"/>
  <c r="G25" i="69"/>
  <c r="B25" i="69"/>
  <c r="K24" i="69"/>
  <c r="I24" i="69"/>
  <c r="H24" i="69"/>
  <c r="B24" i="69"/>
  <c r="K23" i="69"/>
  <c r="I23" i="69"/>
  <c r="H23" i="69"/>
  <c r="B23" i="69"/>
  <c r="G23" i="69" s="1"/>
  <c r="K22" i="69"/>
  <c r="I22" i="69"/>
  <c r="H22" i="69"/>
  <c r="B22" i="69"/>
  <c r="K21" i="69"/>
  <c r="I21" i="69"/>
  <c r="H21" i="69"/>
  <c r="B21" i="69"/>
  <c r="G21" i="69" s="1"/>
  <c r="K20" i="69"/>
  <c r="I20" i="69"/>
  <c r="H20" i="69"/>
  <c r="B20" i="69"/>
  <c r="K19" i="69"/>
  <c r="I19" i="69"/>
  <c r="H19" i="69"/>
  <c r="G19" i="69"/>
  <c r="B19" i="69"/>
  <c r="K18" i="69"/>
  <c r="I18" i="69"/>
  <c r="H18" i="69"/>
  <c r="B18" i="69"/>
  <c r="K17" i="69"/>
  <c r="I17" i="69"/>
  <c r="H17" i="69"/>
  <c r="B17" i="69"/>
  <c r="G17" i="69" s="1"/>
  <c r="K16" i="69"/>
  <c r="I16" i="69"/>
  <c r="H16" i="69"/>
  <c r="B16" i="69"/>
  <c r="K15" i="69"/>
  <c r="I15" i="69"/>
  <c r="H15" i="69"/>
  <c r="B15" i="69"/>
  <c r="G15" i="69" s="1"/>
  <c r="K14" i="69"/>
  <c r="I14" i="69"/>
  <c r="H14" i="69"/>
  <c r="B14" i="69"/>
  <c r="K11" i="69"/>
  <c r="I10" i="69"/>
  <c r="G10" i="69"/>
  <c r="I9" i="69"/>
  <c r="L13" i="69" s="1"/>
  <c r="G9" i="69"/>
  <c r="G8" i="69"/>
  <c r="I7" i="69"/>
  <c r="K43" i="68"/>
  <c r="I43" i="68"/>
  <c r="H43" i="68"/>
  <c r="B43" i="68"/>
  <c r="G43" i="68" s="1"/>
  <c r="K42" i="68"/>
  <c r="I42" i="68"/>
  <c r="H42" i="68"/>
  <c r="B42" i="68"/>
  <c r="K41" i="68"/>
  <c r="I41" i="68"/>
  <c r="H41" i="68"/>
  <c r="G41" i="68"/>
  <c r="B41" i="68"/>
  <c r="K40" i="68"/>
  <c r="I40" i="68"/>
  <c r="H40" i="68"/>
  <c r="B40" i="68"/>
  <c r="K39" i="68"/>
  <c r="I39" i="68"/>
  <c r="H39" i="68"/>
  <c r="G39" i="68"/>
  <c r="B39" i="68"/>
  <c r="K38" i="68"/>
  <c r="I38" i="68"/>
  <c r="H38" i="68"/>
  <c r="B38" i="68"/>
  <c r="K37" i="68"/>
  <c r="I37" i="68"/>
  <c r="H37" i="68"/>
  <c r="G37" i="68"/>
  <c r="B37" i="68"/>
  <c r="K36" i="68"/>
  <c r="I36" i="68"/>
  <c r="H36" i="68"/>
  <c r="B36" i="68"/>
  <c r="K35" i="68"/>
  <c r="I35" i="68"/>
  <c r="H35" i="68"/>
  <c r="B35" i="68"/>
  <c r="G35" i="68" s="1"/>
  <c r="K34" i="68"/>
  <c r="I34" i="68"/>
  <c r="H34" i="68"/>
  <c r="B34" i="68"/>
  <c r="K33" i="68"/>
  <c r="I33" i="68"/>
  <c r="H33" i="68"/>
  <c r="G33" i="68"/>
  <c r="B33" i="68"/>
  <c r="K32" i="68"/>
  <c r="I32" i="68"/>
  <c r="H32" i="68"/>
  <c r="B32" i="68"/>
  <c r="K31" i="68"/>
  <c r="I31" i="68"/>
  <c r="H31" i="68"/>
  <c r="B31" i="68"/>
  <c r="G31" i="68" s="1"/>
  <c r="K30" i="68"/>
  <c r="I30" i="68"/>
  <c r="H30" i="68"/>
  <c r="B30" i="68"/>
  <c r="K29" i="68"/>
  <c r="I29" i="68"/>
  <c r="H29" i="68"/>
  <c r="G29" i="68"/>
  <c r="B29" i="68"/>
  <c r="K28" i="68"/>
  <c r="I28" i="68"/>
  <c r="H28" i="68"/>
  <c r="B28" i="68"/>
  <c r="K27" i="68"/>
  <c r="I27" i="68"/>
  <c r="H27" i="68"/>
  <c r="B27" i="68"/>
  <c r="G27" i="68" s="1"/>
  <c r="K26" i="68"/>
  <c r="I26" i="68"/>
  <c r="H26" i="68"/>
  <c r="B26" i="68"/>
  <c r="K25" i="68"/>
  <c r="I25" i="68"/>
  <c r="H25" i="68"/>
  <c r="B25" i="68"/>
  <c r="G25" i="68" s="1"/>
  <c r="K24" i="68"/>
  <c r="I24" i="68"/>
  <c r="H24" i="68"/>
  <c r="B24" i="68"/>
  <c r="K23" i="68"/>
  <c r="I23" i="68"/>
  <c r="H23" i="68"/>
  <c r="G23" i="68"/>
  <c r="B23" i="68"/>
  <c r="K22" i="68"/>
  <c r="I22" i="68"/>
  <c r="H22" i="68"/>
  <c r="B22" i="68"/>
  <c r="K21" i="68"/>
  <c r="I21" i="68"/>
  <c r="H21" i="68"/>
  <c r="B21" i="68"/>
  <c r="G21" i="68" s="1"/>
  <c r="K20" i="68"/>
  <c r="I20" i="68"/>
  <c r="H20" i="68"/>
  <c r="B20" i="68"/>
  <c r="K19" i="68"/>
  <c r="I19" i="68"/>
  <c r="H19" i="68"/>
  <c r="B19" i="68"/>
  <c r="G19" i="68" s="1"/>
  <c r="K18" i="68"/>
  <c r="I18" i="68"/>
  <c r="H18" i="68"/>
  <c r="B18" i="68"/>
  <c r="K17" i="68"/>
  <c r="I17" i="68"/>
  <c r="H17" i="68"/>
  <c r="G17" i="68"/>
  <c r="B17" i="68"/>
  <c r="K16" i="68"/>
  <c r="I16" i="68"/>
  <c r="H16" i="68"/>
  <c r="B16" i="68"/>
  <c r="K15" i="68"/>
  <c r="I15" i="68"/>
  <c r="H15" i="68"/>
  <c r="B15" i="68"/>
  <c r="G15" i="68" s="1"/>
  <c r="K14" i="68"/>
  <c r="I14" i="68"/>
  <c r="H14" i="68"/>
  <c r="B14" i="68"/>
  <c r="K11" i="68"/>
  <c r="I10" i="68"/>
  <c r="G10" i="68"/>
  <c r="I9" i="68"/>
  <c r="L13" i="68" s="1"/>
  <c r="G9" i="68"/>
  <c r="G8" i="68"/>
  <c r="I7" i="68"/>
  <c r="K43" i="67"/>
  <c r="I43" i="67"/>
  <c r="H43" i="67"/>
  <c r="B43" i="67"/>
  <c r="G43" i="67" s="1"/>
  <c r="K42" i="67"/>
  <c r="I42" i="67"/>
  <c r="H42" i="67"/>
  <c r="B42" i="67"/>
  <c r="K41" i="67"/>
  <c r="I41" i="67"/>
  <c r="H41" i="67"/>
  <c r="B41" i="67"/>
  <c r="G41" i="67" s="1"/>
  <c r="K40" i="67"/>
  <c r="I40" i="67"/>
  <c r="H40" i="67"/>
  <c r="B40" i="67"/>
  <c r="K39" i="67"/>
  <c r="I39" i="67"/>
  <c r="H39" i="67"/>
  <c r="B39" i="67"/>
  <c r="G39" i="67" s="1"/>
  <c r="K38" i="67"/>
  <c r="I38" i="67"/>
  <c r="H38" i="67"/>
  <c r="B38" i="67"/>
  <c r="K37" i="67"/>
  <c r="I37" i="67"/>
  <c r="H37" i="67"/>
  <c r="G37" i="67"/>
  <c r="B37" i="67"/>
  <c r="K36" i="67"/>
  <c r="I36" i="67"/>
  <c r="H36" i="67"/>
  <c r="B36" i="67"/>
  <c r="K35" i="67"/>
  <c r="I35" i="67"/>
  <c r="H35" i="67"/>
  <c r="B35" i="67"/>
  <c r="G35" i="67" s="1"/>
  <c r="K34" i="67"/>
  <c r="I34" i="67"/>
  <c r="H34" i="67"/>
  <c r="B34" i="67"/>
  <c r="K33" i="67"/>
  <c r="I33" i="67"/>
  <c r="H33" i="67"/>
  <c r="G33" i="67"/>
  <c r="B33" i="67"/>
  <c r="K32" i="67"/>
  <c r="I32" i="67"/>
  <c r="H32" i="67"/>
  <c r="B32" i="67"/>
  <c r="K31" i="67"/>
  <c r="I31" i="67"/>
  <c r="H31" i="67"/>
  <c r="G31" i="67"/>
  <c r="B31" i="67"/>
  <c r="K30" i="67"/>
  <c r="I30" i="67"/>
  <c r="H30" i="67"/>
  <c r="B30" i="67"/>
  <c r="K29" i="67"/>
  <c r="I29" i="67"/>
  <c r="H29" i="67"/>
  <c r="G29" i="67"/>
  <c r="B29" i="67"/>
  <c r="K28" i="67"/>
  <c r="I28" i="67"/>
  <c r="H28" i="67"/>
  <c r="B28" i="67"/>
  <c r="K27" i="67"/>
  <c r="I27" i="67"/>
  <c r="H27" i="67"/>
  <c r="G27" i="67"/>
  <c r="B27" i="67"/>
  <c r="K26" i="67"/>
  <c r="I26" i="67"/>
  <c r="H26" i="67"/>
  <c r="B26" i="67"/>
  <c r="K25" i="67"/>
  <c r="I25" i="67"/>
  <c r="H25" i="67"/>
  <c r="B25" i="67"/>
  <c r="G25" i="67" s="1"/>
  <c r="K24" i="67"/>
  <c r="I24" i="67"/>
  <c r="H24" i="67"/>
  <c r="B24" i="67"/>
  <c r="K23" i="67"/>
  <c r="I23" i="67"/>
  <c r="H23" i="67"/>
  <c r="B23" i="67"/>
  <c r="G23" i="67" s="1"/>
  <c r="K22" i="67"/>
  <c r="I22" i="67"/>
  <c r="H22" i="67"/>
  <c r="B22" i="67"/>
  <c r="K21" i="67"/>
  <c r="I21" i="67"/>
  <c r="H21" i="67"/>
  <c r="G21" i="67"/>
  <c r="B21" i="67"/>
  <c r="K20" i="67"/>
  <c r="I20" i="67"/>
  <c r="H20" i="67"/>
  <c r="B20" i="67"/>
  <c r="K19" i="67"/>
  <c r="I19" i="67"/>
  <c r="H19" i="67"/>
  <c r="B19" i="67"/>
  <c r="G19" i="67" s="1"/>
  <c r="K18" i="67"/>
  <c r="I18" i="67"/>
  <c r="H18" i="67"/>
  <c r="B18" i="67"/>
  <c r="K17" i="67"/>
  <c r="I17" i="67"/>
  <c r="H17" i="67"/>
  <c r="G17" i="67"/>
  <c r="B17" i="67"/>
  <c r="K16" i="67"/>
  <c r="I16" i="67"/>
  <c r="H16" i="67"/>
  <c r="B16" i="67"/>
  <c r="K15" i="67"/>
  <c r="I15" i="67"/>
  <c r="H15" i="67"/>
  <c r="G15" i="67"/>
  <c r="B15" i="67"/>
  <c r="K14" i="67"/>
  <c r="I14" i="67"/>
  <c r="H14" i="67"/>
  <c r="B14" i="67"/>
  <c r="K11" i="67"/>
  <c r="I10" i="67"/>
  <c r="G10" i="67"/>
  <c r="I9" i="67"/>
  <c r="L13" i="67" s="1"/>
  <c r="G9" i="67"/>
  <c r="G8" i="67"/>
  <c r="I7" i="67"/>
  <c r="K43" i="66"/>
  <c r="I43" i="66"/>
  <c r="H43" i="66"/>
  <c r="B43" i="66"/>
  <c r="G43" i="66" s="1"/>
  <c r="K42" i="66"/>
  <c r="I42" i="66"/>
  <c r="H42" i="66"/>
  <c r="B42" i="66"/>
  <c r="K41" i="66"/>
  <c r="I41" i="66"/>
  <c r="H41" i="66"/>
  <c r="B41" i="66"/>
  <c r="G41" i="66" s="1"/>
  <c r="K40" i="66"/>
  <c r="I40" i="66"/>
  <c r="H40" i="66"/>
  <c r="B40" i="66"/>
  <c r="K39" i="66"/>
  <c r="I39" i="66"/>
  <c r="H39" i="66"/>
  <c r="B39" i="66"/>
  <c r="G39" i="66" s="1"/>
  <c r="K38" i="66"/>
  <c r="I38" i="66"/>
  <c r="H38" i="66"/>
  <c r="B38" i="66"/>
  <c r="K37" i="66"/>
  <c r="I37" i="66"/>
  <c r="H37" i="66"/>
  <c r="B37" i="66"/>
  <c r="G37" i="66" s="1"/>
  <c r="K36" i="66"/>
  <c r="I36" i="66"/>
  <c r="H36" i="66"/>
  <c r="B36" i="66"/>
  <c r="K35" i="66"/>
  <c r="I35" i="66"/>
  <c r="H35" i="66"/>
  <c r="B35" i="66"/>
  <c r="G35" i="66" s="1"/>
  <c r="K34" i="66"/>
  <c r="I34" i="66"/>
  <c r="H34" i="66"/>
  <c r="B34" i="66"/>
  <c r="K33" i="66"/>
  <c r="I33" i="66"/>
  <c r="H33" i="66"/>
  <c r="B33" i="66"/>
  <c r="G33" i="66" s="1"/>
  <c r="K32" i="66"/>
  <c r="I32" i="66"/>
  <c r="H32" i="66"/>
  <c r="B32" i="66"/>
  <c r="K31" i="66"/>
  <c r="I31" i="66"/>
  <c r="H31" i="66"/>
  <c r="B31" i="66"/>
  <c r="G31" i="66" s="1"/>
  <c r="K30" i="66"/>
  <c r="I30" i="66"/>
  <c r="H30" i="66"/>
  <c r="B30" i="66"/>
  <c r="K29" i="66"/>
  <c r="I29" i="66"/>
  <c r="H29" i="66"/>
  <c r="B29" i="66"/>
  <c r="G29" i="66" s="1"/>
  <c r="K28" i="66"/>
  <c r="I28" i="66"/>
  <c r="H28" i="66"/>
  <c r="B28" i="66"/>
  <c r="K27" i="66"/>
  <c r="I27" i="66"/>
  <c r="H27" i="66"/>
  <c r="B27" i="66"/>
  <c r="G27" i="66" s="1"/>
  <c r="K26" i="66"/>
  <c r="I26" i="66"/>
  <c r="H26" i="66"/>
  <c r="B26" i="66"/>
  <c r="K25" i="66"/>
  <c r="I25" i="66"/>
  <c r="H25" i="66"/>
  <c r="B25" i="66"/>
  <c r="G25" i="66" s="1"/>
  <c r="K24" i="66"/>
  <c r="I24" i="66"/>
  <c r="H24" i="66"/>
  <c r="B24" i="66"/>
  <c r="K23" i="66"/>
  <c r="I23" i="66"/>
  <c r="H23" i="66"/>
  <c r="B23" i="66"/>
  <c r="G23" i="66" s="1"/>
  <c r="K22" i="66"/>
  <c r="I22" i="66"/>
  <c r="H22" i="66"/>
  <c r="B22" i="66"/>
  <c r="K21" i="66"/>
  <c r="I21" i="66"/>
  <c r="H21" i="66"/>
  <c r="B21" i="66"/>
  <c r="G21" i="66" s="1"/>
  <c r="K20" i="66"/>
  <c r="I20" i="66"/>
  <c r="H20" i="66"/>
  <c r="B20" i="66"/>
  <c r="K19" i="66"/>
  <c r="I19" i="66"/>
  <c r="H19" i="66"/>
  <c r="B19" i="66"/>
  <c r="G19" i="66" s="1"/>
  <c r="K18" i="66"/>
  <c r="I18" i="66"/>
  <c r="H18" i="66"/>
  <c r="B18" i="66"/>
  <c r="K17" i="66"/>
  <c r="I17" i="66"/>
  <c r="H17" i="66"/>
  <c r="B17" i="66"/>
  <c r="G17" i="66" s="1"/>
  <c r="K16" i="66"/>
  <c r="I16" i="66"/>
  <c r="H16" i="66"/>
  <c r="B16" i="66"/>
  <c r="K15" i="66"/>
  <c r="I15" i="66"/>
  <c r="H15" i="66"/>
  <c r="B15" i="66"/>
  <c r="G15" i="66" s="1"/>
  <c r="K14" i="66"/>
  <c r="I14" i="66"/>
  <c r="H14" i="66"/>
  <c r="B14" i="66"/>
  <c r="K11" i="66"/>
  <c r="I10" i="66"/>
  <c r="G10" i="66"/>
  <c r="I9" i="66"/>
  <c r="L13" i="66" s="1"/>
  <c r="G9" i="66"/>
  <c r="G8" i="66"/>
  <c r="I7" i="66"/>
  <c r="K33" i="65"/>
  <c r="I33" i="65"/>
  <c r="H33" i="65"/>
  <c r="B33" i="65"/>
  <c r="G33" i="65" s="1"/>
  <c r="K32" i="65"/>
  <c r="I32" i="65"/>
  <c r="H32" i="65"/>
  <c r="B32" i="65"/>
  <c r="G32" i="65" s="1"/>
  <c r="K31" i="65"/>
  <c r="I31" i="65"/>
  <c r="H31" i="65"/>
  <c r="B31" i="65"/>
  <c r="G31" i="65" s="1"/>
  <c r="K30" i="65"/>
  <c r="I30" i="65"/>
  <c r="H30" i="65"/>
  <c r="B30" i="65"/>
  <c r="G30" i="65" s="1"/>
  <c r="K29" i="65"/>
  <c r="I29" i="65"/>
  <c r="H29" i="65"/>
  <c r="B29" i="65"/>
  <c r="G29" i="65" s="1"/>
  <c r="K28" i="65"/>
  <c r="I28" i="65"/>
  <c r="H28" i="65"/>
  <c r="B28" i="65"/>
  <c r="G28" i="65" s="1"/>
  <c r="K27" i="65"/>
  <c r="I27" i="65"/>
  <c r="H27" i="65"/>
  <c r="G27" i="65"/>
  <c r="B27" i="65"/>
  <c r="K26" i="65"/>
  <c r="I26" i="65"/>
  <c r="H26" i="65"/>
  <c r="B26" i="65"/>
  <c r="K25" i="65"/>
  <c r="I25" i="65"/>
  <c r="H25" i="65"/>
  <c r="B25" i="65"/>
  <c r="G25" i="65" s="1"/>
  <c r="K24" i="65"/>
  <c r="I24" i="65"/>
  <c r="H24" i="65"/>
  <c r="B24" i="65"/>
  <c r="K23" i="65"/>
  <c r="I23" i="65"/>
  <c r="H23" i="65"/>
  <c r="G23" i="65"/>
  <c r="B23" i="65"/>
  <c r="K22" i="65"/>
  <c r="I22" i="65"/>
  <c r="H22" i="65"/>
  <c r="B22" i="65"/>
  <c r="K21" i="65"/>
  <c r="I21" i="65"/>
  <c r="H21" i="65"/>
  <c r="B21" i="65"/>
  <c r="G21" i="65" s="1"/>
  <c r="K20" i="65"/>
  <c r="I20" i="65"/>
  <c r="H20" i="65"/>
  <c r="B20" i="65"/>
  <c r="K19" i="65"/>
  <c r="I19" i="65"/>
  <c r="H19" i="65"/>
  <c r="B19" i="65"/>
  <c r="G19" i="65" s="1"/>
  <c r="K18" i="65"/>
  <c r="I18" i="65"/>
  <c r="H18" i="65"/>
  <c r="B18" i="65"/>
  <c r="K17" i="65"/>
  <c r="I17" i="65"/>
  <c r="H17" i="65"/>
  <c r="B17" i="65"/>
  <c r="G17" i="65" s="1"/>
  <c r="K16" i="65"/>
  <c r="I16" i="65"/>
  <c r="H16" i="65"/>
  <c r="B16" i="65"/>
  <c r="K15" i="65"/>
  <c r="I15" i="65"/>
  <c r="H15" i="65"/>
  <c r="G15" i="65"/>
  <c r="B15" i="65"/>
  <c r="K14" i="65"/>
  <c r="I14" i="65"/>
  <c r="H14" i="65"/>
  <c r="B14" i="65"/>
  <c r="G14" i="65" s="1"/>
  <c r="K11" i="65"/>
  <c r="I10" i="65"/>
  <c r="G10" i="65"/>
  <c r="I9" i="65"/>
  <c r="L13" i="65" s="1"/>
  <c r="G9" i="65"/>
  <c r="G8" i="65"/>
  <c r="I7" i="65"/>
  <c r="K34" i="64"/>
  <c r="I34" i="64"/>
  <c r="H34" i="64"/>
  <c r="B34" i="64"/>
  <c r="K33" i="64"/>
  <c r="I33" i="64"/>
  <c r="H33" i="64"/>
  <c r="B33" i="64"/>
  <c r="G33" i="64" s="1"/>
  <c r="K32" i="64"/>
  <c r="I32" i="64"/>
  <c r="H32" i="64"/>
  <c r="B32" i="64"/>
  <c r="K31" i="64"/>
  <c r="I31" i="64"/>
  <c r="H31" i="64"/>
  <c r="B31" i="64"/>
  <c r="G31" i="64" s="1"/>
  <c r="K30" i="64"/>
  <c r="I30" i="64"/>
  <c r="H30" i="64"/>
  <c r="B30" i="64"/>
  <c r="K29" i="64"/>
  <c r="I29" i="64"/>
  <c r="H29" i="64"/>
  <c r="B29" i="64"/>
  <c r="G29" i="64" s="1"/>
  <c r="K28" i="64"/>
  <c r="I28" i="64"/>
  <c r="H28" i="64"/>
  <c r="B28" i="64"/>
  <c r="K27" i="64"/>
  <c r="I27" i="64"/>
  <c r="H27" i="64"/>
  <c r="G27" i="64"/>
  <c r="B27" i="64"/>
  <c r="K26" i="64"/>
  <c r="I26" i="64"/>
  <c r="H26" i="64"/>
  <c r="B26" i="64"/>
  <c r="K25" i="64"/>
  <c r="I25" i="64"/>
  <c r="H25" i="64"/>
  <c r="B25" i="64"/>
  <c r="G25" i="64" s="1"/>
  <c r="K24" i="64"/>
  <c r="I24" i="64"/>
  <c r="H24" i="64"/>
  <c r="B24" i="64"/>
  <c r="K23" i="64"/>
  <c r="I23" i="64"/>
  <c r="H23" i="64"/>
  <c r="G23" i="64"/>
  <c r="B23" i="64"/>
  <c r="K22" i="64"/>
  <c r="I22" i="64"/>
  <c r="H22" i="64"/>
  <c r="B22" i="64"/>
  <c r="K21" i="64"/>
  <c r="I21" i="64"/>
  <c r="H21" i="64"/>
  <c r="G21" i="64"/>
  <c r="B21" i="64"/>
  <c r="K20" i="64"/>
  <c r="I20" i="64"/>
  <c r="H20" i="64"/>
  <c r="B20" i="64"/>
  <c r="K19" i="64"/>
  <c r="I19" i="64"/>
  <c r="H19" i="64"/>
  <c r="B19" i="64"/>
  <c r="G19" i="64" s="1"/>
  <c r="K18" i="64"/>
  <c r="I18" i="64"/>
  <c r="H18" i="64"/>
  <c r="B18" i="64"/>
  <c r="K17" i="64"/>
  <c r="I17" i="64"/>
  <c r="H17" i="64"/>
  <c r="B17" i="64"/>
  <c r="G17" i="64" s="1"/>
  <c r="K16" i="64"/>
  <c r="I16" i="64"/>
  <c r="H16" i="64"/>
  <c r="B16" i="64"/>
  <c r="K15" i="64"/>
  <c r="I15" i="64"/>
  <c r="H15" i="64"/>
  <c r="B15" i="64"/>
  <c r="G15" i="64" s="1"/>
  <c r="K14" i="64"/>
  <c r="I14" i="64"/>
  <c r="H14" i="64"/>
  <c r="B14" i="64"/>
  <c r="K11" i="64"/>
  <c r="I10" i="64"/>
  <c r="G10" i="64"/>
  <c r="I9" i="64"/>
  <c r="L13" i="64" s="1"/>
  <c r="G9" i="64"/>
  <c r="G8" i="64"/>
  <c r="I7" i="64"/>
  <c r="K33" i="63"/>
  <c r="I33" i="63"/>
  <c r="H33" i="63"/>
  <c r="B33" i="63"/>
  <c r="G33" i="63" s="1"/>
  <c r="K32" i="63"/>
  <c r="I32" i="63"/>
  <c r="H32" i="63"/>
  <c r="B32" i="63"/>
  <c r="K31" i="63"/>
  <c r="I31" i="63"/>
  <c r="H31" i="63"/>
  <c r="B31" i="63"/>
  <c r="G31" i="63" s="1"/>
  <c r="K30" i="63"/>
  <c r="I30" i="63"/>
  <c r="H30" i="63"/>
  <c r="B30" i="63"/>
  <c r="K29" i="63"/>
  <c r="I29" i="63"/>
  <c r="H29" i="63"/>
  <c r="B29" i="63"/>
  <c r="G29" i="63" s="1"/>
  <c r="K28" i="63"/>
  <c r="I28" i="63"/>
  <c r="H28" i="63"/>
  <c r="B28" i="63"/>
  <c r="K27" i="63"/>
  <c r="I27" i="63"/>
  <c r="H27" i="63"/>
  <c r="B27" i="63"/>
  <c r="G27" i="63" s="1"/>
  <c r="K26" i="63"/>
  <c r="I26" i="63"/>
  <c r="H26" i="63"/>
  <c r="B26" i="63"/>
  <c r="K25" i="63"/>
  <c r="I25" i="63"/>
  <c r="H25" i="63"/>
  <c r="G25" i="63"/>
  <c r="B25" i="63"/>
  <c r="K24" i="63"/>
  <c r="I24" i="63"/>
  <c r="H24" i="63"/>
  <c r="B24" i="63"/>
  <c r="K23" i="63"/>
  <c r="I23" i="63"/>
  <c r="H23" i="63"/>
  <c r="B23" i="63"/>
  <c r="G23" i="63" s="1"/>
  <c r="K22" i="63"/>
  <c r="I22" i="63"/>
  <c r="H22" i="63"/>
  <c r="B22" i="63"/>
  <c r="K21" i="63"/>
  <c r="I21" i="63"/>
  <c r="H21" i="63"/>
  <c r="B21" i="63"/>
  <c r="G21" i="63" s="1"/>
  <c r="K20" i="63"/>
  <c r="I20" i="63"/>
  <c r="H20" i="63"/>
  <c r="B20" i="63"/>
  <c r="K19" i="63"/>
  <c r="I19" i="63"/>
  <c r="H19" i="63"/>
  <c r="B19" i="63"/>
  <c r="G19" i="63" s="1"/>
  <c r="K18" i="63"/>
  <c r="I18" i="63"/>
  <c r="H18" i="63"/>
  <c r="B18" i="63"/>
  <c r="K17" i="63"/>
  <c r="I17" i="63"/>
  <c r="H17" i="63"/>
  <c r="G17" i="63"/>
  <c r="B17" i="63"/>
  <c r="K16" i="63"/>
  <c r="I16" i="63"/>
  <c r="H16" i="63"/>
  <c r="B16" i="63"/>
  <c r="K15" i="63"/>
  <c r="I15" i="63"/>
  <c r="H15" i="63"/>
  <c r="B15" i="63"/>
  <c r="G15" i="63" s="1"/>
  <c r="K14" i="63"/>
  <c r="I14" i="63"/>
  <c r="H14" i="63"/>
  <c r="B14" i="63"/>
  <c r="L13" i="63"/>
  <c r="K11" i="63"/>
  <c r="I10" i="63"/>
  <c r="G10" i="63"/>
  <c r="I9" i="63"/>
  <c r="G9" i="63"/>
  <c r="G8" i="63"/>
  <c r="I7" i="63"/>
  <c r="K33" i="62"/>
  <c r="I33" i="62"/>
  <c r="H33" i="62"/>
  <c r="B33" i="62"/>
  <c r="G33" i="62" s="1"/>
  <c r="K32" i="62"/>
  <c r="I32" i="62"/>
  <c r="H32" i="62"/>
  <c r="B32" i="62"/>
  <c r="K31" i="62"/>
  <c r="I31" i="62"/>
  <c r="H31" i="62"/>
  <c r="B31" i="62"/>
  <c r="G31" i="62" s="1"/>
  <c r="K30" i="62"/>
  <c r="I30" i="62"/>
  <c r="H30" i="62"/>
  <c r="B30" i="62"/>
  <c r="K29" i="62"/>
  <c r="I29" i="62"/>
  <c r="H29" i="62"/>
  <c r="B29" i="62"/>
  <c r="G29" i="62" s="1"/>
  <c r="K28" i="62"/>
  <c r="I28" i="62"/>
  <c r="H28" i="62"/>
  <c r="B28" i="62"/>
  <c r="K27" i="62"/>
  <c r="I27" i="62"/>
  <c r="H27" i="62"/>
  <c r="B27" i="62"/>
  <c r="G27" i="62" s="1"/>
  <c r="K26" i="62"/>
  <c r="I26" i="62"/>
  <c r="H26" i="62"/>
  <c r="B26" i="62"/>
  <c r="K25" i="62"/>
  <c r="I25" i="62"/>
  <c r="H25" i="62"/>
  <c r="B25" i="62"/>
  <c r="G25" i="62" s="1"/>
  <c r="K24" i="62"/>
  <c r="I24" i="62"/>
  <c r="H24" i="62"/>
  <c r="B24" i="62"/>
  <c r="K23" i="62"/>
  <c r="I23" i="62"/>
  <c r="H23" i="62"/>
  <c r="B23" i="62"/>
  <c r="G23" i="62" s="1"/>
  <c r="K22" i="62"/>
  <c r="I22" i="62"/>
  <c r="H22" i="62"/>
  <c r="B22" i="62"/>
  <c r="K21" i="62"/>
  <c r="I21" i="62"/>
  <c r="H21" i="62"/>
  <c r="B21" i="62"/>
  <c r="G21" i="62" s="1"/>
  <c r="K20" i="62"/>
  <c r="I20" i="62"/>
  <c r="H20" i="62"/>
  <c r="B20" i="62"/>
  <c r="K19" i="62"/>
  <c r="I19" i="62"/>
  <c r="H19" i="62"/>
  <c r="B19" i="62"/>
  <c r="G19" i="62" s="1"/>
  <c r="K18" i="62"/>
  <c r="I18" i="62"/>
  <c r="H18" i="62"/>
  <c r="B18" i="62"/>
  <c r="K17" i="62"/>
  <c r="I17" i="62"/>
  <c r="H17" i="62"/>
  <c r="B17" i="62"/>
  <c r="G17" i="62" s="1"/>
  <c r="K16" i="62"/>
  <c r="I16" i="62"/>
  <c r="H16" i="62"/>
  <c r="B16" i="62"/>
  <c r="K15" i="62"/>
  <c r="I15" i="62"/>
  <c r="H15" i="62"/>
  <c r="B15" i="62"/>
  <c r="G15" i="62" s="1"/>
  <c r="K14" i="62"/>
  <c r="I14" i="62"/>
  <c r="H14" i="62"/>
  <c r="B14" i="62"/>
  <c r="K11" i="62"/>
  <c r="I10" i="62"/>
  <c r="G10" i="62"/>
  <c r="I9" i="62"/>
  <c r="L13" i="62" s="1"/>
  <c r="G9" i="62"/>
  <c r="G8" i="62"/>
  <c r="I7" i="62"/>
  <c r="K33" i="61"/>
  <c r="I33" i="61"/>
  <c r="H33" i="61"/>
  <c r="B33" i="61"/>
  <c r="G33" i="61" s="1"/>
  <c r="K32" i="61"/>
  <c r="I32" i="61"/>
  <c r="H32" i="61"/>
  <c r="B32" i="61"/>
  <c r="K31" i="61"/>
  <c r="I31" i="61"/>
  <c r="H31" i="61"/>
  <c r="B31" i="61"/>
  <c r="G31" i="61" s="1"/>
  <c r="K30" i="61"/>
  <c r="I30" i="61"/>
  <c r="H30" i="61"/>
  <c r="B30" i="61"/>
  <c r="K29" i="61"/>
  <c r="I29" i="61"/>
  <c r="H29" i="61"/>
  <c r="B29" i="61"/>
  <c r="G29" i="61" s="1"/>
  <c r="K28" i="61"/>
  <c r="I28" i="61"/>
  <c r="H28" i="61"/>
  <c r="B28" i="61"/>
  <c r="K27" i="61"/>
  <c r="I27" i="61"/>
  <c r="H27" i="61"/>
  <c r="B27" i="61"/>
  <c r="G27" i="61" s="1"/>
  <c r="K26" i="61"/>
  <c r="I26" i="61"/>
  <c r="H26" i="61"/>
  <c r="B26" i="61"/>
  <c r="K25" i="61"/>
  <c r="I25" i="61"/>
  <c r="H25" i="61"/>
  <c r="G25" i="61"/>
  <c r="B25" i="61"/>
  <c r="K24" i="61"/>
  <c r="I24" i="61"/>
  <c r="H24" i="61"/>
  <c r="B24" i="61"/>
  <c r="K23" i="61"/>
  <c r="I23" i="61"/>
  <c r="H23" i="61"/>
  <c r="B23" i="61"/>
  <c r="G23" i="61" s="1"/>
  <c r="K22" i="61"/>
  <c r="I22" i="61"/>
  <c r="H22" i="61"/>
  <c r="B22" i="61"/>
  <c r="K21" i="61"/>
  <c r="I21" i="61"/>
  <c r="H21" i="61"/>
  <c r="B21" i="61"/>
  <c r="G21" i="61" s="1"/>
  <c r="K20" i="61"/>
  <c r="I20" i="61"/>
  <c r="H20" i="61"/>
  <c r="B20" i="61"/>
  <c r="K19" i="61"/>
  <c r="I19" i="61"/>
  <c r="H19" i="61"/>
  <c r="B19" i="61"/>
  <c r="G19" i="61" s="1"/>
  <c r="K18" i="61"/>
  <c r="I18" i="61"/>
  <c r="H18" i="61"/>
  <c r="B18" i="61"/>
  <c r="K17" i="61"/>
  <c r="I17" i="61"/>
  <c r="H17" i="61"/>
  <c r="G17" i="61"/>
  <c r="B17" i="61"/>
  <c r="K16" i="61"/>
  <c r="I16" i="61"/>
  <c r="H16" i="61"/>
  <c r="B16" i="61"/>
  <c r="K15" i="61"/>
  <c r="I15" i="61"/>
  <c r="H15" i="61"/>
  <c r="B15" i="61"/>
  <c r="G15" i="61" s="1"/>
  <c r="K14" i="61"/>
  <c r="I14" i="61"/>
  <c r="H14" i="61"/>
  <c r="B14" i="61"/>
  <c r="K11" i="61"/>
  <c r="I10" i="61"/>
  <c r="G10" i="61"/>
  <c r="I9" i="61"/>
  <c r="L13" i="61" s="1"/>
  <c r="G9" i="61"/>
  <c r="G8" i="61"/>
  <c r="I7" i="61"/>
  <c r="K21" i="81"/>
  <c r="I21" i="81"/>
  <c r="H21" i="81"/>
  <c r="B21" i="81"/>
  <c r="G21" i="81" s="1"/>
  <c r="K20" i="81"/>
  <c r="I20" i="81"/>
  <c r="H20" i="81"/>
  <c r="B20" i="81"/>
  <c r="K19" i="81"/>
  <c r="I19" i="81"/>
  <c r="H19" i="81"/>
  <c r="B19" i="81"/>
  <c r="G19" i="81" s="1"/>
  <c r="K18" i="81"/>
  <c r="I18" i="81"/>
  <c r="H18" i="81"/>
  <c r="B18" i="81"/>
  <c r="K17" i="81"/>
  <c r="I17" i="81"/>
  <c r="H17" i="81"/>
  <c r="B17" i="81"/>
  <c r="G17" i="81" s="1"/>
  <c r="K16" i="81"/>
  <c r="I16" i="81"/>
  <c r="H16" i="81"/>
  <c r="B16" i="81"/>
  <c r="K15" i="81"/>
  <c r="I15" i="81"/>
  <c r="H15" i="81"/>
  <c r="B15" i="81"/>
  <c r="G15" i="81" s="1"/>
  <c r="K14" i="81"/>
  <c r="I14" i="81"/>
  <c r="H14" i="81"/>
  <c r="B14" i="81"/>
  <c r="K11" i="81"/>
  <c r="I10" i="81"/>
  <c r="G10" i="81"/>
  <c r="I9" i="81"/>
  <c r="L13" i="81" s="1"/>
  <c r="G9" i="81"/>
  <c r="G8" i="81"/>
  <c r="I7" i="81"/>
  <c r="K22" i="48"/>
  <c r="I22" i="48"/>
  <c r="H22" i="48"/>
  <c r="B22" i="48"/>
  <c r="K21" i="48"/>
  <c r="I21" i="48"/>
  <c r="H21" i="48"/>
  <c r="B21" i="48"/>
  <c r="G21" i="48" s="1"/>
  <c r="K20" i="48"/>
  <c r="I20" i="48"/>
  <c r="H20" i="48"/>
  <c r="B20" i="48"/>
  <c r="K19" i="48"/>
  <c r="I19" i="48"/>
  <c r="H19" i="48"/>
  <c r="B19" i="48"/>
  <c r="G19" i="48" s="1"/>
  <c r="K18" i="48"/>
  <c r="I18" i="48"/>
  <c r="H18" i="48"/>
  <c r="B18" i="48"/>
  <c r="K17" i="48"/>
  <c r="I17" i="48"/>
  <c r="H17" i="48"/>
  <c r="B17" i="48"/>
  <c r="G17" i="48" s="1"/>
  <c r="K16" i="48"/>
  <c r="I16" i="48"/>
  <c r="H16" i="48"/>
  <c r="B16" i="48"/>
  <c r="K15" i="48"/>
  <c r="I15" i="48"/>
  <c r="H15" i="48"/>
  <c r="B15" i="48"/>
  <c r="G15" i="48" s="1"/>
  <c r="K14" i="48"/>
  <c r="I14" i="48"/>
  <c r="H14" i="48"/>
  <c r="B14" i="48"/>
  <c r="K11" i="48"/>
  <c r="I10" i="48"/>
  <c r="G10" i="48"/>
  <c r="I9" i="48"/>
  <c r="L13" i="48" s="1"/>
  <c r="G9" i="48"/>
  <c r="G8" i="48"/>
  <c r="I7" i="48"/>
  <c r="K24" i="47"/>
  <c r="I24" i="47"/>
  <c r="H24" i="47"/>
  <c r="B24" i="47"/>
  <c r="K23" i="47"/>
  <c r="I23" i="47"/>
  <c r="H23" i="47"/>
  <c r="B23" i="47"/>
  <c r="G23" i="47" s="1"/>
  <c r="K22" i="47"/>
  <c r="I22" i="47"/>
  <c r="H22" i="47"/>
  <c r="B22" i="47"/>
  <c r="K21" i="47"/>
  <c r="I21" i="47"/>
  <c r="H21" i="47"/>
  <c r="B21" i="47"/>
  <c r="G21" i="47" s="1"/>
  <c r="K20" i="47"/>
  <c r="I20" i="47"/>
  <c r="H20" i="47"/>
  <c r="B20" i="47"/>
  <c r="K19" i="47"/>
  <c r="I19" i="47"/>
  <c r="H19" i="47"/>
  <c r="B19" i="47"/>
  <c r="G19" i="47" s="1"/>
  <c r="K18" i="47"/>
  <c r="I18" i="47"/>
  <c r="H18" i="47"/>
  <c r="B18" i="47"/>
  <c r="K17" i="47"/>
  <c r="I17" i="47"/>
  <c r="H17" i="47"/>
  <c r="B17" i="47"/>
  <c r="G17" i="47" s="1"/>
  <c r="K16" i="47"/>
  <c r="I16" i="47"/>
  <c r="H16" i="47"/>
  <c r="B16" i="47"/>
  <c r="K15" i="47"/>
  <c r="I15" i="47"/>
  <c r="H15" i="47"/>
  <c r="B15" i="47"/>
  <c r="G15" i="47" s="1"/>
  <c r="K14" i="47"/>
  <c r="I14" i="47"/>
  <c r="H14" i="47"/>
  <c r="B14" i="47"/>
  <c r="K11" i="47"/>
  <c r="I10" i="47"/>
  <c r="G10" i="47"/>
  <c r="I9" i="47"/>
  <c r="L13" i="47" s="1"/>
  <c r="G9" i="47"/>
  <c r="G8" i="47"/>
  <c r="I7" i="47"/>
  <c r="K32" i="46"/>
  <c r="I32" i="46"/>
  <c r="H32" i="46"/>
  <c r="B32" i="46"/>
  <c r="K31" i="46"/>
  <c r="I31" i="46"/>
  <c r="H31" i="46"/>
  <c r="B31" i="46"/>
  <c r="G31" i="46" s="1"/>
  <c r="K30" i="46"/>
  <c r="I30" i="46"/>
  <c r="H30" i="46"/>
  <c r="B30" i="46"/>
  <c r="K29" i="46"/>
  <c r="I29" i="46"/>
  <c r="H29" i="46"/>
  <c r="B29" i="46"/>
  <c r="G29" i="46" s="1"/>
  <c r="K28" i="46"/>
  <c r="I28" i="46"/>
  <c r="H28" i="46"/>
  <c r="B28" i="46"/>
  <c r="K27" i="46"/>
  <c r="I27" i="46"/>
  <c r="H27" i="46"/>
  <c r="B27" i="46"/>
  <c r="G27" i="46" s="1"/>
  <c r="K26" i="46"/>
  <c r="I26" i="46"/>
  <c r="H26" i="46"/>
  <c r="B26" i="46"/>
  <c r="K25" i="46"/>
  <c r="I25" i="46"/>
  <c r="H25" i="46"/>
  <c r="B25" i="46"/>
  <c r="G25" i="46" s="1"/>
  <c r="K24" i="46"/>
  <c r="I24" i="46"/>
  <c r="H24" i="46"/>
  <c r="B24" i="46"/>
  <c r="K23" i="46"/>
  <c r="I23" i="46"/>
  <c r="H23" i="46"/>
  <c r="B23" i="46"/>
  <c r="G23" i="46" s="1"/>
  <c r="K22" i="46"/>
  <c r="I22" i="46"/>
  <c r="H22" i="46"/>
  <c r="B22" i="46"/>
  <c r="K21" i="46"/>
  <c r="I21" i="46"/>
  <c r="H21" i="46"/>
  <c r="B21" i="46"/>
  <c r="G21" i="46" s="1"/>
  <c r="K20" i="46"/>
  <c r="I20" i="46"/>
  <c r="H20" i="46"/>
  <c r="B20" i="46"/>
  <c r="K19" i="46"/>
  <c r="I19" i="46"/>
  <c r="H19" i="46"/>
  <c r="B19" i="46"/>
  <c r="G19" i="46" s="1"/>
  <c r="K18" i="46"/>
  <c r="I18" i="46"/>
  <c r="H18" i="46"/>
  <c r="B18" i="46"/>
  <c r="K17" i="46"/>
  <c r="I17" i="46"/>
  <c r="H17" i="46"/>
  <c r="B17" i="46"/>
  <c r="G17" i="46" s="1"/>
  <c r="K16" i="46"/>
  <c r="I16" i="46"/>
  <c r="H16" i="46"/>
  <c r="B16" i="46"/>
  <c r="K15" i="46"/>
  <c r="I15" i="46"/>
  <c r="H15" i="46"/>
  <c r="B15" i="46"/>
  <c r="G15" i="46" s="1"/>
  <c r="K14" i="46"/>
  <c r="I14" i="46"/>
  <c r="H14" i="46"/>
  <c r="B14" i="46"/>
  <c r="K11" i="46"/>
  <c r="I10" i="46"/>
  <c r="G10" i="46"/>
  <c r="I9" i="46"/>
  <c r="L13" i="46" s="1"/>
  <c r="G9" i="46"/>
  <c r="G8" i="46"/>
  <c r="I7" i="46"/>
  <c r="K31" i="45"/>
  <c r="I31" i="45"/>
  <c r="H31" i="45"/>
  <c r="B31" i="45"/>
  <c r="G31" i="45" s="1"/>
  <c r="K30" i="45"/>
  <c r="I30" i="45"/>
  <c r="H30" i="45"/>
  <c r="B30" i="45"/>
  <c r="G30" i="45" s="1"/>
  <c r="K29" i="45"/>
  <c r="I29" i="45"/>
  <c r="H29" i="45"/>
  <c r="B29" i="45"/>
  <c r="G29" i="45" s="1"/>
  <c r="K28" i="45"/>
  <c r="I28" i="45"/>
  <c r="H28" i="45"/>
  <c r="B28" i="45"/>
  <c r="K27" i="45"/>
  <c r="I27" i="45"/>
  <c r="H27" i="45"/>
  <c r="B27" i="45"/>
  <c r="G27" i="45" s="1"/>
  <c r="K26" i="45"/>
  <c r="I26" i="45"/>
  <c r="H26" i="45"/>
  <c r="B26" i="45"/>
  <c r="K25" i="45"/>
  <c r="I25" i="45"/>
  <c r="H25" i="45"/>
  <c r="B25" i="45"/>
  <c r="G25" i="45" s="1"/>
  <c r="K24" i="45"/>
  <c r="I24" i="45"/>
  <c r="H24" i="45"/>
  <c r="B24" i="45"/>
  <c r="K23" i="45"/>
  <c r="I23" i="45"/>
  <c r="H23" i="45"/>
  <c r="B23" i="45"/>
  <c r="G23" i="45" s="1"/>
  <c r="K22" i="45"/>
  <c r="I22" i="45"/>
  <c r="H22" i="45"/>
  <c r="B22" i="45"/>
  <c r="G22" i="45" s="1"/>
  <c r="K21" i="45"/>
  <c r="I21" i="45"/>
  <c r="H21" i="45"/>
  <c r="B21" i="45"/>
  <c r="G21" i="45" s="1"/>
  <c r="K20" i="45"/>
  <c r="I20" i="45"/>
  <c r="H20" i="45"/>
  <c r="B20" i="45"/>
  <c r="K19" i="45"/>
  <c r="I19" i="45"/>
  <c r="H19" i="45"/>
  <c r="B19" i="45"/>
  <c r="G19" i="45" s="1"/>
  <c r="K18" i="45"/>
  <c r="I18" i="45"/>
  <c r="H18" i="45"/>
  <c r="B18" i="45"/>
  <c r="K17" i="45"/>
  <c r="I17" i="45"/>
  <c r="H17" i="45"/>
  <c r="B17" i="45"/>
  <c r="G17" i="45" s="1"/>
  <c r="K16" i="45"/>
  <c r="I16" i="45"/>
  <c r="H16" i="45"/>
  <c r="B16" i="45"/>
  <c r="G16" i="45" s="1"/>
  <c r="K15" i="45"/>
  <c r="I15" i="45"/>
  <c r="H15" i="45"/>
  <c r="B15" i="45"/>
  <c r="G15" i="45" s="1"/>
  <c r="K14" i="45"/>
  <c r="I14" i="45"/>
  <c r="H14" i="45"/>
  <c r="B14" i="45"/>
  <c r="K11" i="45"/>
  <c r="I10" i="45"/>
  <c r="G10" i="45"/>
  <c r="I9" i="45"/>
  <c r="L13" i="45" s="1"/>
  <c r="G9" i="45"/>
  <c r="G8" i="45"/>
  <c r="I7" i="45"/>
  <c r="K34" i="44"/>
  <c r="I34" i="44"/>
  <c r="H34" i="44"/>
  <c r="B34" i="44"/>
  <c r="G34" i="44" s="1"/>
  <c r="K32" i="44"/>
  <c r="I32" i="44"/>
  <c r="H32" i="44"/>
  <c r="B32" i="44"/>
  <c r="K31" i="44"/>
  <c r="I31" i="44"/>
  <c r="H31" i="44"/>
  <c r="B31" i="44"/>
  <c r="G31" i="44" s="1"/>
  <c r="K30" i="44"/>
  <c r="I30" i="44"/>
  <c r="H30" i="44"/>
  <c r="B30" i="44"/>
  <c r="K29" i="44"/>
  <c r="I29" i="44"/>
  <c r="H29" i="44"/>
  <c r="B29" i="44"/>
  <c r="G29" i="44" s="1"/>
  <c r="K28" i="44"/>
  <c r="I28" i="44"/>
  <c r="H28" i="44"/>
  <c r="B28" i="44"/>
  <c r="K27" i="44"/>
  <c r="I27" i="44"/>
  <c r="H27" i="44"/>
  <c r="B27" i="44"/>
  <c r="G27" i="44" s="1"/>
  <c r="K26" i="44"/>
  <c r="I26" i="44"/>
  <c r="H26" i="44"/>
  <c r="B26" i="44"/>
  <c r="K25" i="44"/>
  <c r="I25" i="44"/>
  <c r="H25" i="44"/>
  <c r="B25" i="44"/>
  <c r="G25" i="44" s="1"/>
  <c r="K24" i="44"/>
  <c r="I24" i="44"/>
  <c r="H24" i="44"/>
  <c r="B24" i="44"/>
  <c r="K23" i="44"/>
  <c r="I23" i="44"/>
  <c r="H23" i="44"/>
  <c r="B23" i="44"/>
  <c r="G23" i="44" s="1"/>
  <c r="K22" i="44"/>
  <c r="I22" i="44"/>
  <c r="H22" i="44"/>
  <c r="B22" i="44"/>
  <c r="K21" i="44"/>
  <c r="I21" i="44"/>
  <c r="H21" i="44"/>
  <c r="G21" i="44"/>
  <c r="B21" i="44"/>
  <c r="K20" i="44"/>
  <c r="I20" i="44"/>
  <c r="H20" i="44"/>
  <c r="B20" i="44"/>
  <c r="K19" i="44"/>
  <c r="I19" i="44"/>
  <c r="H19" i="44"/>
  <c r="B19" i="44"/>
  <c r="G19" i="44" s="1"/>
  <c r="K18" i="44"/>
  <c r="I18" i="44"/>
  <c r="H18" i="44"/>
  <c r="B18" i="44"/>
  <c r="K17" i="44"/>
  <c r="I17" i="44"/>
  <c r="H17" i="44"/>
  <c r="B17" i="44"/>
  <c r="G17" i="44" s="1"/>
  <c r="K16" i="44"/>
  <c r="I16" i="44"/>
  <c r="H16" i="44"/>
  <c r="B16" i="44"/>
  <c r="K15" i="44"/>
  <c r="I15" i="44"/>
  <c r="H15" i="44"/>
  <c r="B15" i="44"/>
  <c r="G15" i="44" s="1"/>
  <c r="K14" i="44"/>
  <c r="I14" i="44"/>
  <c r="H14" i="44"/>
  <c r="B14" i="44"/>
  <c r="K11" i="44"/>
  <c r="I10" i="44"/>
  <c r="G10" i="44"/>
  <c r="I9" i="44"/>
  <c r="L13" i="44" s="1"/>
  <c r="G9" i="44"/>
  <c r="G8" i="44"/>
  <c r="I7" i="44"/>
  <c r="K33" i="43"/>
  <c r="I33" i="43"/>
  <c r="H33" i="43"/>
  <c r="B33" i="43"/>
  <c r="G33" i="43" s="1"/>
  <c r="K32" i="43"/>
  <c r="I32" i="43"/>
  <c r="H32" i="43"/>
  <c r="B32" i="43"/>
  <c r="K31" i="43"/>
  <c r="I31" i="43"/>
  <c r="H31" i="43"/>
  <c r="B31" i="43"/>
  <c r="G31" i="43" s="1"/>
  <c r="K30" i="43"/>
  <c r="I30" i="43"/>
  <c r="H30" i="43"/>
  <c r="B30" i="43"/>
  <c r="K29" i="43"/>
  <c r="I29" i="43"/>
  <c r="H29" i="43"/>
  <c r="B29" i="43"/>
  <c r="G29" i="43" s="1"/>
  <c r="K28" i="43"/>
  <c r="I28" i="43"/>
  <c r="H28" i="43"/>
  <c r="B28" i="43"/>
  <c r="K27" i="43"/>
  <c r="I27" i="43"/>
  <c r="H27" i="43"/>
  <c r="B27" i="43"/>
  <c r="G27" i="43" s="1"/>
  <c r="K26" i="43"/>
  <c r="I26" i="43"/>
  <c r="H26" i="43"/>
  <c r="B26" i="43"/>
  <c r="K25" i="43"/>
  <c r="I25" i="43"/>
  <c r="H25" i="43"/>
  <c r="B25" i="43"/>
  <c r="G25" i="43" s="1"/>
  <c r="K24" i="43"/>
  <c r="I24" i="43"/>
  <c r="H24" i="43"/>
  <c r="B24" i="43"/>
  <c r="K23" i="43"/>
  <c r="I23" i="43"/>
  <c r="H23" i="43"/>
  <c r="B23" i="43"/>
  <c r="G23" i="43" s="1"/>
  <c r="K22" i="43"/>
  <c r="I22" i="43"/>
  <c r="H22" i="43"/>
  <c r="B22" i="43"/>
  <c r="K21" i="43"/>
  <c r="I21" i="43"/>
  <c r="H21" i="43"/>
  <c r="B21" i="43"/>
  <c r="G21" i="43" s="1"/>
  <c r="K20" i="43"/>
  <c r="I20" i="43"/>
  <c r="H20" i="43"/>
  <c r="B20" i="43"/>
  <c r="K19" i="43"/>
  <c r="I19" i="43"/>
  <c r="H19" i="43"/>
  <c r="B19" i="43"/>
  <c r="G19" i="43" s="1"/>
  <c r="K18" i="43"/>
  <c r="I18" i="43"/>
  <c r="H18" i="43"/>
  <c r="B18" i="43"/>
  <c r="K17" i="43"/>
  <c r="I17" i="43"/>
  <c r="H17" i="43"/>
  <c r="B17" i="43"/>
  <c r="G17" i="43" s="1"/>
  <c r="K16" i="43"/>
  <c r="I16" i="43"/>
  <c r="H16" i="43"/>
  <c r="B16" i="43"/>
  <c r="K15" i="43"/>
  <c r="I15" i="43"/>
  <c r="H15" i="43"/>
  <c r="B15" i="43"/>
  <c r="G15" i="43" s="1"/>
  <c r="K14" i="43"/>
  <c r="I14" i="43"/>
  <c r="H14" i="43"/>
  <c r="B14" i="43"/>
  <c r="K11" i="43"/>
  <c r="I10" i="43"/>
  <c r="G10" i="43"/>
  <c r="I9" i="43"/>
  <c r="L13" i="43" s="1"/>
  <c r="G9" i="43"/>
  <c r="G8" i="43"/>
  <c r="I7" i="43"/>
  <c r="K33" i="41"/>
  <c r="I33" i="41"/>
  <c r="H33" i="41"/>
  <c r="B33" i="41"/>
  <c r="G33" i="41" s="1"/>
  <c r="K32" i="41"/>
  <c r="I32" i="41"/>
  <c r="H32" i="41"/>
  <c r="B32" i="41"/>
  <c r="K31" i="41"/>
  <c r="I31" i="41"/>
  <c r="H31" i="41"/>
  <c r="B31" i="41"/>
  <c r="G31" i="41" s="1"/>
  <c r="K30" i="41"/>
  <c r="I30" i="41"/>
  <c r="H30" i="41"/>
  <c r="B30" i="41"/>
  <c r="K29" i="41"/>
  <c r="I29" i="41"/>
  <c r="H29" i="41"/>
  <c r="B29" i="41"/>
  <c r="G29" i="41" s="1"/>
  <c r="K28" i="41"/>
  <c r="I28" i="41"/>
  <c r="H28" i="41"/>
  <c r="B28" i="41"/>
  <c r="K27" i="41"/>
  <c r="I27" i="41"/>
  <c r="H27" i="41"/>
  <c r="B27" i="41"/>
  <c r="G27" i="41" s="1"/>
  <c r="K26" i="41"/>
  <c r="I26" i="41"/>
  <c r="H26" i="41"/>
  <c r="B26" i="41"/>
  <c r="K25" i="41"/>
  <c r="I25" i="41"/>
  <c r="H25" i="41"/>
  <c r="B25" i="41"/>
  <c r="G25" i="41" s="1"/>
  <c r="K24" i="41"/>
  <c r="I24" i="41"/>
  <c r="H24" i="41"/>
  <c r="B24" i="41"/>
  <c r="K23" i="41"/>
  <c r="I23" i="41"/>
  <c r="H23" i="41"/>
  <c r="B23" i="41"/>
  <c r="G23" i="41" s="1"/>
  <c r="K22" i="41"/>
  <c r="I22" i="41"/>
  <c r="H22" i="41"/>
  <c r="B22" i="41"/>
  <c r="K21" i="41"/>
  <c r="I21" i="41"/>
  <c r="H21" i="41"/>
  <c r="G21" i="41"/>
  <c r="B21" i="41"/>
  <c r="K20" i="41"/>
  <c r="I20" i="41"/>
  <c r="H20" i="41"/>
  <c r="B20" i="41"/>
  <c r="K19" i="41"/>
  <c r="I19" i="41"/>
  <c r="H19" i="41"/>
  <c r="B19" i="41"/>
  <c r="G19" i="41" s="1"/>
  <c r="K18" i="41"/>
  <c r="I18" i="41"/>
  <c r="H18" i="41"/>
  <c r="B18" i="41"/>
  <c r="K17" i="41"/>
  <c r="I17" i="41"/>
  <c r="H17" i="41"/>
  <c r="B17" i="41"/>
  <c r="G17" i="41" s="1"/>
  <c r="K16" i="41"/>
  <c r="I16" i="41"/>
  <c r="H16" i="41"/>
  <c r="B16" i="41"/>
  <c r="K15" i="41"/>
  <c r="I15" i="41"/>
  <c r="H15" i="41"/>
  <c r="G15" i="41"/>
  <c r="B15" i="41"/>
  <c r="K14" i="41"/>
  <c r="I14" i="41"/>
  <c r="H14" i="41"/>
  <c r="B14" i="41"/>
  <c r="K11" i="41"/>
  <c r="I10" i="41"/>
  <c r="G10" i="41"/>
  <c r="I9" i="41"/>
  <c r="L13" i="41" s="1"/>
  <c r="G9" i="41"/>
  <c r="G8" i="41"/>
  <c r="I7" i="41"/>
  <c r="K33" i="40"/>
  <c r="I33" i="40"/>
  <c r="H33" i="40"/>
  <c r="B33" i="40"/>
  <c r="G33" i="40" s="1"/>
  <c r="K32" i="40"/>
  <c r="I32" i="40"/>
  <c r="H32" i="40"/>
  <c r="G32" i="40"/>
  <c r="B32" i="40"/>
  <c r="K31" i="40"/>
  <c r="I31" i="40"/>
  <c r="H31" i="40"/>
  <c r="B31" i="40"/>
  <c r="G31" i="40" s="1"/>
  <c r="K30" i="40"/>
  <c r="I30" i="40"/>
  <c r="H30" i="40"/>
  <c r="G30" i="40"/>
  <c r="B30" i="40"/>
  <c r="K29" i="40"/>
  <c r="I29" i="40"/>
  <c r="H29" i="40"/>
  <c r="B29" i="40"/>
  <c r="G29" i="40" s="1"/>
  <c r="K28" i="40"/>
  <c r="I28" i="40"/>
  <c r="H28" i="40"/>
  <c r="B28" i="40"/>
  <c r="G28" i="40" s="1"/>
  <c r="K27" i="40"/>
  <c r="I27" i="40"/>
  <c r="H27" i="40"/>
  <c r="B27" i="40"/>
  <c r="G27" i="40" s="1"/>
  <c r="K26" i="40"/>
  <c r="I26" i="40"/>
  <c r="H26" i="40"/>
  <c r="B26" i="40"/>
  <c r="G26" i="40" s="1"/>
  <c r="K25" i="40"/>
  <c r="I25" i="40"/>
  <c r="H25" i="40"/>
  <c r="B25" i="40"/>
  <c r="G25" i="40" s="1"/>
  <c r="K24" i="40"/>
  <c r="I24" i="40"/>
  <c r="H24" i="40"/>
  <c r="B24" i="40"/>
  <c r="G24" i="40" s="1"/>
  <c r="K23" i="40"/>
  <c r="I23" i="40"/>
  <c r="H23" i="40"/>
  <c r="B23" i="40"/>
  <c r="G23" i="40" s="1"/>
  <c r="K22" i="40"/>
  <c r="I22" i="40"/>
  <c r="H22" i="40"/>
  <c r="G22" i="40"/>
  <c r="B22" i="40"/>
  <c r="K21" i="40"/>
  <c r="I21" i="40"/>
  <c r="H21" i="40"/>
  <c r="B21" i="40"/>
  <c r="G21" i="40" s="1"/>
  <c r="K20" i="40"/>
  <c r="I20" i="40"/>
  <c r="H20" i="40"/>
  <c r="B20" i="40"/>
  <c r="G20" i="40" s="1"/>
  <c r="K19" i="40"/>
  <c r="I19" i="40"/>
  <c r="H19" i="40"/>
  <c r="B19" i="40"/>
  <c r="G19" i="40" s="1"/>
  <c r="K18" i="40"/>
  <c r="I18" i="40"/>
  <c r="H18" i="40"/>
  <c r="B18" i="40"/>
  <c r="G18" i="40" s="1"/>
  <c r="K17" i="40"/>
  <c r="I17" i="40"/>
  <c r="H17" i="40"/>
  <c r="B17" i="40"/>
  <c r="G17" i="40" s="1"/>
  <c r="K16" i="40"/>
  <c r="I16" i="40"/>
  <c r="H16" i="40"/>
  <c r="G16" i="40"/>
  <c r="B16" i="40"/>
  <c r="K15" i="40"/>
  <c r="I15" i="40"/>
  <c r="H15" i="40"/>
  <c r="B15" i="40"/>
  <c r="G15" i="40" s="1"/>
  <c r="K14" i="40"/>
  <c r="I14" i="40"/>
  <c r="H14" i="40"/>
  <c r="G14" i="40"/>
  <c r="B14" i="40"/>
  <c r="K11" i="40"/>
  <c r="I10" i="40"/>
  <c r="G10" i="40"/>
  <c r="I9" i="40"/>
  <c r="L13" i="40" s="1"/>
  <c r="G9" i="40"/>
  <c r="G8" i="40"/>
  <c r="I7" i="40"/>
  <c r="K33" i="39"/>
  <c r="I33" i="39"/>
  <c r="H33" i="39"/>
  <c r="B33" i="39"/>
  <c r="G33" i="39" s="1"/>
  <c r="K32" i="39"/>
  <c r="I32" i="39"/>
  <c r="H32" i="39"/>
  <c r="B32" i="39"/>
  <c r="G32" i="39" s="1"/>
  <c r="K31" i="39"/>
  <c r="I31" i="39"/>
  <c r="H31" i="39"/>
  <c r="B31" i="39"/>
  <c r="G31" i="39" s="1"/>
  <c r="K30" i="39"/>
  <c r="I30" i="39"/>
  <c r="H30" i="39"/>
  <c r="G30" i="39"/>
  <c r="B30" i="39"/>
  <c r="K29" i="39"/>
  <c r="I29" i="39"/>
  <c r="H29" i="39"/>
  <c r="B29" i="39"/>
  <c r="G29" i="39" s="1"/>
  <c r="K28" i="39"/>
  <c r="I28" i="39"/>
  <c r="H28" i="39"/>
  <c r="B28" i="39"/>
  <c r="G28" i="39" s="1"/>
  <c r="K27" i="39"/>
  <c r="I27" i="39"/>
  <c r="H27" i="39"/>
  <c r="B27" i="39"/>
  <c r="G27" i="39" s="1"/>
  <c r="K26" i="39"/>
  <c r="I26" i="39"/>
  <c r="H26" i="39"/>
  <c r="B26" i="39"/>
  <c r="G26" i="39" s="1"/>
  <c r="K25" i="39"/>
  <c r="I25" i="39"/>
  <c r="H25" i="39"/>
  <c r="B25" i="39"/>
  <c r="G25" i="39" s="1"/>
  <c r="K24" i="39"/>
  <c r="I24" i="39"/>
  <c r="H24" i="39"/>
  <c r="B24" i="39"/>
  <c r="G24" i="39" s="1"/>
  <c r="K23" i="39"/>
  <c r="I23" i="39"/>
  <c r="H23" i="39"/>
  <c r="G23" i="39"/>
  <c r="B23" i="39"/>
  <c r="K22" i="39"/>
  <c r="I22" i="39"/>
  <c r="H22" i="39"/>
  <c r="B22" i="39"/>
  <c r="G22" i="39" s="1"/>
  <c r="K21" i="39"/>
  <c r="I21" i="39"/>
  <c r="H21" i="39"/>
  <c r="B21" i="39"/>
  <c r="G21" i="39" s="1"/>
  <c r="K20" i="39"/>
  <c r="I20" i="39"/>
  <c r="H20" i="39"/>
  <c r="G20" i="39"/>
  <c r="B20" i="39"/>
  <c r="K19" i="39"/>
  <c r="I19" i="39"/>
  <c r="H19" i="39"/>
  <c r="B19" i="39"/>
  <c r="G19" i="39" s="1"/>
  <c r="K18" i="39"/>
  <c r="I18" i="39"/>
  <c r="H18" i="39"/>
  <c r="B18" i="39"/>
  <c r="G18" i="39" s="1"/>
  <c r="K17" i="39"/>
  <c r="I17" i="39"/>
  <c r="H17" i="39"/>
  <c r="B17" i="39"/>
  <c r="G17" i="39" s="1"/>
  <c r="K16" i="39"/>
  <c r="I16" i="39"/>
  <c r="H16" i="39"/>
  <c r="G16" i="39"/>
  <c r="B16" i="39"/>
  <c r="K15" i="39"/>
  <c r="I15" i="39"/>
  <c r="H15" i="39"/>
  <c r="B15" i="39"/>
  <c r="G15" i="39" s="1"/>
  <c r="K14" i="39"/>
  <c r="I14" i="39"/>
  <c r="H14" i="39"/>
  <c r="B14" i="39"/>
  <c r="G14" i="39" s="1"/>
  <c r="K11" i="39"/>
  <c r="I10" i="39"/>
  <c r="G10" i="39"/>
  <c r="I9" i="39"/>
  <c r="L13" i="39" s="1"/>
  <c r="G9" i="39"/>
  <c r="G8" i="39"/>
  <c r="I7" i="39"/>
  <c r="K21" i="30"/>
  <c r="I21" i="30"/>
  <c r="H21" i="30"/>
  <c r="B21" i="30"/>
  <c r="G21" i="30" s="1"/>
  <c r="K20" i="30"/>
  <c r="I20" i="30"/>
  <c r="H20" i="30"/>
  <c r="B20" i="30"/>
  <c r="K19" i="30"/>
  <c r="I19" i="30"/>
  <c r="H19" i="30"/>
  <c r="B19" i="30"/>
  <c r="G19" i="30" s="1"/>
  <c r="K18" i="30"/>
  <c r="I18" i="30"/>
  <c r="H18" i="30"/>
  <c r="B18" i="30"/>
  <c r="K17" i="30"/>
  <c r="I17" i="30"/>
  <c r="H17" i="30"/>
  <c r="B17" i="30"/>
  <c r="G17" i="30" s="1"/>
  <c r="K16" i="30"/>
  <c r="I16" i="30"/>
  <c r="H16" i="30"/>
  <c r="B16" i="30"/>
  <c r="K15" i="30"/>
  <c r="I15" i="30"/>
  <c r="H15" i="30"/>
  <c r="B15" i="30"/>
  <c r="G15" i="30" s="1"/>
  <c r="K14" i="30"/>
  <c r="I14" i="30"/>
  <c r="H14" i="30"/>
  <c r="B14" i="30"/>
  <c r="K11" i="30"/>
  <c r="I10" i="30"/>
  <c r="G10" i="30"/>
  <c r="I9" i="30"/>
  <c r="L13" i="30" s="1"/>
  <c r="G9" i="30"/>
  <c r="G8" i="30"/>
  <c r="I7" i="30"/>
  <c r="K21" i="29"/>
  <c r="I21" i="29"/>
  <c r="H21" i="29"/>
  <c r="B21" i="29"/>
  <c r="G21" i="29" s="1"/>
  <c r="K20" i="29"/>
  <c r="I20" i="29"/>
  <c r="H20" i="29"/>
  <c r="B20" i="29"/>
  <c r="K19" i="29"/>
  <c r="I19" i="29"/>
  <c r="H19" i="29"/>
  <c r="B19" i="29"/>
  <c r="G19" i="29" s="1"/>
  <c r="K18" i="29"/>
  <c r="I18" i="29"/>
  <c r="H18" i="29"/>
  <c r="B18" i="29"/>
  <c r="K17" i="29"/>
  <c r="I17" i="29"/>
  <c r="H17" i="29"/>
  <c r="B17" i="29"/>
  <c r="G17" i="29" s="1"/>
  <c r="K16" i="29"/>
  <c r="I16" i="29"/>
  <c r="H16" i="29"/>
  <c r="B16" i="29"/>
  <c r="K15" i="29"/>
  <c r="I15" i="29"/>
  <c r="H15" i="29"/>
  <c r="B15" i="29"/>
  <c r="G15" i="29" s="1"/>
  <c r="K14" i="29"/>
  <c r="I14" i="29"/>
  <c r="H14" i="29"/>
  <c r="B14" i="29"/>
  <c r="K11" i="29"/>
  <c r="I10" i="29"/>
  <c r="G10" i="29"/>
  <c r="I9" i="29"/>
  <c r="G9" i="29"/>
  <c r="G8" i="29"/>
  <c r="I7" i="29"/>
  <c r="K22" i="28"/>
  <c r="I22" i="28"/>
  <c r="H22" i="28"/>
  <c r="B22" i="28"/>
  <c r="G22" i="28" s="1"/>
  <c r="K21" i="28"/>
  <c r="I21" i="28"/>
  <c r="H21" i="28"/>
  <c r="B21" i="28"/>
  <c r="G21" i="28" s="1"/>
  <c r="K20" i="28"/>
  <c r="I20" i="28"/>
  <c r="H20" i="28"/>
  <c r="B20" i="28"/>
  <c r="G20" i="28" s="1"/>
  <c r="K19" i="28"/>
  <c r="I19" i="28"/>
  <c r="H19" i="28"/>
  <c r="B19" i="28"/>
  <c r="G19" i="28" s="1"/>
  <c r="K18" i="28"/>
  <c r="I18" i="28"/>
  <c r="H18" i="28"/>
  <c r="B18" i="28"/>
  <c r="G18" i="28" s="1"/>
  <c r="K17" i="28"/>
  <c r="I17" i="28"/>
  <c r="H17" i="28"/>
  <c r="B17" i="28"/>
  <c r="G17" i="28" s="1"/>
  <c r="K16" i="28"/>
  <c r="I16" i="28"/>
  <c r="H16" i="28"/>
  <c r="B16" i="28"/>
  <c r="G16" i="28" s="1"/>
  <c r="K15" i="28"/>
  <c r="I15" i="28"/>
  <c r="H15" i="28"/>
  <c r="B15" i="28"/>
  <c r="G15" i="28" s="1"/>
  <c r="K14" i="28"/>
  <c r="I14" i="28"/>
  <c r="H14" i="28"/>
  <c r="B14" i="28"/>
  <c r="G14" i="28" s="1"/>
  <c r="K11" i="28"/>
  <c r="I10" i="28"/>
  <c r="G10" i="28"/>
  <c r="I9" i="28"/>
  <c r="L13" i="28" s="1"/>
  <c r="G9" i="28"/>
  <c r="G8" i="28"/>
  <c r="I7" i="28"/>
  <c r="K27" i="27"/>
  <c r="I27" i="27"/>
  <c r="H27" i="27"/>
  <c r="G27" i="27"/>
  <c r="K25" i="27"/>
  <c r="I25" i="27"/>
  <c r="H25" i="27"/>
  <c r="K24" i="27"/>
  <c r="I24" i="27"/>
  <c r="H24" i="27"/>
  <c r="G24" i="27"/>
  <c r="K20" i="27"/>
  <c r="I20" i="27"/>
  <c r="H20" i="27"/>
  <c r="K19" i="27"/>
  <c r="I19" i="27"/>
  <c r="H19" i="27"/>
  <c r="G19" i="27"/>
  <c r="K18" i="27"/>
  <c r="I18" i="27"/>
  <c r="H18" i="27"/>
  <c r="K17" i="27"/>
  <c r="I17" i="27"/>
  <c r="H17" i="27"/>
  <c r="G17" i="27"/>
  <c r="K16" i="27"/>
  <c r="I16" i="27"/>
  <c r="H16" i="27"/>
  <c r="B16" i="27"/>
  <c r="G16" i="27" s="1"/>
  <c r="K15" i="27"/>
  <c r="I15" i="27"/>
  <c r="H15" i="27"/>
  <c r="B15" i="27"/>
  <c r="K11" i="27"/>
  <c r="I10" i="27"/>
  <c r="G10" i="27"/>
  <c r="I9" i="27"/>
  <c r="L13" i="27" s="1"/>
  <c r="G9" i="27"/>
  <c r="G8" i="27"/>
  <c r="I7" i="27"/>
  <c r="K21" i="26"/>
  <c r="I21" i="26"/>
  <c r="H21" i="26"/>
  <c r="B21" i="26"/>
  <c r="G21" i="26" s="1"/>
  <c r="K20" i="26"/>
  <c r="I20" i="26"/>
  <c r="H20" i="26"/>
  <c r="B20" i="26"/>
  <c r="K19" i="26"/>
  <c r="I19" i="26"/>
  <c r="H19" i="26"/>
  <c r="B19" i="26"/>
  <c r="G19" i="26" s="1"/>
  <c r="K18" i="26"/>
  <c r="I18" i="26"/>
  <c r="H18" i="26"/>
  <c r="B18" i="26"/>
  <c r="K17" i="26"/>
  <c r="I17" i="26"/>
  <c r="H17" i="26"/>
  <c r="B17" i="26"/>
  <c r="G17" i="26" s="1"/>
  <c r="K16" i="26"/>
  <c r="I16" i="26"/>
  <c r="H16" i="26"/>
  <c r="B16" i="26"/>
  <c r="K15" i="26"/>
  <c r="I15" i="26"/>
  <c r="H15" i="26"/>
  <c r="B15" i="26"/>
  <c r="G15" i="26" s="1"/>
  <c r="K14" i="26"/>
  <c r="I14" i="26"/>
  <c r="H14" i="26"/>
  <c r="B14" i="26"/>
  <c r="K11" i="26"/>
  <c r="I10" i="26"/>
  <c r="G10" i="26"/>
  <c r="I9" i="26"/>
  <c r="L13" i="26" s="1"/>
  <c r="G9" i="26"/>
  <c r="G8" i="26"/>
  <c r="I7" i="26"/>
  <c r="K33" i="25"/>
  <c r="I33" i="25"/>
  <c r="H33" i="25"/>
  <c r="B33" i="25"/>
  <c r="G33" i="25" s="1"/>
  <c r="K32" i="25"/>
  <c r="I32" i="25"/>
  <c r="H32" i="25"/>
  <c r="B32" i="25"/>
  <c r="K31" i="25"/>
  <c r="I31" i="25"/>
  <c r="H31" i="25"/>
  <c r="B31" i="25"/>
  <c r="G31" i="25" s="1"/>
  <c r="K30" i="25"/>
  <c r="I30" i="25"/>
  <c r="H30" i="25"/>
  <c r="B30" i="25"/>
  <c r="K29" i="25"/>
  <c r="I29" i="25"/>
  <c r="H29" i="25"/>
  <c r="B29" i="25"/>
  <c r="G29" i="25" s="1"/>
  <c r="K28" i="25"/>
  <c r="I28" i="25"/>
  <c r="H28" i="25"/>
  <c r="B28" i="25"/>
  <c r="K27" i="25"/>
  <c r="I27" i="25"/>
  <c r="H27" i="25"/>
  <c r="B27" i="25"/>
  <c r="G27" i="25" s="1"/>
  <c r="K26" i="25"/>
  <c r="I26" i="25"/>
  <c r="H26" i="25"/>
  <c r="B26" i="25"/>
  <c r="K25" i="25"/>
  <c r="I25" i="25"/>
  <c r="H25" i="25"/>
  <c r="B25" i="25"/>
  <c r="G25" i="25" s="1"/>
  <c r="K24" i="25"/>
  <c r="I24" i="25"/>
  <c r="H24" i="25"/>
  <c r="B24" i="25"/>
  <c r="K23" i="25"/>
  <c r="I23" i="25"/>
  <c r="H23" i="25"/>
  <c r="B23" i="25"/>
  <c r="G23" i="25" s="1"/>
  <c r="K22" i="25"/>
  <c r="I22" i="25"/>
  <c r="H22" i="25"/>
  <c r="B22" i="25"/>
  <c r="K21" i="25"/>
  <c r="I21" i="25"/>
  <c r="H21" i="25"/>
  <c r="B21" i="25"/>
  <c r="G21" i="25" s="1"/>
  <c r="K20" i="25"/>
  <c r="I20" i="25"/>
  <c r="H20" i="25"/>
  <c r="B20" i="25"/>
  <c r="K19" i="25"/>
  <c r="I19" i="25"/>
  <c r="H19" i="25"/>
  <c r="B19" i="25"/>
  <c r="G19" i="25" s="1"/>
  <c r="K18" i="25"/>
  <c r="I18" i="25"/>
  <c r="H18" i="25"/>
  <c r="B18" i="25"/>
  <c r="K17" i="25"/>
  <c r="I17" i="25"/>
  <c r="H17" i="25"/>
  <c r="B17" i="25"/>
  <c r="G17" i="25" s="1"/>
  <c r="K16" i="25"/>
  <c r="I16" i="25"/>
  <c r="H16" i="25"/>
  <c r="B16" i="25"/>
  <c r="K15" i="25"/>
  <c r="I15" i="25"/>
  <c r="H15" i="25"/>
  <c r="B15" i="25"/>
  <c r="G15" i="25" s="1"/>
  <c r="K14" i="25"/>
  <c r="I14" i="25"/>
  <c r="H14" i="25"/>
  <c r="B14" i="25"/>
  <c r="K11" i="25"/>
  <c r="I10" i="25"/>
  <c r="G10" i="25"/>
  <c r="I9" i="25"/>
  <c r="L13" i="25" s="1"/>
  <c r="G9" i="25"/>
  <c r="G8" i="25"/>
  <c r="I7" i="25"/>
  <c r="K33" i="24"/>
  <c r="I33" i="24"/>
  <c r="H33" i="24"/>
  <c r="B33" i="24"/>
  <c r="G33" i="24" s="1"/>
  <c r="K32" i="24"/>
  <c r="I32" i="24"/>
  <c r="H32" i="24"/>
  <c r="B32" i="24"/>
  <c r="K31" i="24"/>
  <c r="I31" i="24"/>
  <c r="H31" i="24"/>
  <c r="B31" i="24"/>
  <c r="G31" i="24" s="1"/>
  <c r="K30" i="24"/>
  <c r="I30" i="24"/>
  <c r="H30" i="24"/>
  <c r="B30" i="24"/>
  <c r="K29" i="24"/>
  <c r="I29" i="24"/>
  <c r="H29" i="24"/>
  <c r="B29" i="24"/>
  <c r="G29" i="24" s="1"/>
  <c r="K28" i="24"/>
  <c r="I28" i="24"/>
  <c r="H28" i="24"/>
  <c r="B28" i="24"/>
  <c r="K27" i="24"/>
  <c r="I27" i="24"/>
  <c r="H27" i="24"/>
  <c r="B27" i="24"/>
  <c r="G27" i="24" s="1"/>
  <c r="K26" i="24"/>
  <c r="I26" i="24"/>
  <c r="H26" i="24"/>
  <c r="B26" i="24"/>
  <c r="K25" i="24"/>
  <c r="I25" i="24"/>
  <c r="H25" i="24"/>
  <c r="G25" i="24"/>
  <c r="B25" i="24"/>
  <c r="K24" i="24"/>
  <c r="I24" i="24"/>
  <c r="H24" i="24"/>
  <c r="B24" i="24"/>
  <c r="K23" i="24"/>
  <c r="I23" i="24"/>
  <c r="H23" i="24"/>
  <c r="B23" i="24"/>
  <c r="G23" i="24" s="1"/>
  <c r="K22" i="24"/>
  <c r="I22" i="24"/>
  <c r="H22" i="24"/>
  <c r="B22" i="24"/>
  <c r="K21" i="24"/>
  <c r="I21" i="24"/>
  <c r="H21" i="24"/>
  <c r="G21" i="24"/>
  <c r="B21" i="24"/>
  <c r="K20" i="24"/>
  <c r="I20" i="24"/>
  <c r="H20" i="24"/>
  <c r="B20" i="24"/>
  <c r="K19" i="24"/>
  <c r="I19" i="24"/>
  <c r="H19" i="24"/>
  <c r="G19" i="24"/>
  <c r="B19" i="24"/>
  <c r="K18" i="24"/>
  <c r="I18" i="24"/>
  <c r="H18" i="24"/>
  <c r="B18" i="24"/>
  <c r="K17" i="24"/>
  <c r="I17" i="24"/>
  <c r="H17" i="24"/>
  <c r="B17" i="24"/>
  <c r="G17" i="24" s="1"/>
  <c r="K16" i="24"/>
  <c r="I16" i="24"/>
  <c r="H16" i="24"/>
  <c r="B16" i="24"/>
  <c r="K15" i="24"/>
  <c r="I15" i="24"/>
  <c r="H15" i="24"/>
  <c r="B15" i="24"/>
  <c r="G15" i="24" s="1"/>
  <c r="K14" i="24"/>
  <c r="I14" i="24"/>
  <c r="H14" i="24"/>
  <c r="B14" i="24"/>
  <c r="K11" i="24"/>
  <c r="I10" i="24"/>
  <c r="G10" i="24"/>
  <c r="I9" i="24"/>
  <c r="L13" i="24" s="1"/>
  <c r="G9" i="24"/>
  <c r="G8" i="24"/>
  <c r="I7" i="24"/>
  <c r="K33" i="79"/>
  <c r="I33" i="79"/>
  <c r="H33" i="79"/>
  <c r="B33" i="79"/>
  <c r="G33" i="79" s="1"/>
  <c r="K32" i="79"/>
  <c r="I32" i="79"/>
  <c r="H32" i="79"/>
  <c r="B32" i="79"/>
  <c r="K31" i="79"/>
  <c r="I31" i="79"/>
  <c r="H31" i="79"/>
  <c r="B31" i="79"/>
  <c r="G31" i="79" s="1"/>
  <c r="K30" i="79"/>
  <c r="I30" i="79"/>
  <c r="H30" i="79"/>
  <c r="B30" i="79"/>
  <c r="K29" i="79"/>
  <c r="I29" i="79"/>
  <c r="H29" i="79"/>
  <c r="G29" i="79"/>
  <c r="B29" i="79"/>
  <c r="K28" i="79"/>
  <c r="I28" i="79"/>
  <c r="H28" i="79"/>
  <c r="B28" i="79"/>
  <c r="K27" i="79"/>
  <c r="I27" i="79"/>
  <c r="H27" i="79"/>
  <c r="B27" i="79"/>
  <c r="G27" i="79" s="1"/>
  <c r="K26" i="79"/>
  <c r="I26" i="79"/>
  <c r="H26" i="79"/>
  <c r="B26" i="79"/>
  <c r="K25" i="79"/>
  <c r="I25" i="79"/>
  <c r="H25" i="79"/>
  <c r="G25" i="79"/>
  <c r="B25" i="79"/>
  <c r="K24" i="79"/>
  <c r="I24" i="79"/>
  <c r="H24" i="79"/>
  <c r="B24" i="79"/>
  <c r="K23" i="79"/>
  <c r="I23" i="79"/>
  <c r="H23" i="79"/>
  <c r="B23" i="79"/>
  <c r="G23" i="79" s="1"/>
  <c r="K22" i="79"/>
  <c r="I22" i="79"/>
  <c r="H22" i="79"/>
  <c r="B22" i="79"/>
  <c r="K21" i="79"/>
  <c r="I21" i="79"/>
  <c r="H21" i="79"/>
  <c r="B21" i="79"/>
  <c r="G21" i="79" s="1"/>
  <c r="K20" i="79"/>
  <c r="I20" i="79"/>
  <c r="H20" i="79"/>
  <c r="B20" i="79"/>
  <c r="K19" i="79"/>
  <c r="I19" i="79"/>
  <c r="H19" i="79"/>
  <c r="B19" i="79"/>
  <c r="G19" i="79" s="1"/>
  <c r="K18" i="79"/>
  <c r="I18" i="79"/>
  <c r="H18" i="79"/>
  <c r="B18" i="79"/>
  <c r="K17" i="79"/>
  <c r="I17" i="79"/>
  <c r="H17" i="79"/>
  <c r="B17" i="79"/>
  <c r="G17" i="79" s="1"/>
  <c r="K16" i="79"/>
  <c r="I16" i="79"/>
  <c r="H16" i="79"/>
  <c r="B16" i="79"/>
  <c r="K15" i="79"/>
  <c r="I15" i="79"/>
  <c r="H15" i="79"/>
  <c r="B15" i="79"/>
  <c r="G15" i="79" s="1"/>
  <c r="K14" i="79"/>
  <c r="I14" i="79"/>
  <c r="H14" i="79"/>
  <c r="B14" i="79"/>
  <c r="K11" i="79"/>
  <c r="I10" i="79"/>
  <c r="G10" i="79"/>
  <c r="I9" i="79"/>
  <c r="L13" i="79" s="1"/>
  <c r="G9" i="79"/>
  <c r="G8" i="79"/>
  <c r="I7" i="79"/>
  <c r="K24" i="22"/>
  <c r="I24" i="22"/>
  <c r="H24" i="22"/>
  <c r="B24" i="22"/>
  <c r="K23" i="22"/>
  <c r="I23" i="22"/>
  <c r="H23" i="22"/>
  <c r="B23" i="22"/>
  <c r="G23" i="22" s="1"/>
  <c r="K22" i="22"/>
  <c r="I22" i="22"/>
  <c r="H22" i="22"/>
  <c r="B22" i="22"/>
  <c r="K21" i="22"/>
  <c r="I21" i="22"/>
  <c r="H21" i="22"/>
  <c r="B21" i="22"/>
  <c r="G21" i="22" s="1"/>
  <c r="K20" i="22"/>
  <c r="I20" i="22"/>
  <c r="H20" i="22"/>
  <c r="B20" i="22"/>
  <c r="K19" i="22"/>
  <c r="I19" i="22"/>
  <c r="H19" i="22"/>
  <c r="B19" i="22"/>
  <c r="G19" i="22" s="1"/>
  <c r="K18" i="22"/>
  <c r="I18" i="22"/>
  <c r="H18" i="22"/>
  <c r="B18" i="22"/>
  <c r="K17" i="22"/>
  <c r="I17" i="22"/>
  <c r="H17" i="22"/>
  <c r="B17" i="22"/>
  <c r="G17" i="22" s="1"/>
  <c r="K16" i="22"/>
  <c r="I16" i="22"/>
  <c r="H16" i="22"/>
  <c r="B16" i="22"/>
  <c r="K15" i="22"/>
  <c r="I15" i="22"/>
  <c r="H15" i="22"/>
  <c r="B15" i="22"/>
  <c r="G15" i="22" s="1"/>
  <c r="K14" i="22"/>
  <c r="I14" i="22"/>
  <c r="H14" i="22"/>
  <c r="B14" i="22"/>
  <c r="K11" i="22"/>
  <c r="I10" i="22"/>
  <c r="G10" i="22"/>
  <c r="I9" i="22"/>
  <c r="L13" i="22" s="1"/>
  <c r="G9" i="22"/>
  <c r="G8" i="22"/>
  <c r="I7" i="22"/>
  <c r="K25" i="21"/>
  <c r="I25" i="21"/>
  <c r="H25" i="21"/>
  <c r="B25" i="21"/>
  <c r="G25" i="21" s="1"/>
  <c r="K23" i="21"/>
  <c r="I23" i="21"/>
  <c r="H23" i="21"/>
  <c r="B23" i="21"/>
  <c r="K22" i="21"/>
  <c r="I22" i="21"/>
  <c r="H22" i="21"/>
  <c r="B22" i="21"/>
  <c r="G22" i="21" s="1"/>
  <c r="K18" i="21"/>
  <c r="I18" i="21"/>
  <c r="H18" i="21"/>
  <c r="B18" i="21"/>
  <c r="K17" i="21"/>
  <c r="I17" i="21"/>
  <c r="H17" i="21"/>
  <c r="B17" i="21"/>
  <c r="G17" i="21" s="1"/>
  <c r="K16" i="21"/>
  <c r="I16" i="21"/>
  <c r="H16" i="21"/>
  <c r="B16" i="21"/>
  <c r="K15" i="21"/>
  <c r="I15" i="21"/>
  <c r="H15" i="21"/>
  <c r="B15" i="21"/>
  <c r="G15" i="21" s="1"/>
  <c r="K14" i="21"/>
  <c r="I14" i="21"/>
  <c r="H14" i="21"/>
  <c r="B14" i="21"/>
  <c r="K11" i="21"/>
  <c r="I10" i="21"/>
  <c r="G10" i="21"/>
  <c r="I9" i="21"/>
  <c r="L13" i="21" s="1"/>
  <c r="G9" i="21"/>
  <c r="G8" i="21"/>
  <c r="I7" i="21"/>
  <c r="K24" i="20"/>
  <c r="I24" i="20"/>
  <c r="H24" i="20"/>
  <c r="B24" i="20"/>
  <c r="G24" i="20" s="1"/>
  <c r="K23" i="20"/>
  <c r="I23" i="20"/>
  <c r="H23" i="20"/>
  <c r="B23" i="20"/>
  <c r="G23" i="20" s="1"/>
  <c r="K22" i="20"/>
  <c r="I22" i="20"/>
  <c r="H22" i="20"/>
  <c r="B22" i="20"/>
  <c r="G22" i="20" s="1"/>
  <c r="K21" i="20"/>
  <c r="I21" i="20"/>
  <c r="H21" i="20"/>
  <c r="B21" i="20"/>
  <c r="G21" i="20" s="1"/>
  <c r="K20" i="20"/>
  <c r="I20" i="20"/>
  <c r="H20" i="20"/>
  <c r="B20" i="20"/>
  <c r="K19" i="20"/>
  <c r="I19" i="20"/>
  <c r="H19" i="20"/>
  <c r="B19" i="20"/>
  <c r="G19" i="20" s="1"/>
  <c r="K18" i="20"/>
  <c r="I18" i="20"/>
  <c r="H18" i="20"/>
  <c r="B18" i="20"/>
  <c r="G18" i="20" s="1"/>
  <c r="K17" i="20"/>
  <c r="I17" i="20"/>
  <c r="H17" i="20"/>
  <c r="B17" i="20"/>
  <c r="G17" i="20" s="1"/>
  <c r="K16" i="20"/>
  <c r="I16" i="20"/>
  <c r="H16" i="20"/>
  <c r="B16" i="20"/>
  <c r="K15" i="20"/>
  <c r="I15" i="20"/>
  <c r="H15" i="20"/>
  <c r="B15" i="20"/>
  <c r="G15" i="20" s="1"/>
  <c r="K14" i="20"/>
  <c r="I14" i="20"/>
  <c r="H14" i="20"/>
  <c r="B14" i="20"/>
  <c r="G14" i="20" s="1"/>
  <c r="K11" i="20"/>
  <c r="I10" i="20"/>
  <c r="G10" i="20"/>
  <c r="I9" i="20"/>
  <c r="L13" i="20" s="1"/>
  <c r="G9" i="20"/>
  <c r="G8" i="20"/>
  <c r="I7" i="20"/>
  <c r="K17" i="19"/>
  <c r="I17" i="19"/>
  <c r="H17" i="19"/>
  <c r="B17" i="19"/>
  <c r="G17" i="19" s="1"/>
  <c r="K16" i="19"/>
  <c r="I16" i="19"/>
  <c r="H16" i="19"/>
  <c r="B16" i="19"/>
  <c r="K15" i="19"/>
  <c r="I15" i="19"/>
  <c r="H15" i="19"/>
  <c r="B15" i="19"/>
  <c r="G15" i="19" s="1"/>
  <c r="K14" i="19"/>
  <c r="I14" i="19"/>
  <c r="H14" i="19"/>
  <c r="B14" i="19"/>
  <c r="K11" i="19"/>
  <c r="I10" i="19"/>
  <c r="G10" i="19"/>
  <c r="I9" i="19"/>
  <c r="L13" i="19" s="1"/>
  <c r="G9" i="19"/>
  <c r="G8" i="19"/>
  <c r="I7" i="19"/>
  <c r="K31" i="18"/>
  <c r="I31" i="18"/>
  <c r="H31" i="18"/>
  <c r="B31" i="18"/>
  <c r="G31" i="18" s="1"/>
  <c r="K30" i="18"/>
  <c r="I30" i="18"/>
  <c r="H30" i="18"/>
  <c r="B30" i="18"/>
  <c r="K29" i="18"/>
  <c r="I29" i="18"/>
  <c r="H29" i="18"/>
  <c r="B29" i="18"/>
  <c r="G29" i="18" s="1"/>
  <c r="K28" i="18"/>
  <c r="I28" i="18"/>
  <c r="H28" i="18"/>
  <c r="B28" i="18"/>
  <c r="K27" i="18"/>
  <c r="I27" i="18"/>
  <c r="H27" i="18"/>
  <c r="B27" i="18"/>
  <c r="G27" i="18" s="1"/>
  <c r="K26" i="18"/>
  <c r="I26" i="18"/>
  <c r="H26" i="18"/>
  <c r="B26" i="18"/>
  <c r="K25" i="18"/>
  <c r="I25" i="18"/>
  <c r="H25" i="18"/>
  <c r="B25" i="18"/>
  <c r="G25" i="18" s="1"/>
  <c r="K24" i="18"/>
  <c r="I24" i="18"/>
  <c r="H24" i="18"/>
  <c r="B24" i="18"/>
  <c r="K23" i="18"/>
  <c r="I23" i="18"/>
  <c r="H23" i="18"/>
  <c r="B23" i="18"/>
  <c r="G23" i="18" s="1"/>
  <c r="K22" i="18"/>
  <c r="I22" i="18"/>
  <c r="H22" i="18"/>
  <c r="B22" i="18"/>
  <c r="K21" i="18"/>
  <c r="I21" i="18"/>
  <c r="H21" i="18"/>
  <c r="B21" i="18"/>
  <c r="G21" i="18" s="1"/>
  <c r="K20" i="18"/>
  <c r="I20" i="18"/>
  <c r="H20" i="18"/>
  <c r="B20" i="18"/>
  <c r="K19" i="18"/>
  <c r="I19" i="18"/>
  <c r="H19" i="18"/>
  <c r="G19" i="18"/>
  <c r="B19" i="18"/>
  <c r="K18" i="18"/>
  <c r="I18" i="18"/>
  <c r="H18" i="18"/>
  <c r="B18" i="18"/>
  <c r="K17" i="18"/>
  <c r="I17" i="18"/>
  <c r="H17" i="18"/>
  <c r="B17" i="18"/>
  <c r="G17" i="18" s="1"/>
  <c r="K16" i="18"/>
  <c r="I16" i="18"/>
  <c r="H16" i="18"/>
  <c r="B16" i="18"/>
  <c r="K15" i="18"/>
  <c r="I15" i="18"/>
  <c r="H15" i="18"/>
  <c r="G15" i="18"/>
  <c r="B15" i="18"/>
  <c r="K14" i="18"/>
  <c r="I14" i="18"/>
  <c r="H14" i="18"/>
  <c r="B14" i="18"/>
  <c r="K11" i="18"/>
  <c r="I10" i="18"/>
  <c r="G10" i="18"/>
  <c r="I9" i="18"/>
  <c r="L13" i="18" s="1"/>
  <c r="G9" i="18"/>
  <c r="G8" i="18"/>
  <c r="I7" i="18"/>
  <c r="K29" i="17"/>
  <c r="I29" i="17"/>
  <c r="H29" i="17"/>
  <c r="B29" i="17"/>
  <c r="G29" i="17" s="1"/>
  <c r="K27" i="17"/>
  <c r="I27" i="17"/>
  <c r="H27" i="17"/>
  <c r="B27" i="17"/>
  <c r="K26" i="17"/>
  <c r="I26" i="17"/>
  <c r="H26" i="17"/>
  <c r="B26" i="17"/>
  <c r="G26" i="17" s="1"/>
  <c r="K25" i="17"/>
  <c r="I25" i="17"/>
  <c r="H25" i="17"/>
  <c r="B25" i="17"/>
  <c r="K24" i="17"/>
  <c r="I24" i="17"/>
  <c r="H24" i="17"/>
  <c r="B24" i="17"/>
  <c r="G24" i="17" s="1"/>
  <c r="K23" i="17"/>
  <c r="I23" i="17"/>
  <c r="H23" i="17"/>
  <c r="B23" i="17"/>
  <c r="K22" i="17"/>
  <c r="I22" i="17"/>
  <c r="H22" i="17"/>
  <c r="B22" i="17"/>
  <c r="G22" i="17" s="1"/>
  <c r="K21" i="17"/>
  <c r="I21" i="17"/>
  <c r="H21" i="17"/>
  <c r="B21" i="17"/>
  <c r="K20" i="17"/>
  <c r="I20" i="17"/>
  <c r="H20" i="17"/>
  <c r="B20" i="17"/>
  <c r="G20" i="17" s="1"/>
  <c r="K19" i="17"/>
  <c r="I19" i="17"/>
  <c r="H19" i="17"/>
  <c r="B19" i="17"/>
  <c r="K18" i="17"/>
  <c r="I18" i="17"/>
  <c r="H18" i="17"/>
  <c r="B18" i="17"/>
  <c r="G18" i="17" s="1"/>
  <c r="K17" i="17"/>
  <c r="I17" i="17"/>
  <c r="H17" i="17"/>
  <c r="B17" i="17"/>
  <c r="K16" i="17"/>
  <c r="I16" i="17"/>
  <c r="H16" i="17"/>
  <c r="B16" i="17"/>
  <c r="G16" i="17" s="1"/>
  <c r="K15" i="17"/>
  <c r="I15" i="17"/>
  <c r="H15" i="17"/>
  <c r="B15" i="17"/>
  <c r="K14" i="17"/>
  <c r="I14" i="17"/>
  <c r="H14" i="17"/>
  <c r="B14" i="17"/>
  <c r="G14" i="17" s="1"/>
  <c r="K11" i="17"/>
  <c r="I10" i="17"/>
  <c r="G10" i="17"/>
  <c r="I9" i="17"/>
  <c r="L13" i="17" s="1"/>
  <c r="G9" i="17"/>
  <c r="G8" i="17"/>
  <c r="I7" i="17"/>
  <c r="K21" i="16"/>
  <c r="I21" i="16"/>
  <c r="H21" i="16"/>
  <c r="B21" i="16"/>
  <c r="K19" i="16"/>
  <c r="I19" i="16"/>
  <c r="H19" i="16"/>
  <c r="B19" i="16"/>
  <c r="G19" i="16" s="1"/>
  <c r="K18" i="16"/>
  <c r="I18" i="16"/>
  <c r="H18" i="16"/>
  <c r="B18" i="16"/>
  <c r="K17" i="16"/>
  <c r="I17" i="16"/>
  <c r="H17" i="16"/>
  <c r="B17" i="16"/>
  <c r="G17" i="16" s="1"/>
  <c r="K16" i="16"/>
  <c r="I16" i="16"/>
  <c r="H16" i="16"/>
  <c r="B16" i="16"/>
  <c r="K15" i="16"/>
  <c r="I15" i="16"/>
  <c r="H15" i="16"/>
  <c r="B15" i="16"/>
  <c r="G15" i="16" s="1"/>
  <c r="K14" i="16"/>
  <c r="I14" i="16"/>
  <c r="H14" i="16"/>
  <c r="B14" i="16"/>
  <c r="K11" i="16"/>
  <c r="I10" i="16"/>
  <c r="G10" i="16"/>
  <c r="I9" i="16"/>
  <c r="L13" i="16" s="1"/>
  <c r="G9" i="16"/>
  <c r="G8" i="16"/>
  <c r="I7" i="16"/>
  <c r="K23" i="37"/>
  <c r="I23" i="37"/>
  <c r="H23" i="37"/>
  <c r="B23" i="37"/>
  <c r="K21" i="37"/>
  <c r="I21" i="37"/>
  <c r="H21" i="37"/>
  <c r="B21" i="37"/>
  <c r="G21" i="37" s="1"/>
  <c r="K20" i="37"/>
  <c r="I20" i="37"/>
  <c r="H20" i="37"/>
  <c r="B20" i="37"/>
  <c r="K19" i="37"/>
  <c r="I19" i="37"/>
  <c r="H19" i="37"/>
  <c r="B19" i="37"/>
  <c r="G19" i="37" s="1"/>
  <c r="K18" i="37"/>
  <c r="I18" i="37"/>
  <c r="H18" i="37"/>
  <c r="B18" i="37"/>
  <c r="G18" i="37" s="1"/>
  <c r="K17" i="37"/>
  <c r="I17" i="37"/>
  <c r="H17" i="37"/>
  <c r="B17" i="37"/>
  <c r="G17" i="37" s="1"/>
  <c r="K16" i="37"/>
  <c r="I16" i="37"/>
  <c r="H16" i="37"/>
  <c r="B16" i="37"/>
  <c r="K15" i="37"/>
  <c r="I15" i="37"/>
  <c r="H15" i="37"/>
  <c r="B15" i="37"/>
  <c r="G15" i="37" s="1"/>
  <c r="K14" i="37"/>
  <c r="I14" i="37"/>
  <c r="H14" i="37"/>
  <c r="B14" i="37"/>
  <c r="K11" i="37"/>
  <c r="I10" i="37"/>
  <c r="G10" i="37"/>
  <c r="I9" i="37"/>
  <c r="L13" i="37" s="1"/>
  <c r="G9" i="37"/>
  <c r="G8" i="37"/>
  <c r="I7" i="37"/>
  <c r="K23" i="36"/>
  <c r="I23" i="36"/>
  <c r="H23" i="36"/>
  <c r="B23" i="36"/>
  <c r="G23" i="36" s="1"/>
  <c r="K22" i="36"/>
  <c r="I22" i="36"/>
  <c r="H22" i="36"/>
  <c r="B22" i="36"/>
  <c r="K21" i="36"/>
  <c r="I21" i="36"/>
  <c r="H21" i="36"/>
  <c r="B21" i="36"/>
  <c r="G21" i="36" s="1"/>
  <c r="K20" i="36"/>
  <c r="I20" i="36"/>
  <c r="H20" i="36"/>
  <c r="B20" i="36"/>
  <c r="G20" i="36" s="1"/>
  <c r="K19" i="36"/>
  <c r="I19" i="36"/>
  <c r="H19" i="36"/>
  <c r="B19" i="36"/>
  <c r="G19" i="36" s="1"/>
  <c r="K18" i="36"/>
  <c r="I18" i="36"/>
  <c r="H18" i="36"/>
  <c r="B18" i="36"/>
  <c r="K17" i="36"/>
  <c r="I17" i="36"/>
  <c r="H17" i="36"/>
  <c r="B17" i="36"/>
  <c r="G17" i="36" s="1"/>
  <c r="K16" i="36"/>
  <c r="I16" i="36"/>
  <c r="H16" i="36"/>
  <c r="B16" i="36"/>
  <c r="G16" i="36" s="1"/>
  <c r="K15" i="36"/>
  <c r="I15" i="36"/>
  <c r="H15" i="36"/>
  <c r="B15" i="36"/>
  <c r="G15" i="36" s="1"/>
  <c r="K14" i="36"/>
  <c r="I14" i="36"/>
  <c r="H14" i="36"/>
  <c r="B14" i="36"/>
  <c r="K11" i="36"/>
  <c r="I10" i="36"/>
  <c r="G10" i="36"/>
  <c r="I9" i="36"/>
  <c r="L13" i="36" s="1"/>
  <c r="G9" i="36"/>
  <c r="G8" i="36"/>
  <c r="I7" i="36"/>
  <c r="K23" i="35"/>
  <c r="I23" i="35"/>
  <c r="H23" i="35"/>
  <c r="B23" i="35"/>
  <c r="G23" i="35" s="1"/>
  <c r="K22" i="35"/>
  <c r="I22" i="35"/>
  <c r="H22" i="35"/>
  <c r="B22" i="35"/>
  <c r="G22" i="35" s="1"/>
  <c r="K21" i="35"/>
  <c r="I21" i="35"/>
  <c r="H21" i="35"/>
  <c r="B21" i="35"/>
  <c r="G21" i="35" s="1"/>
  <c r="K20" i="35"/>
  <c r="I20" i="35"/>
  <c r="H20" i="35"/>
  <c r="B20" i="35"/>
  <c r="G20" i="35" s="1"/>
  <c r="K19" i="35"/>
  <c r="I19" i="35"/>
  <c r="H19" i="35"/>
  <c r="B19" i="35"/>
  <c r="G19" i="35" s="1"/>
  <c r="K18" i="35"/>
  <c r="I18" i="35"/>
  <c r="H18" i="35"/>
  <c r="B18" i="35"/>
  <c r="G18" i="35" s="1"/>
  <c r="K17" i="35"/>
  <c r="I17" i="35"/>
  <c r="H17" i="35"/>
  <c r="B17" i="35"/>
  <c r="G17" i="35" s="1"/>
  <c r="K16" i="35"/>
  <c r="I16" i="35"/>
  <c r="H16" i="35"/>
  <c r="B16" i="35"/>
  <c r="G16" i="35" s="1"/>
  <c r="K15" i="35"/>
  <c r="I15" i="35"/>
  <c r="H15" i="35"/>
  <c r="B15" i="35"/>
  <c r="G15" i="35" s="1"/>
  <c r="K14" i="35"/>
  <c r="I14" i="35"/>
  <c r="H14" i="35"/>
  <c r="B14" i="35"/>
  <c r="G14" i="35" s="1"/>
  <c r="K11" i="35"/>
  <c r="I10" i="35"/>
  <c r="G10" i="35"/>
  <c r="I9" i="35"/>
  <c r="L13" i="35" s="1"/>
  <c r="G9" i="35"/>
  <c r="G8" i="35"/>
  <c r="I7" i="35"/>
  <c r="K30" i="34"/>
  <c r="I30" i="34"/>
  <c r="H30" i="34"/>
  <c r="B30" i="34"/>
  <c r="G30" i="34" s="1"/>
  <c r="K28" i="34"/>
  <c r="I28" i="34"/>
  <c r="H28" i="34"/>
  <c r="B28" i="34"/>
  <c r="K27" i="34"/>
  <c r="I27" i="34"/>
  <c r="H27" i="34"/>
  <c r="B27" i="34"/>
  <c r="G27" i="34" s="1"/>
  <c r="K26" i="34"/>
  <c r="I26" i="34"/>
  <c r="H26" i="34"/>
  <c r="B26" i="34"/>
  <c r="K25" i="34"/>
  <c r="I25" i="34"/>
  <c r="H25" i="34"/>
  <c r="B25" i="34"/>
  <c r="G25" i="34" s="1"/>
  <c r="K24" i="34"/>
  <c r="I24" i="34"/>
  <c r="H24" i="34"/>
  <c r="B24" i="34"/>
  <c r="K23" i="34"/>
  <c r="I23" i="34"/>
  <c r="H23" i="34"/>
  <c r="B23" i="34"/>
  <c r="G23" i="34" s="1"/>
  <c r="K22" i="34"/>
  <c r="I22" i="34"/>
  <c r="H22" i="34"/>
  <c r="B22" i="34"/>
  <c r="K21" i="34"/>
  <c r="I21" i="34"/>
  <c r="H21" i="34"/>
  <c r="B21" i="34"/>
  <c r="G21" i="34" s="1"/>
  <c r="K20" i="34"/>
  <c r="I20" i="34"/>
  <c r="H20" i="34"/>
  <c r="B20" i="34"/>
  <c r="K19" i="34"/>
  <c r="I19" i="34"/>
  <c r="H19" i="34"/>
  <c r="B19" i="34"/>
  <c r="G19" i="34" s="1"/>
  <c r="K18" i="34"/>
  <c r="I18" i="34"/>
  <c r="H18" i="34"/>
  <c r="B18" i="34"/>
  <c r="K17" i="34"/>
  <c r="I17" i="34"/>
  <c r="H17" i="34"/>
  <c r="B17" i="34"/>
  <c r="G17" i="34" s="1"/>
  <c r="K16" i="34"/>
  <c r="I16" i="34"/>
  <c r="H16" i="34"/>
  <c r="B16" i="34"/>
  <c r="K15" i="34"/>
  <c r="I15" i="34"/>
  <c r="H15" i="34"/>
  <c r="B15" i="34"/>
  <c r="G15" i="34" s="1"/>
  <c r="K14" i="34"/>
  <c r="I14" i="34"/>
  <c r="H14" i="34"/>
  <c r="B14" i="34"/>
  <c r="K11" i="34"/>
  <c r="I10" i="34"/>
  <c r="G10" i="34"/>
  <c r="I9" i="34"/>
  <c r="L13" i="34" s="1"/>
  <c r="G9" i="34"/>
  <c r="G8" i="34"/>
  <c r="I7" i="34"/>
  <c r="K22" i="11"/>
  <c r="I22" i="11"/>
  <c r="H22" i="11"/>
  <c r="B22" i="11"/>
  <c r="G22" i="11" s="1"/>
  <c r="K20" i="11"/>
  <c r="I20" i="11"/>
  <c r="H20" i="11"/>
  <c r="B20" i="11"/>
  <c r="K19" i="11"/>
  <c r="I19" i="11"/>
  <c r="H19" i="11"/>
  <c r="B19" i="11"/>
  <c r="G19" i="11" s="1"/>
  <c r="K18" i="11"/>
  <c r="I18" i="11"/>
  <c r="H18" i="11"/>
  <c r="B18" i="11"/>
  <c r="G18" i="11" s="1"/>
  <c r="K17" i="11"/>
  <c r="I17" i="11"/>
  <c r="H17" i="11"/>
  <c r="B17" i="11"/>
  <c r="G17" i="11" s="1"/>
  <c r="K16" i="11"/>
  <c r="I16" i="11"/>
  <c r="H16" i="11"/>
  <c r="B16" i="11"/>
  <c r="G16" i="11" s="1"/>
  <c r="K15" i="11"/>
  <c r="I15" i="11"/>
  <c r="H15" i="11"/>
  <c r="B15" i="11"/>
  <c r="G15" i="11" s="1"/>
  <c r="K14" i="11"/>
  <c r="I14" i="11"/>
  <c r="H14" i="11"/>
  <c r="B14" i="11"/>
  <c r="G14" i="11" s="1"/>
  <c r="K11" i="11"/>
  <c r="I10" i="11"/>
  <c r="G10" i="11"/>
  <c r="I9" i="11"/>
  <c r="L13" i="11" s="1"/>
  <c r="G9" i="11"/>
  <c r="G8" i="11"/>
  <c r="I7" i="11"/>
  <c r="I25" i="10"/>
  <c r="H25" i="10"/>
  <c r="B25" i="10"/>
  <c r="G25" i="10" s="1"/>
  <c r="K24" i="10"/>
  <c r="I24" i="10"/>
  <c r="H24" i="10"/>
  <c r="B24" i="10"/>
  <c r="K23" i="10"/>
  <c r="I23" i="10"/>
  <c r="H23" i="10"/>
  <c r="B23" i="10"/>
  <c r="G23" i="10" s="1"/>
  <c r="K22" i="10"/>
  <c r="I22" i="10"/>
  <c r="H22" i="10"/>
  <c r="B22" i="10"/>
  <c r="K21" i="10"/>
  <c r="I21" i="10"/>
  <c r="H21" i="10"/>
  <c r="B21" i="10"/>
  <c r="G21" i="10" s="1"/>
  <c r="K20" i="10"/>
  <c r="I20" i="10"/>
  <c r="H20" i="10"/>
  <c r="B20" i="10"/>
  <c r="K19" i="10"/>
  <c r="I19" i="10"/>
  <c r="H19" i="10"/>
  <c r="B19" i="10"/>
  <c r="G19" i="10" s="1"/>
  <c r="K18" i="10"/>
  <c r="I18" i="10"/>
  <c r="H18" i="10"/>
  <c r="B18" i="10"/>
  <c r="K17" i="10"/>
  <c r="I17" i="10"/>
  <c r="H17" i="10"/>
  <c r="B17" i="10"/>
  <c r="G17" i="10" s="1"/>
  <c r="K16" i="10"/>
  <c r="I16" i="10"/>
  <c r="H16" i="10"/>
  <c r="B16" i="10"/>
  <c r="K15" i="10"/>
  <c r="I15" i="10"/>
  <c r="H15" i="10"/>
  <c r="B15" i="10"/>
  <c r="G15" i="10" s="1"/>
  <c r="K14" i="10"/>
  <c r="I14" i="10"/>
  <c r="H14" i="10"/>
  <c r="B14" i="10"/>
  <c r="G14" i="10" s="1"/>
  <c r="K11" i="10"/>
  <c r="I10" i="10"/>
  <c r="G10" i="10"/>
  <c r="I9" i="10"/>
  <c r="L13" i="10" s="1"/>
  <c r="G9" i="10"/>
  <c r="G8" i="10"/>
  <c r="I7" i="10"/>
  <c r="K26" i="9"/>
  <c r="I26" i="9"/>
  <c r="H26" i="9"/>
  <c r="B26" i="9"/>
  <c r="G26" i="9" s="1"/>
  <c r="K25" i="9"/>
  <c r="I25" i="9"/>
  <c r="H25" i="9"/>
  <c r="B25" i="9"/>
  <c r="K24" i="9"/>
  <c r="I24" i="9"/>
  <c r="H24" i="9"/>
  <c r="B24" i="9"/>
  <c r="G24" i="9" s="1"/>
  <c r="K23" i="9"/>
  <c r="I23" i="9"/>
  <c r="H23" i="9"/>
  <c r="B23" i="9"/>
  <c r="K22" i="9"/>
  <c r="I22" i="9"/>
  <c r="H22" i="9"/>
  <c r="B22" i="9"/>
  <c r="K21" i="9"/>
  <c r="I21" i="9"/>
  <c r="H21" i="9"/>
  <c r="B21" i="9"/>
  <c r="G21" i="9" s="1"/>
  <c r="K20" i="9"/>
  <c r="I20" i="9"/>
  <c r="H20" i="9"/>
  <c r="B20" i="9"/>
  <c r="K19" i="9"/>
  <c r="I19" i="9"/>
  <c r="H19" i="9"/>
  <c r="B19" i="9"/>
  <c r="G19" i="9" s="1"/>
  <c r="K18" i="9"/>
  <c r="I18" i="9"/>
  <c r="H18" i="9"/>
  <c r="B18" i="9"/>
  <c r="K17" i="9"/>
  <c r="I17" i="9"/>
  <c r="H17" i="9"/>
  <c r="B17" i="9"/>
  <c r="G17" i="9" s="1"/>
  <c r="K16" i="9"/>
  <c r="I16" i="9"/>
  <c r="H16" i="9"/>
  <c r="B16" i="9"/>
  <c r="K15" i="9"/>
  <c r="I15" i="9"/>
  <c r="H15" i="9"/>
  <c r="B15" i="9"/>
  <c r="G15" i="9" s="1"/>
  <c r="K14" i="9"/>
  <c r="I14" i="9"/>
  <c r="H14" i="9"/>
  <c r="B14" i="9"/>
  <c r="K11" i="9"/>
  <c r="I10" i="9"/>
  <c r="G10" i="9"/>
  <c r="I9" i="9"/>
  <c r="L13" i="9" s="1"/>
  <c r="G9" i="9"/>
  <c r="G8" i="9"/>
  <c r="I7" i="9"/>
  <c r="K33" i="8"/>
  <c r="I33" i="8"/>
  <c r="H33" i="8"/>
  <c r="B33" i="8"/>
  <c r="G33" i="8" s="1"/>
  <c r="K32" i="8"/>
  <c r="I32" i="8"/>
  <c r="H32" i="8"/>
  <c r="B32" i="8"/>
  <c r="K29" i="8"/>
  <c r="I29" i="8"/>
  <c r="H29" i="8"/>
  <c r="B29" i="8"/>
  <c r="G29" i="8" s="1"/>
  <c r="K28" i="8"/>
  <c r="I28" i="8"/>
  <c r="H28" i="8"/>
  <c r="B28" i="8"/>
  <c r="K27" i="8"/>
  <c r="I27" i="8"/>
  <c r="H27" i="8"/>
  <c r="B27" i="8"/>
  <c r="G27" i="8" s="1"/>
  <c r="K26" i="8"/>
  <c r="I26" i="8"/>
  <c r="H26" i="8"/>
  <c r="B26" i="8"/>
  <c r="K25" i="8"/>
  <c r="I25" i="8"/>
  <c r="H25" i="8"/>
  <c r="B25" i="8"/>
  <c r="G25" i="8" s="1"/>
  <c r="K24" i="8"/>
  <c r="I24" i="8"/>
  <c r="H24" i="8"/>
  <c r="B24" i="8"/>
  <c r="K23" i="8"/>
  <c r="I23" i="8"/>
  <c r="H23" i="8"/>
  <c r="B23" i="8"/>
  <c r="G23" i="8" s="1"/>
  <c r="K22" i="8"/>
  <c r="I22" i="8"/>
  <c r="H22" i="8"/>
  <c r="B22" i="8"/>
  <c r="K21" i="8"/>
  <c r="I21" i="8"/>
  <c r="H21" i="8"/>
  <c r="B21" i="8"/>
  <c r="G21" i="8" s="1"/>
  <c r="K20" i="8"/>
  <c r="I20" i="8"/>
  <c r="H20" i="8"/>
  <c r="B20" i="8"/>
  <c r="K19" i="8"/>
  <c r="I19" i="8"/>
  <c r="H19" i="8"/>
  <c r="B19" i="8"/>
  <c r="G19" i="8" s="1"/>
  <c r="K18" i="8"/>
  <c r="I18" i="8"/>
  <c r="H18" i="8"/>
  <c r="B18" i="8"/>
  <c r="K17" i="8"/>
  <c r="I17" i="8"/>
  <c r="H17" i="8"/>
  <c r="B17" i="8"/>
  <c r="G17" i="8" s="1"/>
  <c r="K16" i="8"/>
  <c r="I16" i="8"/>
  <c r="H16" i="8"/>
  <c r="B16" i="8"/>
  <c r="G16" i="8" s="1"/>
  <c r="K15" i="8"/>
  <c r="I15" i="8"/>
  <c r="H15" i="8"/>
  <c r="B15" i="8"/>
  <c r="G15" i="8" s="1"/>
  <c r="K14" i="8"/>
  <c r="I14" i="8"/>
  <c r="H14" i="8"/>
  <c r="B14" i="8"/>
  <c r="G14" i="8" s="1"/>
  <c r="K11" i="8"/>
  <c r="I10" i="8"/>
  <c r="G10" i="8"/>
  <c r="I9" i="8"/>
  <c r="L13" i="8" s="1"/>
  <c r="G9" i="8"/>
  <c r="G8" i="8"/>
  <c r="I7" i="8"/>
  <c r="K33" i="7"/>
  <c r="I33" i="7"/>
  <c r="H33" i="7"/>
  <c r="B33" i="7"/>
  <c r="G33" i="7" s="1"/>
  <c r="K32" i="7"/>
  <c r="I32" i="7"/>
  <c r="H32" i="7"/>
  <c r="B32" i="7"/>
  <c r="K29" i="7"/>
  <c r="I29" i="7"/>
  <c r="H29" i="7"/>
  <c r="B29" i="7"/>
  <c r="G29" i="7" s="1"/>
  <c r="K28" i="7"/>
  <c r="I28" i="7"/>
  <c r="H28" i="7"/>
  <c r="B28" i="7"/>
  <c r="K27" i="7"/>
  <c r="I27" i="7"/>
  <c r="H27" i="7"/>
  <c r="B27" i="7"/>
  <c r="G27" i="7" s="1"/>
  <c r="K26" i="7"/>
  <c r="I26" i="7"/>
  <c r="H26" i="7"/>
  <c r="B26" i="7"/>
  <c r="K25" i="7"/>
  <c r="I25" i="7"/>
  <c r="H25" i="7"/>
  <c r="B25" i="7"/>
  <c r="G25" i="7" s="1"/>
  <c r="K24" i="7"/>
  <c r="I24" i="7"/>
  <c r="H24" i="7"/>
  <c r="B24" i="7"/>
  <c r="K23" i="7"/>
  <c r="I23" i="7"/>
  <c r="H23" i="7"/>
  <c r="B23" i="7"/>
  <c r="G23" i="7" s="1"/>
  <c r="K22" i="7"/>
  <c r="I22" i="7"/>
  <c r="H22" i="7"/>
  <c r="B22" i="7"/>
  <c r="K21" i="7"/>
  <c r="I21" i="7"/>
  <c r="H21" i="7"/>
  <c r="B21" i="7"/>
  <c r="G21" i="7" s="1"/>
  <c r="K20" i="7"/>
  <c r="I20" i="7"/>
  <c r="H20" i="7"/>
  <c r="B20" i="7"/>
  <c r="K19" i="7"/>
  <c r="I19" i="7"/>
  <c r="H19" i="7"/>
  <c r="B19" i="7"/>
  <c r="G19" i="7" s="1"/>
  <c r="K18" i="7"/>
  <c r="I18" i="7"/>
  <c r="H18" i="7"/>
  <c r="B18" i="7"/>
  <c r="K17" i="7"/>
  <c r="I17" i="7"/>
  <c r="H17" i="7"/>
  <c r="B17" i="7"/>
  <c r="G17" i="7" s="1"/>
  <c r="K16" i="7"/>
  <c r="I16" i="7"/>
  <c r="H16" i="7"/>
  <c r="B16" i="7"/>
  <c r="K15" i="7"/>
  <c r="I15" i="7"/>
  <c r="H15" i="7"/>
  <c r="B15" i="7"/>
  <c r="G15" i="7" s="1"/>
  <c r="K14" i="7"/>
  <c r="I14" i="7"/>
  <c r="H14" i="7"/>
  <c r="B14" i="7"/>
  <c r="K11" i="7"/>
  <c r="I10" i="7"/>
  <c r="G10" i="7"/>
  <c r="I9" i="7"/>
  <c r="L13" i="7" s="1"/>
  <c r="G9" i="7"/>
  <c r="G8" i="7"/>
  <c r="I7" i="7"/>
  <c r="K11" i="6"/>
  <c r="I10" i="6"/>
  <c r="G10" i="6"/>
  <c r="I9" i="6"/>
  <c r="L13" i="6" s="1"/>
  <c r="G9" i="6"/>
  <c r="G8" i="6"/>
  <c r="I7" i="6"/>
  <c r="K15" i="5"/>
  <c r="I15" i="5"/>
  <c r="H15" i="5"/>
  <c r="B15" i="5"/>
  <c r="K14" i="5"/>
  <c r="I14" i="5"/>
  <c r="H14" i="5"/>
  <c r="B14" i="5"/>
  <c r="K11" i="5"/>
  <c r="I10" i="5"/>
  <c r="G10" i="5"/>
  <c r="I9" i="5"/>
  <c r="L13" i="5" s="1"/>
  <c r="G9" i="5"/>
  <c r="G8" i="5"/>
  <c r="I7" i="5"/>
  <c r="K24" i="4"/>
  <c r="I24" i="4"/>
  <c r="H24" i="4"/>
  <c r="B24" i="4"/>
  <c r="G24" i="4" s="1"/>
  <c r="K22" i="4"/>
  <c r="I22" i="4"/>
  <c r="H22" i="4"/>
  <c r="B22" i="4"/>
  <c r="K21" i="4"/>
  <c r="I21" i="4"/>
  <c r="H21" i="4"/>
  <c r="B21" i="4"/>
  <c r="G21" i="4" s="1"/>
  <c r="K20" i="4"/>
  <c r="I20" i="4"/>
  <c r="H20" i="4"/>
  <c r="B20" i="4"/>
  <c r="K19" i="4"/>
  <c r="I19" i="4"/>
  <c r="H19" i="4"/>
  <c r="B19" i="4"/>
  <c r="G19" i="4" s="1"/>
  <c r="K18" i="4"/>
  <c r="I18" i="4"/>
  <c r="H18" i="4"/>
  <c r="B18" i="4"/>
  <c r="K17" i="4"/>
  <c r="I17" i="4"/>
  <c r="H17" i="4"/>
  <c r="B17" i="4"/>
  <c r="G17" i="4" s="1"/>
  <c r="K16" i="4"/>
  <c r="I16" i="4"/>
  <c r="H16" i="4"/>
  <c r="B16" i="4"/>
  <c r="K15" i="4"/>
  <c r="I15" i="4"/>
  <c r="H15" i="4"/>
  <c r="B15" i="4"/>
  <c r="G15" i="4" s="1"/>
  <c r="K14" i="4"/>
  <c r="I14" i="4"/>
  <c r="H14" i="4"/>
  <c r="B14" i="4"/>
  <c r="K11" i="4"/>
  <c r="I10" i="4"/>
  <c r="G10" i="4"/>
  <c r="I9" i="4"/>
  <c r="L13" i="4" s="1"/>
  <c r="G9" i="4"/>
  <c r="G8" i="4"/>
  <c r="I7" i="4"/>
  <c r="K17" i="3"/>
  <c r="I17" i="3"/>
  <c r="H17" i="3"/>
  <c r="B17" i="3"/>
  <c r="G17" i="3" s="1"/>
  <c r="K16" i="3"/>
  <c r="I16" i="3"/>
  <c r="H16" i="3"/>
  <c r="B16" i="3"/>
  <c r="K15" i="3"/>
  <c r="I15" i="3"/>
  <c r="H15" i="3"/>
  <c r="B15" i="3"/>
  <c r="G15" i="3" s="1"/>
  <c r="K14" i="3"/>
  <c r="I14" i="3"/>
  <c r="H14" i="3"/>
  <c r="B14" i="3"/>
  <c r="K11" i="3"/>
  <c r="I10" i="3"/>
  <c r="G10" i="3"/>
  <c r="I9" i="3"/>
  <c r="L13" i="3" s="1"/>
  <c r="G9" i="3"/>
  <c r="G8" i="3"/>
  <c r="I7" i="3"/>
  <c r="K17" i="33"/>
  <c r="I17" i="33"/>
  <c r="H17" i="33"/>
  <c r="B17" i="33"/>
  <c r="G17" i="33" s="1"/>
  <c r="K16" i="33"/>
  <c r="I16" i="33"/>
  <c r="H16" i="33"/>
  <c r="B16" i="33"/>
  <c r="K15" i="33"/>
  <c r="I15" i="33"/>
  <c r="H15" i="33"/>
  <c r="B15" i="33"/>
  <c r="G15" i="33" s="1"/>
  <c r="K14" i="33"/>
  <c r="I14" i="33"/>
  <c r="H14" i="33"/>
  <c r="B14" i="33"/>
  <c r="K11" i="33"/>
  <c r="I10" i="33"/>
  <c r="G10" i="33"/>
  <c r="I9" i="33"/>
  <c r="L13" i="33" s="1"/>
  <c r="G9" i="33"/>
  <c r="G8" i="33"/>
  <c r="I7" i="33"/>
  <c r="K18" i="60"/>
  <c r="I18" i="60"/>
  <c r="H18" i="60"/>
  <c r="B18" i="60"/>
  <c r="K17" i="60"/>
  <c r="I17" i="60"/>
  <c r="H17" i="60"/>
  <c r="B17" i="60"/>
  <c r="G17" i="60" s="1"/>
  <c r="K16" i="60"/>
  <c r="I16" i="60"/>
  <c r="H16" i="60"/>
  <c r="B16" i="60"/>
  <c r="K15" i="60"/>
  <c r="I15" i="60"/>
  <c r="H15" i="60"/>
  <c r="B15" i="60"/>
  <c r="K14" i="60"/>
  <c r="I14" i="60"/>
  <c r="H14" i="60"/>
  <c r="B14" i="60"/>
  <c r="K11" i="60"/>
  <c r="I10" i="60"/>
  <c r="G10" i="60"/>
  <c r="I9" i="60"/>
  <c r="L13" i="60" s="1"/>
  <c r="G9" i="60"/>
  <c r="G8" i="60"/>
  <c r="I7" i="60"/>
  <c r="G14" i="72" l="1"/>
  <c r="G16" i="72"/>
  <c r="G18" i="72"/>
  <c r="G20" i="72"/>
  <c r="G22" i="72"/>
  <c r="G24" i="72"/>
  <c r="G26" i="72"/>
  <c r="G28" i="72"/>
  <c r="G30" i="72"/>
  <c r="G32" i="72"/>
  <c r="G34" i="72"/>
  <c r="G36" i="72"/>
  <c r="G38" i="72"/>
  <c r="G40" i="72"/>
  <c r="G42" i="72"/>
  <c r="G14" i="71"/>
  <c r="G16" i="71"/>
  <c r="G18" i="71"/>
  <c r="G20" i="71"/>
  <c r="G22" i="71"/>
  <c r="G24" i="71"/>
  <c r="G26" i="71"/>
  <c r="G28" i="71"/>
  <c r="G30" i="71"/>
  <c r="G32" i="71"/>
  <c r="G34" i="71"/>
  <c r="G36" i="71"/>
  <c r="G38" i="71"/>
  <c r="G40" i="71"/>
  <c r="G42" i="71"/>
  <c r="G14" i="70"/>
  <c r="G16" i="70"/>
  <c r="G18" i="70"/>
  <c r="G20" i="70"/>
  <c r="G22" i="70"/>
  <c r="G24" i="70"/>
  <c r="G26" i="70"/>
  <c r="G28" i="70"/>
  <c r="G30" i="70"/>
  <c r="G32" i="70"/>
  <c r="G34" i="70"/>
  <c r="G36" i="70"/>
  <c r="G38" i="70"/>
  <c r="G40" i="70"/>
  <c r="G42" i="70"/>
  <c r="G14" i="69"/>
  <c r="G16" i="69"/>
  <c r="G18" i="69"/>
  <c r="G20" i="69"/>
  <c r="G22" i="69"/>
  <c r="G24" i="69"/>
  <c r="G26" i="69"/>
  <c r="G28" i="69"/>
  <c r="G30" i="69"/>
  <c r="G32" i="69"/>
  <c r="G34" i="69"/>
  <c r="G36" i="69"/>
  <c r="G38" i="69"/>
  <c r="G40" i="69"/>
  <c r="G42" i="69"/>
  <c r="G14" i="68"/>
  <c r="G16" i="68"/>
  <c r="G18" i="68"/>
  <c r="G20" i="68"/>
  <c r="G22" i="68"/>
  <c r="G24" i="68"/>
  <c r="G26" i="68"/>
  <c r="G28" i="68"/>
  <c r="G30" i="68"/>
  <c r="G32" i="68"/>
  <c r="G34" i="68"/>
  <c r="G36" i="68"/>
  <c r="G38" i="68"/>
  <c r="G40" i="68"/>
  <c r="G42" i="68"/>
  <c r="G14" i="67"/>
  <c r="G16" i="67"/>
  <c r="G18" i="67"/>
  <c r="G20" i="67"/>
  <c r="G22" i="67"/>
  <c r="G24" i="67"/>
  <c r="G26" i="67"/>
  <c r="G28" i="67"/>
  <c r="G30" i="67"/>
  <c r="G32" i="67"/>
  <c r="G34" i="67"/>
  <c r="G36" i="67"/>
  <c r="G38" i="67"/>
  <c r="G40" i="67"/>
  <c r="G42" i="67"/>
  <c r="G14" i="66"/>
  <c r="G16" i="66"/>
  <c r="G18" i="66"/>
  <c r="G20" i="66"/>
  <c r="G22" i="66"/>
  <c r="G24" i="66"/>
  <c r="G26" i="66"/>
  <c r="G28" i="66"/>
  <c r="G30" i="66"/>
  <c r="G32" i="66"/>
  <c r="G34" i="66"/>
  <c r="G36" i="66"/>
  <c r="G38" i="66"/>
  <c r="G40" i="66"/>
  <c r="G42" i="66"/>
  <c r="G16" i="65"/>
  <c r="G20" i="65"/>
  <c r="G22" i="65"/>
  <c r="G18" i="65"/>
  <c r="G24" i="65"/>
  <c r="G26" i="65"/>
  <c r="G14" i="64"/>
  <c r="G16" i="64"/>
  <c r="G18" i="64"/>
  <c r="G20" i="64"/>
  <c r="G22" i="64"/>
  <c r="G24" i="64"/>
  <c r="G26" i="64"/>
  <c r="G28" i="64"/>
  <c r="G30" i="64"/>
  <c r="G32" i="64"/>
  <c r="G34" i="64"/>
  <c r="G14" i="63"/>
  <c r="G16" i="63"/>
  <c r="G18" i="63"/>
  <c r="G20" i="63"/>
  <c r="G22" i="63"/>
  <c r="G24" i="63"/>
  <c r="G26" i="63"/>
  <c r="G28" i="63"/>
  <c r="G30" i="63"/>
  <c r="G32" i="63"/>
  <c r="G14" i="62"/>
  <c r="G16" i="62"/>
  <c r="G18" i="62"/>
  <c r="G22" i="62"/>
  <c r="G26" i="62"/>
  <c r="G28" i="62"/>
  <c r="G30" i="62"/>
  <c r="G32" i="62"/>
  <c r="G20" i="62"/>
  <c r="G24" i="62"/>
  <c r="G14" i="61"/>
  <c r="G16" i="61"/>
  <c r="G18" i="61"/>
  <c r="G20" i="61"/>
  <c r="G22" i="61"/>
  <c r="G24" i="61"/>
  <c r="G26" i="61"/>
  <c r="G28" i="61"/>
  <c r="G30" i="61"/>
  <c r="G32" i="61"/>
  <c r="G14" i="81"/>
  <c r="G16" i="81"/>
  <c r="G18" i="81"/>
  <c r="G20" i="81"/>
  <c r="G14" i="48"/>
  <c r="G16" i="48"/>
  <c r="G18" i="48"/>
  <c r="G20" i="48"/>
  <c r="G22" i="48"/>
  <c r="G14" i="47"/>
  <c r="G16" i="47"/>
  <c r="G18" i="47"/>
  <c r="G20" i="47"/>
  <c r="G22" i="47"/>
  <c r="G24" i="47"/>
  <c r="G14" i="46"/>
  <c r="G16" i="46"/>
  <c r="G18" i="46"/>
  <c r="G20" i="46"/>
  <c r="G22" i="46"/>
  <c r="G24" i="46"/>
  <c r="G26" i="46"/>
  <c r="G28" i="46"/>
  <c r="G30" i="46"/>
  <c r="G32" i="46"/>
  <c r="G14" i="45"/>
  <c r="G28" i="45"/>
  <c r="G24" i="45"/>
  <c r="G18" i="45"/>
  <c r="G20" i="45"/>
  <c r="G26" i="45"/>
  <c r="G14" i="44"/>
  <c r="G16" i="44"/>
  <c r="G18" i="44"/>
  <c r="G20" i="44"/>
  <c r="G22" i="44"/>
  <c r="G24" i="44"/>
  <c r="G26" i="44"/>
  <c r="G28" i="44"/>
  <c r="G30" i="44"/>
  <c r="G32" i="44"/>
  <c r="G14" i="43"/>
  <c r="G16" i="43"/>
  <c r="G18" i="43"/>
  <c r="G20" i="43"/>
  <c r="G22" i="43"/>
  <c r="G24" i="43"/>
  <c r="G26" i="43"/>
  <c r="G28" i="43"/>
  <c r="G30" i="43"/>
  <c r="G32" i="43"/>
  <c r="G14" i="41"/>
  <c r="G16" i="41"/>
  <c r="G18" i="41"/>
  <c r="G20" i="41"/>
  <c r="G22" i="41"/>
  <c r="G24" i="41"/>
  <c r="G26" i="41"/>
  <c r="G28" i="41"/>
  <c r="G30" i="41"/>
  <c r="G32" i="41"/>
  <c r="G14" i="30"/>
  <c r="G16" i="30"/>
  <c r="G18" i="30"/>
  <c r="G20" i="30"/>
  <c r="G14" i="29"/>
  <c r="G16" i="29"/>
  <c r="G18" i="29"/>
  <c r="G20" i="29"/>
  <c r="G15" i="27"/>
  <c r="G18" i="27"/>
  <c r="G20" i="27"/>
  <c r="G25" i="27"/>
  <c r="G14" i="26"/>
  <c r="G16" i="26"/>
  <c r="G18" i="26"/>
  <c r="G20" i="26"/>
  <c r="G14" i="25"/>
  <c r="G16" i="25"/>
  <c r="G18" i="25"/>
  <c r="G20" i="25"/>
  <c r="G22" i="25"/>
  <c r="G24" i="25"/>
  <c r="G26" i="25"/>
  <c r="G28" i="25"/>
  <c r="G30" i="25"/>
  <c r="G32" i="25"/>
  <c r="G14" i="24"/>
  <c r="G16" i="24"/>
  <c r="G18" i="24"/>
  <c r="G20" i="24"/>
  <c r="G22" i="24"/>
  <c r="G24" i="24"/>
  <c r="G26" i="24"/>
  <c r="G28" i="24"/>
  <c r="G30" i="24"/>
  <c r="G32" i="24"/>
  <c r="G14" i="79"/>
  <c r="G16" i="79"/>
  <c r="G18" i="79"/>
  <c r="G20" i="79"/>
  <c r="G22" i="79"/>
  <c r="G24" i="79"/>
  <c r="G26" i="79"/>
  <c r="G28" i="79"/>
  <c r="G30" i="79"/>
  <c r="G32" i="79"/>
  <c r="G14" i="22"/>
  <c r="G16" i="22"/>
  <c r="G18" i="22"/>
  <c r="G20" i="22"/>
  <c r="G22" i="22"/>
  <c r="G24" i="22"/>
  <c r="G14" i="21"/>
  <c r="G16" i="21"/>
  <c r="G18" i="21"/>
  <c r="G23" i="21"/>
  <c r="G16" i="20"/>
  <c r="G20" i="20"/>
  <c r="G14" i="19"/>
  <c r="G16" i="19"/>
  <c r="G14" i="18"/>
  <c r="G16" i="18"/>
  <c r="G18" i="18"/>
  <c r="G20" i="18"/>
  <c r="G22" i="18"/>
  <c r="G24" i="18"/>
  <c r="G26" i="18"/>
  <c r="G28" i="18"/>
  <c r="G30" i="18"/>
  <c r="G15" i="17"/>
  <c r="G17" i="17"/>
  <c r="G19" i="17"/>
  <c r="G21" i="17"/>
  <c r="G23" i="17"/>
  <c r="G25" i="17"/>
  <c r="G27" i="17"/>
  <c r="G14" i="16"/>
  <c r="G16" i="16"/>
  <c r="G18" i="16"/>
  <c r="G21" i="16"/>
  <c r="G20" i="37"/>
  <c r="G14" i="37"/>
  <c r="G16" i="37"/>
  <c r="G23" i="37"/>
  <c r="G18" i="36"/>
  <c r="G14" i="36"/>
  <c r="G22" i="36"/>
  <c r="G14" i="34"/>
  <c r="G16" i="34"/>
  <c r="G18" i="34"/>
  <c r="G20" i="34"/>
  <c r="G22" i="34"/>
  <c r="G24" i="34"/>
  <c r="G26" i="34"/>
  <c r="G28" i="34"/>
  <c r="G20" i="11"/>
  <c r="G20" i="10"/>
  <c r="G24" i="10"/>
  <c r="G16" i="10"/>
  <c r="G22" i="10"/>
  <c r="G18" i="10"/>
  <c r="G14" i="9"/>
  <c r="G16" i="9"/>
  <c r="G18" i="9"/>
  <c r="G20" i="9"/>
  <c r="G22" i="9"/>
  <c r="G23" i="9"/>
  <c r="G25" i="9"/>
  <c r="G18" i="8"/>
  <c r="G20" i="8"/>
  <c r="G24" i="8"/>
  <c r="G32" i="8"/>
  <c r="G22" i="8"/>
  <c r="G26" i="8"/>
  <c r="G28" i="8"/>
  <c r="G14" i="7"/>
  <c r="G16" i="7"/>
  <c r="G18" i="7"/>
  <c r="G20" i="7"/>
  <c r="G22" i="7"/>
  <c r="G24" i="7"/>
  <c r="G26" i="7"/>
  <c r="G28" i="7"/>
  <c r="G32" i="7"/>
  <c r="G14" i="5"/>
  <c r="G15" i="5"/>
  <c r="G14" i="4"/>
  <c r="G16" i="4"/>
  <c r="G18" i="4"/>
  <c r="G20" i="4"/>
  <c r="G22" i="4"/>
  <c r="G14" i="3"/>
  <c r="G16" i="3"/>
  <c r="G14" i="33"/>
  <c r="G16" i="33"/>
  <c r="G15" i="60"/>
  <c r="G14" i="60"/>
  <c r="G16" i="60"/>
  <c r="G18" i="60"/>
  <c r="B5" i="32"/>
  <c r="C5" i="32"/>
  <c r="D5" i="32"/>
  <c r="E5" i="32"/>
  <c r="D41" i="32" l="1"/>
  <c r="D55" i="32" l="1"/>
  <c r="D54" i="32"/>
  <c r="D53" i="32"/>
  <c r="D52" i="32"/>
  <c r="D51" i="32"/>
  <c r="D50" i="32"/>
  <c r="D49" i="32"/>
  <c r="D48" i="32"/>
  <c r="D47" i="32"/>
  <c r="D46" i="32"/>
  <c r="D45" i="32"/>
  <c r="D44" i="32"/>
  <c r="D43" i="32"/>
  <c r="E42" i="32" l="1"/>
  <c r="D42" i="32"/>
  <c r="C42" i="32"/>
  <c r="B42" i="32"/>
  <c r="D34" i="32"/>
  <c r="D40" i="32"/>
  <c r="D39" i="32"/>
  <c r="D38" i="32"/>
  <c r="D37" i="32"/>
  <c r="D36" i="32"/>
  <c r="D35" i="32"/>
  <c r="D33" i="32"/>
  <c r="D32" i="32"/>
  <c r="D31" i="32"/>
  <c r="D30" i="32"/>
  <c r="D29" i="32"/>
  <c r="D28" i="32"/>
  <c r="D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9" i="32"/>
  <c r="D10" i="32"/>
  <c r="D8" i="32"/>
  <c r="D7" i="32"/>
  <c r="D6" i="32"/>
  <c r="C6" i="32"/>
  <c r="C4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3" i="32"/>
  <c r="C44" i="32"/>
  <c r="C45" i="32"/>
  <c r="C46" i="32"/>
  <c r="C47" i="32"/>
  <c r="C48" i="32"/>
  <c r="C49" i="32"/>
  <c r="C50" i="32"/>
  <c r="C51" i="32"/>
  <c r="C52" i="32"/>
  <c r="C53" i="32"/>
  <c r="C54" i="32"/>
  <c r="C55" i="32"/>
  <c r="D4" i="32"/>
  <c r="D3" i="32"/>
  <c r="C3" i="32"/>
  <c r="B55" i="32" l="1"/>
  <c r="E55" i="32"/>
  <c r="B25" i="32"/>
  <c r="E25" i="32"/>
  <c r="E3" i="32"/>
  <c r="B3" i="32"/>
  <c r="B53" i="32" l="1"/>
  <c r="B54" i="32"/>
  <c r="E54" i="32" l="1"/>
  <c r="E53" i="32"/>
  <c r="E52" i="32"/>
  <c r="E51" i="32"/>
  <c r="E50" i="32"/>
  <c r="E49" i="32"/>
  <c r="E48" i="32"/>
  <c r="E47" i="32"/>
  <c r="E46" i="32"/>
  <c r="E45" i="32"/>
  <c r="E44" i="32"/>
  <c r="E43" i="32"/>
  <c r="E41" i="32"/>
  <c r="E40" i="32"/>
  <c r="E39" i="32"/>
  <c r="E38" i="32"/>
  <c r="E37" i="32"/>
  <c r="E36" i="32"/>
  <c r="E35" i="32"/>
  <c r="E34" i="32"/>
  <c r="E33" i="32"/>
  <c r="E32" i="32"/>
  <c r="E31" i="32"/>
  <c r="E30" i="32"/>
  <c r="E29" i="32"/>
  <c r="E28" i="32"/>
  <c r="E27" i="32"/>
  <c r="E26" i="32"/>
  <c r="E24" i="32"/>
  <c r="E23" i="32"/>
  <c r="E22" i="32"/>
  <c r="E21" i="32"/>
  <c r="E20" i="32"/>
  <c r="E19" i="32"/>
  <c r="E18" i="32"/>
  <c r="E17" i="32"/>
  <c r="E16" i="32"/>
  <c r="E15" i="32"/>
  <c r="E14" i="32"/>
  <c r="E13" i="32"/>
  <c r="E12" i="32"/>
  <c r="E11" i="32"/>
  <c r="E10" i="32"/>
  <c r="E9" i="32"/>
  <c r="E8" i="32"/>
  <c r="E7" i="32"/>
  <c r="E6" i="32"/>
  <c r="E4" i="32"/>
  <c r="B52" i="32"/>
  <c r="B51" i="32"/>
  <c r="B50" i="32"/>
  <c r="B49" i="32"/>
  <c r="B48" i="32"/>
  <c r="B47" i="32"/>
  <c r="B46" i="32"/>
  <c r="B45" i="32"/>
  <c r="B44" i="32"/>
  <c r="B43" i="32"/>
  <c r="B6" i="32" l="1"/>
  <c r="B17" i="32" l="1"/>
  <c r="B41" i="32"/>
  <c r="B40" i="32"/>
  <c r="B39" i="32"/>
  <c r="B38" i="32"/>
  <c r="B37" i="32"/>
  <c r="B34" i="32"/>
  <c r="B36" i="32"/>
  <c r="B35" i="32"/>
  <c r="B33" i="32"/>
  <c r="B16" i="32"/>
  <c r="B15" i="32"/>
  <c r="B14" i="32"/>
  <c r="B28" i="32"/>
  <c r="B29" i="32"/>
  <c r="B30" i="32"/>
  <c r="B31" i="32"/>
  <c r="B32" i="32"/>
  <c r="B27" i="32"/>
  <c r="B26" i="32"/>
  <c r="B24" i="32"/>
  <c r="B23" i="32"/>
  <c r="B22" i="32"/>
  <c r="B21" i="32"/>
  <c r="B20" i="32"/>
  <c r="B19" i="32"/>
  <c r="B18" i="32"/>
  <c r="B13" i="32"/>
  <c r="B12" i="32"/>
  <c r="B11" i="32"/>
  <c r="B10" i="32"/>
  <c r="B9" i="32"/>
  <c r="B8" i="32"/>
  <c r="B7" i="32"/>
  <c r="B4" i="32"/>
</calcChain>
</file>

<file path=xl/sharedStrings.xml><?xml version="1.0" encoding="utf-8"?>
<sst xmlns="http://schemas.openxmlformats.org/spreadsheetml/2006/main" count="3228" uniqueCount="92">
  <si>
    <t>DANH SACH CAC SHEET</t>
  </si>
  <si>
    <t>Ấn vào tên lớp để nhảy ra sheet danh sách</t>
  </si>
  <si>
    <t>Ấn vào logo VIAGS để trở về mục lục</t>
  </si>
  <si>
    <t>STT</t>
  </si>
  <si>
    <t>Lớp học</t>
  </si>
  <si>
    <t>Ngày học</t>
  </si>
  <si>
    <t>Địa điểm</t>
  </si>
  <si>
    <t>Giáo viên</t>
  </si>
  <si>
    <t>DANH SÁCH HỌC VIÊN</t>
  </si>
  <si>
    <t>Biểu mẫu</t>
  </si>
  <si>
    <t>Mã số: V.TMM-F10</t>
  </si>
  <si>
    <t>ĐIỂM DANH HỌC VIÊN</t>
  </si>
  <si>
    <t>Ban hành: 04</t>
  </si>
  <si>
    <t>Hiệu lực: 28/12/2024</t>
  </si>
  <si>
    <t>Trang: 1/1</t>
  </si>
  <si>
    <t>- Môn/Khóa học:</t>
  </si>
  <si>
    <t>- Loại hình/hình thức đào tạo: Ban đầu/Trực tiếp</t>
  </si>
  <si>
    <t>- Thời gian:</t>
  </si>
  <si>
    <t>Từ 17/8/2026</t>
  </si>
  <si>
    <t>- Địa điểm:</t>
  </si>
  <si>
    <t>VNBA</t>
  </si>
  <si>
    <t>- Giáo viên:</t>
  </si>
  <si>
    <t>- Số học viên tham dự/tổng số học viên:</t>
  </si>
  <si>
    <t>Mã NV</t>
  </si>
  <si>
    <t>Họ tên</t>
  </si>
  <si>
    <t>Đơn vị</t>
  </si>
  <si>
    <t>Ghi chú</t>
  </si>
  <si>
    <t>Mã nhân viên</t>
  </si>
  <si>
    <t>Ngày</t>
  </si>
  <si>
    <t>P.Trưởng Trung tâm đào tạo</t>
  </si>
  <si>
    <t>Người lập</t>
  </si>
  <si>
    <t xml:space="preserve">Chữ ký giáo viên:
</t>
  </si>
  <si>
    <t>Lưu ý:</t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</si>
  <si>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Giáo viên điểm danh theo ngày và đánh dấu: X: có mặt; V: vắng mặt</t>
    </r>
  </si>
  <si>
    <t xml:space="preserve">    Ngô Trung Thành</t>
  </si>
  <si>
    <t xml:space="preserve">                                                            </t>
  </si>
  <si>
    <t>Nguyễn Cao Bình</t>
  </si>
  <si>
    <r>
      <t>-</t>
    </r>
    <r>
      <rPr>
        <sz val="7"/>
        <color theme="1"/>
        <rFont val="Times New Roman"/>
        <family val="1"/>
      </rPr>
      <t>  </t>
    </r>
    <r>
      <rPr>
        <sz val="12"/>
        <color theme="1"/>
        <rFont val="Times New Roman"/>
        <family val="1"/>
      </rPr>
      <t xml:space="preserve">Trang thiết bị thực hành (áp dụng đối với nội dung thực hành Nghiệp vụ điều khiển/vận hành thiết bị): </t>
    </r>
  </si>
  <si>
    <t>…………………………………………………………………………………............................................</t>
  </si>
  <si>
    <t>C17/8/2026</t>
  </si>
  <si>
    <t>18/8/2026</t>
  </si>
  <si>
    <t>- Loại hình/hình thức đào tạo: Ban đầu/Elearning+Trực tiếp</t>
  </si>
  <si>
    <t>19/8/2026</t>
  </si>
  <si>
    <t xml:space="preserve">TTĐT </t>
  </si>
  <si>
    <t>S18/8/2026</t>
  </si>
  <si>
    <t>C18/8/2026</t>
  </si>
  <si>
    <t xml:space="preserve">                                                                                           </t>
  </si>
  <si>
    <t>- Loại hình/hình thức đào tạo: Định kỳ/Elearning+Trực tiếp</t>
  </si>
  <si>
    <t>x</t>
  </si>
  <si>
    <t>v</t>
  </si>
  <si>
    <t>trùng lịch</t>
  </si>
  <si>
    <t>X</t>
  </si>
  <si>
    <t>ốm</t>
  </si>
  <si>
    <t>S17/8/2026</t>
  </si>
  <si>
    <t>nGUYỄN vIỆT ANH</t>
  </si>
  <si>
    <t>Trần Văn Hiệp</t>
  </si>
  <si>
    <t>- Loại hình/hình thức đào tạo: Định kỳ/Trực tiếp</t>
  </si>
  <si>
    <t>S21/8/2026</t>
  </si>
  <si>
    <t>20/8/2026</t>
  </si>
  <si>
    <t>C21/8/2026</t>
  </si>
  <si>
    <t>V</t>
  </si>
  <si>
    <t>.</t>
  </si>
  <si>
    <t>C20/8/2026</t>
  </si>
  <si>
    <t>ASOC - NBA</t>
  </si>
  <si>
    <t>ASO10149</t>
  </si>
  <si>
    <t>Đỗ Tuấn Dương</t>
  </si>
  <si>
    <t>ASO03838</t>
  </si>
  <si>
    <t>Trần Thế Dũng</t>
  </si>
  <si>
    <t>ASO03837</t>
  </si>
  <si>
    <t>ASO03841</t>
  </si>
  <si>
    <t>Vũ Phi Long</t>
  </si>
  <si>
    <t>ASO03904</t>
  </si>
  <si>
    <t>Nguyễn Hoàng Minh Khôi</t>
  </si>
  <si>
    <t>CPM00496</t>
  </si>
  <si>
    <t>ASO10150</t>
  </si>
  <si>
    <t>Tạ Quang Anh</t>
  </si>
  <si>
    <t>ASO10446</t>
  </si>
  <si>
    <t>Lê Anh Tuấn</t>
  </si>
  <si>
    <t>17/8/2026</t>
  </si>
  <si>
    <t>17-19/8/2026</t>
  </si>
  <si>
    <t>- Loại hình/hình thức đào tạo: Bồi dưỡng KT/Trực tiếp</t>
  </si>
  <si>
    <t>20-S21/8/2026</t>
  </si>
  <si>
    <t>Phạm Trung Hải</t>
  </si>
  <si>
    <t>ASO03791</t>
  </si>
  <si>
    <t>Đoàn Mạnh Hà</t>
  </si>
  <si>
    <t>- Loại hình/hình thức đào tạo: Định kỳ/ Trực tuyến</t>
  </si>
  <si>
    <t>19/8</t>
  </si>
  <si>
    <t>20-22/8/2026</t>
  </si>
  <si>
    <t>24/8/2026</t>
  </si>
  <si>
    <t>Trưởng Trung tâm đào tạo</t>
  </si>
  <si>
    <t xml:space="preserve">    Nguyễn Chí Kiên</t>
  </si>
  <si>
    <t>TTĐT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</si>
</sst>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_-* #,##0.00\ _p_t_a_-;\-* #,##0.00\ _p_t_a_-;_-* &quot;-&quot;??\ _p_t_a_-;_-@_-"/>
    <numFmt numFmtId="166" formatCode="\$#,##0\ ;\(\$#,##0\)"/>
    <numFmt numFmtId="167" formatCode="&quot;\&quot;#,##0;[Red]&quot;\&quot;&quot;\&quot;\-#,##0"/>
    <numFmt numFmtId="168" formatCode="&quot;\&quot;#,##0.00;[Red]&quot;\&quot;&quot;\&quot;&quot;\&quot;&quot;\&quot;&quot;\&quot;&quot;\&quot;\-#,##0.00"/>
    <numFmt numFmtId="169" formatCode="&quot;\&quot;#,##0.00;[Red]&quot;\&quot;\-#,##0.00"/>
    <numFmt numFmtId="170" formatCode="&quot;\&quot;#,##0;[Red]&quot;\&quot;\-#,##0"/>
    <numFmt numFmtId="171" formatCode="dd\/mm\/yyyy"/>
    <numFmt numFmtId="172" formatCode="dd/mm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Times New Roman"/>
      <family val="1"/>
    </font>
    <font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sz val="10"/>
      <name val="Helv"/>
      <family val="2"/>
    </font>
    <font>
      <sz val="10"/>
      <color indexed="8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8"/>
      <color indexed="8"/>
      <name val="Tahoma"/>
      <family val="2"/>
    </font>
    <font>
      <sz val="8"/>
      <color indexed="8"/>
      <name val="Tahoma"/>
      <family val="2"/>
      <charset val="163"/>
    </font>
    <font>
      <sz val="10"/>
      <name val="Arial"/>
      <family val="2"/>
      <charset val="163"/>
    </font>
    <font>
      <u/>
      <sz val="11"/>
      <color theme="10"/>
      <name val="Calibri"/>
      <family val="2"/>
    </font>
    <font>
      <sz val="12"/>
      <color theme="1"/>
      <name val="Times New Roman"/>
      <family val="2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sz val="10"/>
      <color theme="1"/>
      <name val="Times New Roman"/>
      <family val="1"/>
    </font>
    <font>
      <i/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u/>
      <sz val="12"/>
      <color theme="1"/>
      <name val="Times New Roman"/>
      <family val="1"/>
    </font>
    <font>
      <sz val="7"/>
      <color theme="1"/>
      <name val="Times New Roman"/>
      <family val="1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3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12"/>
      <color rgb="FFFF000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8"/>
      <color rgb="FF000000"/>
      <name val="Times New Roman"/>
      <family val="1"/>
    </font>
    <font>
      <sz val="18"/>
      <color rgb="FFFF0000"/>
      <name val="Times New Roman"/>
      <family val="1"/>
    </font>
    <font>
      <sz val="10"/>
      <name val="Times New Roman"/>
      <family val="1"/>
    </font>
    <font>
      <sz val="13"/>
      <color rgb="FF000000"/>
      <name val="Times New Roman"/>
      <family val="1"/>
    </font>
    <font>
      <sz val="13"/>
      <name val="Times New Roman"/>
      <family val="1"/>
    </font>
    <font>
      <sz val="11"/>
      <color rgb="FF000000"/>
      <name val="Times New Roman"/>
      <family val="1"/>
    </font>
    <font>
      <sz val="10"/>
      <color rgb="FFFF0000"/>
      <name val="Times New Roman"/>
      <family val="1"/>
    </font>
    <font>
      <sz val="13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2"/>
      <color rgb="FFFF0000"/>
      <name val="Times New Roman"/>
      <family val="1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14" fillId="0" borderId="0"/>
    <xf numFmtId="0" fontId="1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2" fontId="17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7" fillId="0" borderId="0"/>
    <xf numFmtId="0" fontId="18" fillId="0" borderId="0"/>
    <xf numFmtId="0" fontId="29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25" fillId="0" borderId="0"/>
    <xf numFmtId="0" fontId="17" fillId="0" borderId="0"/>
    <xf numFmtId="0" fontId="18" fillId="0" borderId="0"/>
    <xf numFmtId="0" fontId="17" fillId="0" borderId="0"/>
    <xf numFmtId="0" fontId="1" fillId="0" borderId="0"/>
    <xf numFmtId="0" fontId="29" fillId="0" borderId="0"/>
    <xf numFmtId="0" fontId="17" fillId="0" borderId="0"/>
    <xf numFmtId="0" fontId="20" fillId="0" borderId="0">
      <alignment vertical="top"/>
    </xf>
    <xf numFmtId="0" fontId="18" fillId="0" borderId="0"/>
    <xf numFmtId="0" fontId="26" fillId="0" borderId="0"/>
    <xf numFmtId="0" fontId="17" fillId="0" borderId="0"/>
    <xf numFmtId="9" fontId="27" fillId="0" borderId="0" applyFont="0" applyFill="0" applyBorder="0" applyAlignment="0" applyProtection="0"/>
    <xf numFmtId="0" fontId="19" fillId="0" borderId="0"/>
    <xf numFmtId="40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0" fontId="17" fillId="0" borderId="0" applyFont="0" applyFill="0" applyBorder="0" applyAlignment="0" applyProtection="0"/>
    <xf numFmtId="0" fontId="22" fillId="0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9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0" fontId="24" fillId="0" borderId="0"/>
    <xf numFmtId="0" fontId="27" fillId="0" borderId="0"/>
    <xf numFmtId="0" fontId="27" fillId="0" borderId="0"/>
    <xf numFmtId="0" fontId="18" fillId="0" borderId="0"/>
    <xf numFmtId="0" fontId="44" fillId="0" borderId="0"/>
  </cellStyleXfs>
  <cellXfs count="229">
    <xf numFmtId="0" fontId="0" fillId="0" borderId="0" xfId="0"/>
    <xf numFmtId="0" fontId="4" fillId="0" borderId="0" xfId="0" applyFont="1"/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vertical="center" wrapText="1"/>
    </xf>
    <xf numFmtId="0" fontId="15" fillId="0" borderId="0" xfId="0" applyFont="1" applyAlignment="1">
      <alignment horizontal="center"/>
    </xf>
    <xf numFmtId="49" fontId="15" fillId="0" borderId="0" xfId="0" applyNumberFormat="1" applyFont="1" applyAlignment="1">
      <alignment horizontal="left"/>
    </xf>
    <xf numFmtId="0" fontId="16" fillId="0" borderId="0" xfId="0" applyFont="1" applyAlignment="1">
      <alignment vertical="top" wrapText="1"/>
    </xf>
    <xf numFmtId="49" fontId="15" fillId="0" borderId="0" xfId="0" applyNumberFormat="1" applyFont="1" applyAlignment="1">
      <alignment horizontal="center"/>
    </xf>
    <xf numFmtId="0" fontId="10" fillId="0" borderId="0" xfId="0" applyFont="1"/>
    <xf numFmtId="0" fontId="8" fillId="0" borderId="0" xfId="0" applyFont="1" applyAlignment="1">
      <alignment horizontal="center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0" fillId="0" borderId="0" xfId="0" applyAlignment="1">
      <alignment horizontal="center"/>
    </xf>
    <xf numFmtId="16" fontId="11" fillId="0" borderId="1" xfId="0" applyNumberFormat="1" applyFont="1" applyBorder="1" applyAlignment="1">
      <alignment horizontal="center" vertical="top" wrapText="1"/>
    </xf>
    <xf numFmtId="0" fontId="13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/>
    <xf numFmtId="0" fontId="17" fillId="0" borderId="0" xfId="13" applyFont="1" applyAlignment="1">
      <alignment horizontal="left"/>
    </xf>
    <xf numFmtId="14" fontId="17" fillId="0" borderId="0" xfId="13" applyNumberFormat="1" applyFont="1" applyAlignment="1">
      <alignment horizontal="left"/>
    </xf>
    <xf numFmtId="0" fontId="31" fillId="0" borderId="0" xfId="13" applyFont="1" applyAlignment="1">
      <alignment horizontal="left"/>
    </xf>
    <xf numFmtId="14" fontId="31" fillId="0" borderId="0" xfId="13" applyNumberFormat="1" applyFont="1" applyAlignment="1">
      <alignment horizontal="left"/>
    </xf>
    <xf numFmtId="14" fontId="31" fillId="0" borderId="0" xfId="13" applyNumberFormat="1" applyFont="1" applyAlignment="1">
      <alignment horizontal="left" vertical="center"/>
    </xf>
    <xf numFmtId="14" fontId="30" fillId="0" borderId="1" xfId="0" applyNumberFormat="1" applyFont="1" applyBorder="1" applyAlignment="1">
      <alignment horizontal="center" wrapText="1"/>
    </xf>
    <xf numFmtId="0" fontId="30" fillId="0" borderId="13" xfId="0" applyFont="1" applyBorder="1" applyAlignment="1">
      <alignment horizontal="center" wrapText="1"/>
    </xf>
    <xf numFmtId="16" fontId="32" fillId="0" borderId="6" xfId="0" applyNumberFormat="1" applyFont="1" applyBorder="1" applyAlignment="1">
      <alignment horizontal="center" vertical="center" wrapText="1"/>
    </xf>
    <xf numFmtId="0" fontId="35" fillId="0" borderId="0" xfId="0" applyFont="1" applyAlignment="1">
      <alignment horizontal="center"/>
    </xf>
    <xf numFmtId="0" fontId="36" fillId="0" borderId="0" xfId="1" applyFont="1" applyAlignment="1">
      <alignment horizontal="left" vertical="top" wrapText="1"/>
    </xf>
    <xf numFmtId="0" fontId="3" fillId="0" borderId="0" xfId="1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10" fillId="0" borderId="0" xfId="0" quotePrefix="1" applyFont="1" applyAlignment="1">
      <alignment horizontal="left" vertical="center"/>
    </xf>
    <xf numFmtId="0" fontId="39" fillId="0" borderId="0" xfId="0" applyFont="1"/>
    <xf numFmtId="0" fontId="39" fillId="0" borderId="0" xfId="0" applyFont="1" applyAlignment="1">
      <alignment horizontal="center"/>
    </xf>
    <xf numFmtId="0" fontId="40" fillId="0" borderId="0" xfId="1" applyFont="1" applyAlignment="1">
      <alignment horizontal="left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8" fillId="0" borderId="0" xfId="0" applyFont="1"/>
    <xf numFmtId="0" fontId="33" fillId="0" borderId="2" xfId="0" applyFont="1" applyBorder="1" applyAlignment="1">
      <alignment vertical="top"/>
    </xf>
    <xf numFmtId="0" fontId="7" fillId="0" borderId="1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/>
    <xf numFmtId="0" fontId="7" fillId="0" borderId="2" xfId="0" applyFont="1" applyBorder="1"/>
    <xf numFmtId="0" fontId="4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42" fillId="0" borderId="0" xfId="0" applyFont="1"/>
    <xf numFmtId="0" fontId="7" fillId="0" borderId="13" xfId="0" applyFont="1" applyBorder="1"/>
    <xf numFmtId="0" fontId="7" fillId="0" borderId="0" xfId="0" applyFont="1" applyAlignment="1">
      <alignment horizontal="center"/>
    </xf>
    <xf numFmtId="0" fontId="9" fillId="2" borderId="1" xfId="3" applyFont="1" applyFill="1" applyBorder="1" applyAlignment="1">
      <alignment horizontal="center" vertical="center" wrapText="1"/>
    </xf>
    <xf numFmtId="171" fontId="10" fillId="0" borderId="0" xfId="0" applyNumberFormat="1" applyFont="1" applyAlignment="1">
      <alignment horizontal="left" vertical="center"/>
    </xf>
    <xf numFmtId="0" fontId="9" fillId="0" borderId="0" xfId="0" quotePrefix="1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16" fontId="13" fillId="0" borderId="0" xfId="0" applyNumberFormat="1" applyFont="1" applyAlignment="1">
      <alignment horizontal="center" vertical="center" wrapText="1"/>
    </xf>
    <xf numFmtId="171" fontId="9" fillId="0" borderId="0" xfId="0" quotePrefix="1" applyNumberFormat="1" applyFont="1" applyAlignment="1">
      <alignment horizontal="left" vertical="center"/>
    </xf>
    <xf numFmtId="14" fontId="9" fillId="0" borderId="0" xfId="0" applyNumberFormat="1" applyFont="1" applyAlignment="1">
      <alignment vertical="center"/>
    </xf>
    <xf numFmtId="14" fontId="9" fillId="0" borderId="0" xfId="0" applyNumberFormat="1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47" applyFont="1" applyBorder="1" applyAlignment="1">
      <alignment vertical="center" wrapText="1"/>
    </xf>
    <xf numFmtId="49" fontId="15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72" fontId="10" fillId="0" borderId="1" xfId="0" quotePrefix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 applyAlignment="1">
      <alignment vertical="center"/>
    </xf>
    <xf numFmtId="14" fontId="0" fillId="4" borderId="0" xfId="0" applyNumberFormat="1" applyFill="1" applyAlignment="1">
      <alignment horizontal="left" vertical="center"/>
    </xf>
    <xf numFmtId="0" fontId="31" fillId="0" borderId="0" xfId="13" applyFont="1" applyAlignment="1">
      <alignment horizontal="left" vertical="center"/>
    </xf>
    <xf numFmtId="0" fontId="43" fillId="2" borderId="1" xfId="0" applyFont="1" applyFill="1" applyBorder="1" applyAlignment="1">
      <alignment horizontal="left" vertical="center" wrapText="1"/>
    </xf>
    <xf numFmtId="0" fontId="7" fillId="2" borderId="1" xfId="0" quotePrefix="1" applyFont="1" applyFill="1" applyBorder="1" applyAlignment="1">
      <alignment horizontal="center"/>
    </xf>
    <xf numFmtId="0" fontId="9" fillId="2" borderId="1" xfId="17" applyFont="1" applyFill="1" applyBorder="1" applyAlignment="1">
      <alignment horizontal="left"/>
    </xf>
    <xf numFmtId="3" fontId="9" fillId="2" borderId="1" xfId="17" applyNumberFormat="1" applyFont="1" applyFill="1" applyBorder="1" applyAlignment="1">
      <alignment horizontal="left"/>
    </xf>
    <xf numFmtId="0" fontId="9" fillId="2" borderId="1" xfId="0" applyFont="1" applyFill="1" applyBorder="1" applyAlignment="1">
      <alignment horizontal="center" wrapText="1"/>
    </xf>
    <xf numFmtId="0" fontId="32" fillId="2" borderId="1" xfId="0" quotePrefix="1" applyFont="1" applyFill="1" applyBorder="1" applyAlignment="1">
      <alignment horizontal="center"/>
    </xf>
    <xf numFmtId="0" fontId="9" fillId="0" borderId="0" xfId="0" quotePrefix="1" applyFont="1" applyAlignment="1">
      <alignment vertical="center"/>
    </xf>
    <xf numFmtId="49" fontId="10" fillId="0" borderId="1" xfId="48" applyNumberFormat="1" applyFont="1" applyBorder="1" applyAlignment="1">
      <alignment horizontal="center" vertical="center" wrapText="1"/>
    </xf>
    <xf numFmtId="49" fontId="10" fillId="0" borderId="1" xfId="48" applyNumberFormat="1" applyFont="1" applyBorder="1" applyAlignment="1">
      <alignment horizontal="left" vertical="center" wrapText="1" indent="1"/>
    </xf>
    <xf numFmtId="49" fontId="10" fillId="0" borderId="6" xfId="13" quotePrefix="1" applyNumberFormat="1" applyFont="1" applyBorder="1" applyAlignment="1">
      <alignment horizontal="center" vertical="center"/>
    </xf>
    <xf numFmtId="0" fontId="10" fillId="0" borderId="6" xfId="13" applyFont="1" applyBorder="1" applyAlignment="1">
      <alignment horizontal="left" vertical="center" indent="1"/>
    </xf>
    <xf numFmtId="49" fontId="10" fillId="0" borderId="12" xfId="0" applyNumberFormat="1" applyFont="1" applyBorder="1" applyAlignment="1">
      <alignment horizontal="center" vertical="center"/>
    </xf>
    <xf numFmtId="0" fontId="9" fillId="0" borderId="6" xfId="13" applyFont="1" applyBorder="1" applyAlignment="1">
      <alignment horizontal="left" vertical="center" indent="1"/>
    </xf>
    <xf numFmtId="49" fontId="10" fillId="0" borderId="1" xfId="0" applyNumberFormat="1" applyFont="1" applyBorder="1" applyAlignment="1">
      <alignment horizontal="center" vertical="center"/>
    </xf>
    <xf numFmtId="49" fontId="45" fillId="0" borderId="1" xfId="48" quotePrefix="1" applyNumberFormat="1" applyFont="1" applyBorder="1" applyAlignment="1">
      <alignment horizontal="center" vertical="center" wrapText="1"/>
    </xf>
    <xf numFmtId="0" fontId="46" fillId="5" borderId="1" xfId="0" quotePrefix="1" applyFont="1" applyFill="1" applyBorder="1" applyAlignment="1">
      <alignment horizontal="center" vertical="center" wrapText="1"/>
    </xf>
    <xf numFmtId="0" fontId="46" fillId="5" borderId="1" xfId="0" applyFont="1" applyFill="1" applyBorder="1" applyAlignment="1">
      <alignment vertical="center" wrapText="1"/>
    </xf>
    <xf numFmtId="0" fontId="46" fillId="5" borderId="1" xfId="0" applyFont="1" applyFill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left" vertical="top"/>
    </xf>
    <xf numFmtId="0" fontId="47" fillId="2" borderId="1" xfId="0" applyFont="1" applyFill="1" applyBorder="1" applyAlignment="1">
      <alignment horizontal="center" vertical="top"/>
    </xf>
    <xf numFmtId="0" fontId="48" fillId="6" borderId="1" xfId="0" applyFont="1" applyFill="1" applyBorder="1" applyAlignment="1">
      <alignment horizontal="left"/>
    </xf>
    <xf numFmtId="0" fontId="48" fillId="6" borderId="1" xfId="0" applyFont="1" applyFill="1" applyBorder="1" applyAlignment="1">
      <alignment horizontal="center" wrapText="1"/>
    </xf>
    <xf numFmtId="0" fontId="49" fillId="6" borderId="1" xfId="0" quotePrefix="1" applyFont="1" applyFill="1" applyBorder="1" applyAlignment="1">
      <alignment horizontal="center"/>
    </xf>
    <xf numFmtId="0" fontId="50" fillId="2" borderId="1" xfId="3" applyFont="1" applyFill="1" applyBorder="1" applyAlignment="1">
      <alignment horizontal="center" vertical="center" wrapText="1"/>
    </xf>
    <xf numFmtId="0" fontId="32" fillId="0" borderId="5" xfId="0" applyFont="1" applyBorder="1" applyAlignment="1">
      <alignment horizontal="left" vertical="center"/>
    </xf>
    <xf numFmtId="0" fontId="32" fillId="0" borderId="6" xfId="0" applyFont="1" applyBorder="1" applyAlignment="1">
      <alignment horizontal="left" vertical="center"/>
    </xf>
    <xf numFmtId="0" fontId="32" fillId="3" borderId="6" xfId="0" applyFont="1" applyFill="1" applyBorder="1" applyAlignment="1">
      <alignment horizontal="center" vertical="center" wrapText="1"/>
    </xf>
    <xf numFmtId="0" fontId="9" fillId="5" borderId="1" xfId="0" quotePrefix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51" fillId="0" borderId="1" xfId="0" applyFont="1" applyBorder="1" applyAlignment="1">
      <alignment horizontal="left"/>
    </xf>
    <xf numFmtId="0" fontId="51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/>
    </xf>
    <xf numFmtId="0" fontId="52" fillId="6" borderId="1" xfId="0" applyFont="1" applyFill="1" applyBorder="1" applyAlignment="1">
      <alignment horizontal="center" wrapText="1"/>
    </xf>
    <xf numFmtId="0" fontId="53" fillId="0" borderId="1" xfId="0" applyFont="1" applyBorder="1" applyAlignment="1">
      <alignment horizontal="left"/>
    </xf>
    <xf numFmtId="0" fontId="46" fillId="6" borderId="1" xfId="0" applyFont="1" applyFill="1" applyBorder="1" applyAlignment="1">
      <alignment horizontal="left" wrapText="1"/>
    </xf>
    <xf numFmtId="0" fontId="46" fillId="0" borderId="1" xfId="0" applyFont="1" applyBorder="1" applyAlignment="1">
      <alignment horizontal="left" vertical="center" wrapText="1"/>
    </xf>
    <xf numFmtId="0" fontId="53" fillId="0" borderId="1" xfId="0" applyFont="1" applyBorder="1"/>
    <xf numFmtId="0" fontId="46" fillId="0" borderId="1" xfId="0" applyFont="1" applyBorder="1" applyAlignment="1">
      <alignment vertical="center"/>
    </xf>
    <xf numFmtId="0" fontId="46" fillId="0" borderId="1" xfId="0" applyFont="1" applyBorder="1" applyAlignment="1">
      <alignment vertical="center" wrapText="1"/>
    </xf>
    <xf numFmtId="0" fontId="3" fillId="0" borderId="1" xfId="1" applyBorder="1" applyAlignment="1">
      <alignment horizontal="left"/>
    </xf>
    <xf numFmtId="0" fontId="3" fillId="6" borderId="1" xfId="1" applyFill="1" applyBorder="1" applyAlignment="1">
      <alignment horizontal="left"/>
    </xf>
    <xf numFmtId="0" fontId="52" fillId="6" borderId="1" xfId="0" applyFont="1" applyFill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 vertical="top"/>
    </xf>
    <xf numFmtId="0" fontId="9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 wrapText="1"/>
    </xf>
    <xf numFmtId="0" fontId="46" fillId="2" borderId="1" xfId="0" applyFont="1" applyFill="1" applyBorder="1" applyAlignment="1">
      <alignment horizontal="center" vertical="top"/>
    </xf>
    <xf numFmtId="0" fontId="46" fillId="2" borderId="1" xfId="0" applyFont="1" applyFill="1" applyBorder="1" applyAlignment="1">
      <alignment horizontal="left" vertical="top"/>
    </xf>
    <xf numFmtId="0" fontId="45" fillId="5" borderId="1" xfId="0" quotePrefix="1" applyFont="1" applyFill="1" applyBorder="1" applyAlignment="1">
      <alignment horizontal="center" vertical="center" wrapText="1"/>
    </xf>
    <xf numFmtId="0" fontId="45" fillId="5" borderId="1" xfId="0" applyFont="1" applyFill="1" applyBorder="1" applyAlignment="1">
      <alignment vertical="center" wrapText="1"/>
    </xf>
    <xf numFmtId="0" fontId="45" fillId="5" borderId="1" xfId="0" applyFont="1" applyFill="1" applyBorder="1" applyAlignment="1">
      <alignment horizontal="center" vertical="center" wrapText="1"/>
    </xf>
    <xf numFmtId="0" fontId="54" fillId="3" borderId="1" xfId="0" applyFont="1" applyFill="1" applyBorder="1" applyAlignment="1">
      <alignment horizontal="left" vertical="center"/>
    </xf>
    <xf numFmtId="0" fontId="54" fillId="3" borderId="1" xfId="0" applyFont="1" applyFill="1" applyBorder="1" applyAlignment="1">
      <alignment horizontal="center" vertical="center"/>
    </xf>
    <xf numFmtId="15" fontId="55" fillId="0" borderId="1" xfId="0" applyNumberFormat="1" applyFont="1" applyBorder="1" applyAlignment="1">
      <alignment horizontal="center"/>
    </xf>
    <xf numFmtId="0" fontId="54" fillId="2" borderId="1" xfId="0" quotePrefix="1" applyFont="1" applyFill="1" applyBorder="1" applyAlignment="1">
      <alignment horizontal="center"/>
    </xf>
    <xf numFmtId="0" fontId="45" fillId="2" borderId="1" xfId="17" applyFont="1" applyFill="1" applyBorder="1" applyAlignment="1">
      <alignment horizontal="left"/>
    </xf>
    <xf numFmtId="0" fontId="45" fillId="2" borderId="1" xfId="0" applyFont="1" applyFill="1" applyBorder="1" applyAlignment="1">
      <alignment horizontal="center" wrapText="1"/>
    </xf>
    <xf numFmtId="0" fontId="45" fillId="0" borderId="13" xfId="0" applyFont="1" applyBorder="1" applyAlignment="1">
      <alignment horizontal="center" wrapText="1"/>
    </xf>
    <xf numFmtId="0" fontId="45" fillId="0" borderId="1" xfId="0" applyFont="1" applyBorder="1" applyAlignment="1">
      <alignment horizontal="left" vertical="center"/>
    </xf>
    <xf numFmtId="0" fontId="7" fillId="0" borderId="1" xfId="0" applyFont="1" applyBorder="1"/>
    <xf numFmtId="0" fontId="10" fillId="4" borderId="5" xfId="0" applyFont="1" applyFill="1" applyBorder="1" applyAlignment="1">
      <alignment horizontal="left" vertical="center"/>
    </xf>
    <xf numFmtId="49" fontId="45" fillId="0" borderId="1" xfId="48" applyNumberFormat="1" applyFont="1" applyBorder="1" applyAlignment="1">
      <alignment horizontal="center" vertical="center" wrapText="1"/>
    </xf>
    <xf numFmtId="14" fontId="45" fillId="0" borderId="1" xfId="0" applyNumberFormat="1" applyFont="1" applyBorder="1" applyAlignment="1">
      <alignment horizontal="center" wrapText="1"/>
    </xf>
    <xf numFmtId="0" fontId="9" fillId="2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9" fillId="0" borderId="1" xfId="20" applyBorder="1" applyAlignment="1">
      <alignment horizontal="center" vertical="center" wrapText="1"/>
    </xf>
    <xf numFmtId="0" fontId="9" fillId="0" borderId="1" xfId="20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15" applyFont="1" applyFill="1" applyBorder="1" applyAlignment="1">
      <alignment horizontal="center" vertical="center"/>
    </xf>
    <xf numFmtId="0" fontId="9" fillId="2" borderId="1" xfId="15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top"/>
    </xf>
    <xf numFmtId="0" fontId="45" fillId="2" borderId="1" xfId="0" applyFont="1" applyFill="1" applyBorder="1" applyAlignment="1">
      <alignment horizontal="center" vertical="center" wrapText="1"/>
    </xf>
    <xf numFmtId="0" fontId="45" fillId="2" borderId="1" xfId="3" applyFont="1" applyFill="1" applyBorder="1" applyAlignment="1">
      <alignment horizontal="center" vertical="center" wrapText="1"/>
    </xf>
    <xf numFmtId="0" fontId="45" fillId="0" borderId="5" xfId="0" applyFont="1" applyBorder="1" applyAlignment="1">
      <alignment horizontal="left" vertical="center"/>
    </xf>
    <xf numFmtId="0" fontId="45" fillId="0" borderId="6" xfId="0" applyFont="1" applyBorder="1" applyAlignment="1">
      <alignment horizontal="left" vertical="center"/>
    </xf>
    <xf numFmtId="0" fontId="45" fillId="3" borderId="6" xfId="0" applyFont="1" applyFill="1" applyBorder="1" applyAlignment="1">
      <alignment horizontal="center" vertical="center" wrapText="1"/>
    </xf>
    <xf numFmtId="16" fontId="54" fillId="0" borderId="6" xfId="0" applyNumberFormat="1" applyFont="1" applyBorder="1" applyAlignment="1">
      <alignment horizontal="center" vertical="center" wrapText="1"/>
    </xf>
    <xf numFmtId="16" fontId="56" fillId="0" borderId="1" xfId="0" applyNumberFormat="1" applyFont="1" applyBorder="1" applyAlignment="1">
      <alignment horizontal="center" vertical="top" wrapText="1"/>
    </xf>
    <xf numFmtId="0" fontId="57" fillId="0" borderId="1" xfId="0" applyFont="1" applyBorder="1" applyAlignment="1">
      <alignment vertical="top" wrapText="1"/>
    </xf>
    <xf numFmtId="0" fontId="46" fillId="0" borderId="1" xfId="0" applyFont="1" applyBorder="1" applyAlignment="1">
      <alignment horizontal="center" vertical="center"/>
    </xf>
    <xf numFmtId="0" fontId="46" fillId="2" borderId="1" xfId="0" applyFont="1" applyFill="1" applyBorder="1" applyAlignment="1">
      <alignment horizontal="center"/>
    </xf>
    <xf numFmtId="0" fontId="46" fillId="0" borderId="1" xfId="0" applyFont="1" applyBorder="1" applyAlignment="1">
      <alignment horizontal="left" vertical="top"/>
    </xf>
    <xf numFmtId="0" fontId="53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left"/>
    </xf>
    <xf numFmtId="0" fontId="45" fillId="2" borderId="1" xfId="0" quotePrefix="1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left" vertical="center" wrapText="1"/>
    </xf>
    <xf numFmtId="0" fontId="45" fillId="2" borderId="1" xfId="0" applyFont="1" applyFill="1" applyBorder="1" applyAlignment="1">
      <alignment horizontal="center" vertical="top"/>
    </xf>
    <xf numFmtId="0" fontId="53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50" fillId="7" borderId="1" xfId="3" applyFont="1" applyFill="1" applyBorder="1" applyAlignment="1">
      <alignment horizontal="center" vertical="center" wrapText="1"/>
    </xf>
    <xf numFmtId="0" fontId="32" fillId="7" borderId="5" xfId="0" applyFont="1" applyFill="1" applyBorder="1" applyAlignment="1">
      <alignment horizontal="left" vertical="center"/>
    </xf>
    <xf numFmtId="0" fontId="32" fillId="7" borderId="6" xfId="0" applyFont="1" applyFill="1" applyBorder="1" applyAlignment="1">
      <alignment horizontal="left" vertical="center"/>
    </xf>
    <xf numFmtId="0" fontId="32" fillId="7" borderId="6" xfId="0" applyFont="1" applyFill="1" applyBorder="1" applyAlignment="1">
      <alignment horizontal="center" vertical="center" wrapText="1"/>
    </xf>
    <xf numFmtId="16" fontId="32" fillId="7" borderId="6" xfId="0" applyNumberFormat="1" applyFont="1" applyFill="1" applyBorder="1" applyAlignment="1">
      <alignment horizontal="center" vertical="center" wrapText="1"/>
    </xf>
    <xf numFmtId="16" fontId="11" fillId="7" borderId="1" xfId="0" applyNumberFormat="1" applyFont="1" applyFill="1" applyBorder="1" applyAlignment="1">
      <alignment horizontal="center" vertical="top" wrapText="1"/>
    </xf>
    <xf numFmtId="0" fontId="9" fillId="0" borderId="0" xfId="0" quotePrefix="1" applyFont="1" applyAlignment="1">
      <alignment horizontal="left" vertical="top"/>
    </xf>
    <xf numFmtId="0" fontId="0" fillId="0" borderId="1" xfId="0" applyBorder="1" applyAlignment="1">
      <alignment vertical="center" wrapText="1"/>
    </xf>
    <xf numFmtId="0" fontId="58" fillId="0" borderId="1" xfId="0" applyFont="1" applyBorder="1" applyAlignment="1">
      <alignment vertical="center" wrapText="1"/>
    </xf>
    <xf numFmtId="0" fontId="53" fillId="6" borderId="1" xfId="0" applyFont="1" applyFill="1" applyBorder="1" applyAlignment="1">
      <alignment horizontal="center" vertical="center"/>
    </xf>
    <xf numFmtId="0" fontId="53" fillId="6" borderId="1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vertical="top"/>
    </xf>
    <xf numFmtId="0" fontId="10" fillId="0" borderId="6" xfId="0" applyFont="1" applyBorder="1" applyAlignment="1">
      <alignment horizontal="left" vertical="top"/>
    </xf>
    <xf numFmtId="16" fontId="11" fillId="0" borderId="0" xfId="0" applyNumberFormat="1" applyFont="1" applyAlignment="1">
      <alignment horizontal="center" vertical="top" wrapText="1"/>
    </xf>
    <xf numFmtId="0" fontId="9" fillId="0" borderId="0" xfId="0" applyFont="1" applyAlignment="1">
      <alignment horizontal="left" vertical="center" wrapText="1"/>
    </xf>
    <xf numFmtId="0" fontId="9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0" borderId="12" xfId="2" applyFont="1" applyBorder="1" applyAlignment="1">
      <alignment horizontal="center" vertical="center" wrapText="1"/>
    </xf>
    <xf numFmtId="0" fontId="12" fillId="0" borderId="13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10" fillId="0" borderId="5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8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top" wrapText="1"/>
    </xf>
  </cellXfs>
  <cellStyles count="49">
    <cellStyle name="Bình thường 2" xfId="4" xr:uid="{00000000-0005-0000-0000-000000000000}"/>
    <cellStyle name="Comma 2" xfId="5" xr:uid="{00000000-0005-0000-0000-000001000000}"/>
    <cellStyle name="Comma 2 2" xfId="6" xr:uid="{00000000-0005-0000-0000-000002000000}"/>
    <cellStyle name="Comma 3" xfId="7" xr:uid="{00000000-0005-0000-0000-000003000000}"/>
    <cellStyle name="Comma0" xfId="8" xr:uid="{00000000-0005-0000-0000-000004000000}"/>
    <cellStyle name="Currency0" xfId="9" xr:uid="{00000000-0005-0000-0000-000005000000}"/>
    <cellStyle name="Date" xfId="10" xr:uid="{00000000-0005-0000-0000-000006000000}"/>
    <cellStyle name="Fixed" xfId="11" xr:uid="{00000000-0005-0000-0000-000007000000}"/>
    <cellStyle name="Hyperlink" xfId="1" builtinId="8"/>
    <cellStyle name="Hyperlink 2" xfId="12" xr:uid="{00000000-0005-0000-0000-000009000000}"/>
    <cellStyle name="Normal" xfId="0" builtinId="0"/>
    <cellStyle name="Normal 10" xfId="13" xr:uid="{00000000-0005-0000-0000-00000B000000}"/>
    <cellStyle name="Normal 14" xfId="14" xr:uid="{00000000-0005-0000-0000-00000C000000}"/>
    <cellStyle name="Normal 14 2" xfId="45" xr:uid="{00000000-0005-0000-0000-00000D000000}"/>
    <cellStyle name="Normal 2" xfId="2" xr:uid="{00000000-0005-0000-0000-00000E000000}"/>
    <cellStyle name="Normal 2 2" xfId="3" xr:uid="{00000000-0005-0000-0000-00000F000000}"/>
    <cellStyle name="Normal 2 3" xfId="15" xr:uid="{00000000-0005-0000-0000-000010000000}"/>
    <cellStyle name="Normal 2 4" xfId="16" xr:uid="{00000000-0005-0000-0000-000011000000}"/>
    <cellStyle name="Normal 2 5" xfId="17" xr:uid="{00000000-0005-0000-0000-000012000000}"/>
    <cellStyle name="Normal 20" xfId="18" xr:uid="{00000000-0005-0000-0000-000013000000}"/>
    <cellStyle name="Normal 3" xfId="19" xr:uid="{00000000-0005-0000-0000-000014000000}"/>
    <cellStyle name="Normal 3 2" xfId="20" xr:uid="{00000000-0005-0000-0000-000015000000}"/>
    <cellStyle name="Normal 3 3" xfId="21" xr:uid="{00000000-0005-0000-0000-000016000000}"/>
    <cellStyle name="Normal 30 2" xfId="48" xr:uid="{8ACB5373-0660-4A6E-A45A-DEC064C77F28}"/>
    <cellStyle name="Normal 33" xfId="22" xr:uid="{00000000-0005-0000-0000-000017000000}"/>
    <cellStyle name="Normal 39" xfId="23" xr:uid="{00000000-0005-0000-0000-000018000000}"/>
    <cellStyle name="Normal 4" xfId="24" xr:uid="{00000000-0005-0000-0000-000019000000}"/>
    <cellStyle name="Normal 4 2" xfId="25" xr:uid="{00000000-0005-0000-0000-00001A000000}"/>
    <cellStyle name="Normal 5" xfId="26" xr:uid="{00000000-0005-0000-0000-00001B000000}"/>
    <cellStyle name="Normal 5 2" xfId="27" xr:uid="{00000000-0005-0000-0000-00001C000000}"/>
    <cellStyle name="Normal 5 3" xfId="46" xr:uid="{00000000-0005-0000-0000-00001D000000}"/>
    <cellStyle name="Normal 6" xfId="28" xr:uid="{00000000-0005-0000-0000-00001E000000}"/>
    <cellStyle name="Normal 7" xfId="29" xr:uid="{00000000-0005-0000-0000-00001F000000}"/>
    <cellStyle name="Normal 7 2" xfId="30" xr:uid="{00000000-0005-0000-0000-000020000000}"/>
    <cellStyle name="Normal 8" xfId="31" xr:uid="{00000000-0005-0000-0000-000021000000}"/>
    <cellStyle name="Normal_Sheet1" xfId="47" xr:uid="{BC2FFFC0-FE9C-43AC-9A26-7F651294F27B}"/>
    <cellStyle name="Percent 2" xfId="32" xr:uid="{00000000-0005-0000-0000-000023000000}"/>
    <cellStyle name="Style 1" xfId="33" xr:uid="{00000000-0005-0000-0000-000024000000}"/>
    <cellStyle name="똿뗦먛귟 [0.00]_PRODUCT DETAIL Q1" xfId="34" xr:uid="{00000000-0005-0000-0000-000025000000}"/>
    <cellStyle name="똿뗦먛귟_PRODUCT DETAIL Q1" xfId="35" xr:uid="{00000000-0005-0000-0000-000026000000}"/>
    <cellStyle name="믅됞 [0.00]_PRODUCT DETAIL Q1" xfId="36" xr:uid="{00000000-0005-0000-0000-000027000000}"/>
    <cellStyle name="믅됞_PRODUCT DETAIL Q1" xfId="37" xr:uid="{00000000-0005-0000-0000-000028000000}"/>
    <cellStyle name="백분율_HOBONG" xfId="38" xr:uid="{00000000-0005-0000-0000-000029000000}"/>
    <cellStyle name="뷭?_BOOKSHIP" xfId="39" xr:uid="{00000000-0005-0000-0000-00002A000000}"/>
    <cellStyle name="콤마 [0]_1202" xfId="40" xr:uid="{00000000-0005-0000-0000-00002B000000}"/>
    <cellStyle name="콤마_1202" xfId="41" xr:uid="{00000000-0005-0000-0000-00002C000000}"/>
    <cellStyle name="통화 [0]_1202" xfId="42" xr:uid="{00000000-0005-0000-0000-00002D000000}"/>
    <cellStyle name="통화_1202" xfId="43" xr:uid="{00000000-0005-0000-0000-00002E000000}"/>
    <cellStyle name="표준_(정보부문)월별인원계획" xfId="44" xr:uid="{00000000-0005-0000-0000-00002F000000}"/>
  </cellStyles>
  <dxfs count="1813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88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customXml" Target="../customXml/item2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Muc luc'!A1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Muc luc'!A1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Muc luc'!A1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Muc luc'!A1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Muc luc'!A1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Muc luc'!A1"/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Muc luc'!A1"/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Muc luc'!A1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230488"/>
          <a:ext cx="2079171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3" name="Picture 4" descr="VIAGS xanh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3071" y="239486"/>
          <a:ext cx="1968496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059F5B25-5556-4EBE-9752-81D5FCBB320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348866A2-050A-48D4-A9D3-396078FA204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BC3DD07F-436C-4326-8F66-FC01E25EED1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90882E02-5100-43CE-A6C2-0719DCF66C6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0370EC7F-6169-418C-961B-B030063B77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35435070-6EB8-4956-B021-B7CB23CD4C5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3DA568D3-003D-4641-ABDC-89C6C000E1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CE86D763-73BD-48E5-A1E1-36C3CDA3D8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9E16A646-2C1A-49B3-80C3-F3B4B72C989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2DDA33C-7198-42DC-8EE4-55C7F702961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2EDFC78-C6D4-4147-8C3E-A01922B5566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553BECA-0DE1-41D3-9767-353130E9CC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18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91F86A-808B-4E53-9122-2BFFB5F1D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9" name="Picture 4" descr="VIAGS xanh">
          <a:extLst>
            <a:ext uri="{FF2B5EF4-FFF2-40B4-BE49-F238E27FC236}">
              <a16:creationId xmlns:a16="http://schemas.microsoft.com/office/drawing/2014/main" id="{C83381E0-BB1C-45E3-ACF7-AE96B629E441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449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79ECBCA2-31C8-422A-8B40-2482324635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57D82F57-4664-49B4-A38E-2291018E6F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8">
          <a:extLst>
            <a:ext uri="{FF2B5EF4-FFF2-40B4-BE49-F238E27FC236}">
              <a16:creationId xmlns:a16="http://schemas.microsoft.com/office/drawing/2014/main" id="{B5A43280-C234-42C4-B631-EF84A8A18A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B5BDA0F-B7A8-4DAF-970A-F7A9FE11DA3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5D445613-4557-46A7-97AC-C36047B3AD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FCAF9AE0-0D85-411E-BB96-545BE3C345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5CD2E18A-E07C-4E86-968E-8D167A9D44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889CDE14-4E13-49AE-81E3-CC31C56B178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E0BA0AC6-EB8E-4488-9FC5-B1CDDA138B2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4">
          <a:extLst>
            <a:ext uri="{FF2B5EF4-FFF2-40B4-BE49-F238E27FC236}">
              <a16:creationId xmlns:a16="http://schemas.microsoft.com/office/drawing/2014/main" id="{0515281E-41D4-41C9-A99B-D8FB13B6E5E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7">
          <a:extLst>
            <a:ext uri="{FF2B5EF4-FFF2-40B4-BE49-F238E27FC236}">
              <a16:creationId xmlns:a16="http://schemas.microsoft.com/office/drawing/2014/main" id="{E149F242-C75A-492A-8594-8409AAEC5D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8">
          <a:extLst>
            <a:ext uri="{FF2B5EF4-FFF2-40B4-BE49-F238E27FC236}">
              <a16:creationId xmlns:a16="http://schemas.microsoft.com/office/drawing/2014/main" id="{CE28825D-5DE6-46A9-B718-3456B5B3E0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4">
          <a:extLst>
            <a:ext uri="{FF2B5EF4-FFF2-40B4-BE49-F238E27FC236}">
              <a16:creationId xmlns:a16="http://schemas.microsoft.com/office/drawing/2014/main" id="{131B8B22-49D1-4406-B2DA-9E866ED9BC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7">
          <a:extLst>
            <a:ext uri="{FF2B5EF4-FFF2-40B4-BE49-F238E27FC236}">
              <a16:creationId xmlns:a16="http://schemas.microsoft.com/office/drawing/2014/main" id="{2016593E-E60D-4F57-82AB-D08A391906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8">
          <a:extLst>
            <a:ext uri="{FF2B5EF4-FFF2-40B4-BE49-F238E27FC236}">
              <a16:creationId xmlns:a16="http://schemas.microsoft.com/office/drawing/2014/main" id="{19FFE0B9-8998-4257-AA6D-7C755AAD69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98FFA85-B1CC-4755-9B5E-AB7BFCE14E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4258294-03B1-4516-8663-5BF109DD7E3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48EADFE-B5C6-471D-B118-2001485A1E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4">
          <a:extLst>
            <a:ext uri="{FF2B5EF4-FFF2-40B4-BE49-F238E27FC236}">
              <a16:creationId xmlns:a16="http://schemas.microsoft.com/office/drawing/2014/main" id="{81858D3D-0373-4F49-BCF4-361DE234DCB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81C727DC-EE27-44A1-B670-AF4B377A13A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E5AF9480-C788-49F7-88C7-6CCC75728F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4">
          <a:extLst>
            <a:ext uri="{FF2B5EF4-FFF2-40B4-BE49-F238E27FC236}">
              <a16:creationId xmlns:a16="http://schemas.microsoft.com/office/drawing/2014/main" id="{FB66A0AF-7EFE-44D0-8A41-7232B825ED9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7">
          <a:extLst>
            <a:ext uri="{FF2B5EF4-FFF2-40B4-BE49-F238E27FC236}">
              <a16:creationId xmlns:a16="http://schemas.microsoft.com/office/drawing/2014/main" id="{B8625022-69FB-444F-8021-908657406D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8">
          <a:extLst>
            <a:ext uri="{FF2B5EF4-FFF2-40B4-BE49-F238E27FC236}">
              <a16:creationId xmlns:a16="http://schemas.microsoft.com/office/drawing/2014/main" id="{368670F2-B3CB-4A6F-BBC4-0E017664EF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2734ACB6-21B7-46C8-9D46-CD5F92B9025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4A98220C-F4AD-4252-A152-D46D9BA4B4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EDBD2461-72ED-48EC-B627-1700648667F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7ADD902-D21D-425F-9133-65BE1B18A92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77CEB24-5F75-43ED-9324-3BD9D3E951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AE14A76D-5712-4098-B3ED-7B19840452E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B1DA0868-AFA8-4C26-B1D1-87DF0D06BA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3233ED93-19E2-44C7-97D6-BB0789C238C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DC0578E5-7123-46AE-B4D6-69E5BA31E1B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6A369AAE-321F-4B10-897F-584C5DB2FD5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63427119-901C-4332-AD17-12E56F92453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F23ED380-6A12-458D-96E9-D8E151D36C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E650EECA-1C5F-44E3-92A1-EBAC4F7ABE4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C31C3841-53C6-43EB-83C4-714BAB4C0D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26A5ABE-CE0F-4A32-8E26-CADF0C4864B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292732E-049B-4AD1-97BD-158DFCC2A6A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3D5293DD-C734-4B08-85E2-EEA682015F6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0300-00000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0300-00000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00000000-0008-0000-0300-00000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4">
          <a:extLst>
            <a:ext uri="{FF2B5EF4-FFF2-40B4-BE49-F238E27FC236}">
              <a16:creationId xmlns:a16="http://schemas.microsoft.com/office/drawing/2014/main" id="{00000000-0008-0000-0300-000007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300-000009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00000000-0008-0000-0300-00000A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1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00C45-5744-4C8E-922B-2D631F53A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4" name="Picture 4" descr="VIAGS xanh">
          <a:extLst>
            <a:ext uri="{FF2B5EF4-FFF2-40B4-BE49-F238E27FC236}">
              <a16:creationId xmlns:a16="http://schemas.microsoft.com/office/drawing/2014/main" id="{69CB2529-C09F-4EE9-A986-F93F4E1BEAF0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309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7A674BA0-DDB3-4C38-835E-4BD55D95BFE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3D0BC861-8ED5-439A-B2DD-161FCC99C3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BA90258B-4972-4C62-9472-9B42095D6D3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FF7296B-E5EC-42DA-B882-6E2191187E4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7">
          <a:extLst>
            <a:ext uri="{FF2B5EF4-FFF2-40B4-BE49-F238E27FC236}">
              <a16:creationId xmlns:a16="http://schemas.microsoft.com/office/drawing/2014/main" id="{2F65EF65-CCAF-444B-8625-4260FD13D4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8">
          <a:extLst>
            <a:ext uri="{FF2B5EF4-FFF2-40B4-BE49-F238E27FC236}">
              <a16:creationId xmlns:a16="http://schemas.microsoft.com/office/drawing/2014/main" id="{08C53839-0CAE-4F41-9A94-58DA3B0AD2C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4">
          <a:extLst>
            <a:ext uri="{FF2B5EF4-FFF2-40B4-BE49-F238E27FC236}">
              <a16:creationId xmlns:a16="http://schemas.microsoft.com/office/drawing/2014/main" id="{F17BA7A0-326C-4439-8BB9-DCC8640350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7">
          <a:extLst>
            <a:ext uri="{FF2B5EF4-FFF2-40B4-BE49-F238E27FC236}">
              <a16:creationId xmlns:a16="http://schemas.microsoft.com/office/drawing/2014/main" id="{24D50484-87E8-4AC3-98C3-3728686F7A5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8">
          <a:extLst>
            <a:ext uri="{FF2B5EF4-FFF2-40B4-BE49-F238E27FC236}">
              <a16:creationId xmlns:a16="http://schemas.microsoft.com/office/drawing/2014/main" id="{8DC597AF-BCB5-47E4-90AF-201D694D9F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855BF05C-2434-4FA3-AD11-FDF5042AD69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7">
          <a:extLst>
            <a:ext uri="{FF2B5EF4-FFF2-40B4-BE49-F238E27FC236}">
              <a16:creationId xmlns:a16="http://schemas.microsoft.com/office/drawing/2014/main" id="{D6881430-68D2-47BC-935A-2ABBB7E41B5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8">
          <a:extLst>
            <a:ext uri="{FF2B5EF4-FFF2-40B4-BE49-F238E27FC236}">
              <a16:creationId xmlns:a16="http://schemas.microsoft.com/office/drawing/2014/main" id="{EEA76FE2-9DC7-4992-A27D-A2FBF2A83E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4">
          <a:extLst>
            <a:ext uri="{FF2B5EF4-FFF2-40B4-BE49-F238E27FC236}">
              <a16:creationId xmlns:a16="http://schemas.microsoft.com/office/drawing/2014/main" id="{8D3B036B-3975-4A9C-A231-F8006AB581B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851CA23B-91B9-4B11-80F8-E0EBABA630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4D47DF0F-CEFE-4F50-A223-757A7B01DE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5BC9D8B-32CB-45D7-BC21-2DA40C5E8C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AFFACCE-534C-4A65-A2B3-F9784C41E0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2CC02C9-22AD-48D5-AF53-BA874FB9BE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F7537DAB-0F0B-43EA-A528-FEFF60683C0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26688DB4-DCC9-47E9-B1D4-C0DE512C975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F2738D7C-F07C-47B3-BDA2-FAF80F93CC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09899909-9644-4056-B76F-5F106BF901E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00DAA7E0-00E6-4800-82A7-EEC56C37AC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9EB27624-6FA9-4AEF-BC28-1DFD2BE718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4">
          <a:extLst>
            <a:ext uri="{FF2B5EF4-FFF2-40B4-BE49-F238E27FC236}">
              <a16:creationId xmlns:a16="http://schemas.microsoft.com/office/drawing/2014/main" id="{BAFC73F3-8399-40F6-8A9B-D09F38239F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7">
          <a:extLst>
            <a:ext uri="{FF2B5EF4-FFF2-40B4-BE49-F238E27FC236}">
              <a16:creationId xmlns:a16="http://schemas.microsoft.com/office/drawing/2014/main" id="{C2FC1D72-13C9-478C-B9EC-47465256A96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8">
          <a:extLst>
            <a:ext uri="{FF2B5EF4-FFF2-40B4-BE49-F238E27FC236}">
              <a16:creationId xmlns:a16="http://schemas.microsoft.com/office/drawing/2014/main" id="{78341039-5EF8-401E-B30D-4D6D80B1AE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1B9EA12-FFFF-46C4-A4AA-76624AAF199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20FAA06-1959-4131-9320-261C419D02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366C52E4-BA48-4F41-8186-6BE134F8DC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FDB58E9E-1B62-4D8C-B4BC-09B133F339D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ECBCAB78-98C9-481E-9D19-3ACD8375C2D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4E18EDD5-40DD-47F8-82F2-F71281B5AE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C5D20448-5FE2-495A-A033-78F8180505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46B7B820-1EF9-4175-BED6-C1493A0F7D5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509F23E4-ABA0-4980-81F9-5DB6C8E8B61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19D362C9-5AA2-470A-B61E-10595B58B3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AA490393-FE2D-49FB-B5E8-89A3E28B363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00F2C1BD-368D-40B8-B7C9-441E6A84ADE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BE49FD0-BC6F-45F3-8907-122537FF3BC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4B48DD4E-C1F7-4EB0-A7AF-13711E53477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EEA5752-324D-4953-9109-F12CD506F98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4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04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00000000-0008-0000-0400-000008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400-000009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00000000-0008-0000-0400-00000A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8AB626FA-3804-4771-8668-7F987CC638FB}"/>
            </a:ext>
            <a:ext uri="{147F2762-F138-4A5C-976F-8EAC2B608ADB}">
              <a16:predDERef xmlns:a16="http://schemas.microsoft.com/office/drawing/2014/main" pred="{A6526F2B-7A63-485B-9409-2FA81F8ED23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D3879626-691B-490F-8EC3-E4BD39E129B5}"/>
            </a:ext>
            <a:ext uri="{147F2762-F138-4A5C-976F-8EAC2B608ADB}">
              <a16:predDERef xmlns:a16="http://schemas.microsoft.com/office/drawing/2014/main" pred="{8AB626FA-3804-4771-8668-7F987CC638F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AAF7945E-9F81-4226-981B-1A1D09FBB554}"/>
            </a:ext>
            <a:ext uri="{147F2762-F138-4A5C-976F-8EAC2B608ADB}">
              <a16:predDERef xmlns:a16="http://schemas.microsoft.com/office/drawing/2014/main" pred="{D3879626-691B-490F-8EC3-E4BD39E129B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EA57CD7A-0631-4CA0-930D-B86E76E0280A}"/>
            </a:ext>
            <a:ext uri="{147F2762-F138-4A5C-976F-8EAC2B608ADB}">
              <a16:predDERef xmlns:a16="http://schemas.microsoft.com/office/drawing/2014/main" pred="{AAF7945E-9F81-4226-981B-1A1D09FBB55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DF41C049-EA78-4EC6-9126-1035A0FBB5DB}"/>
            </a:ext>
            <a:ext uri="{147F2762-F138-4A5C-976F-8EAC2B608ADB}">
              <a16:predDERef xmlns:a16="http://schemas.microsoft.com/office/drawing/2014/main" pred="{EA57CD7A-0631-4CA0-930D-B86E76E0280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FF2583D1-F2B3-4995-8F47-FA4BCC74BB49}"/>
            </a:ext>
            <a:ext uri="{147F2762-F138-4A5C-976F-8EAC2B608ADB}">
              <a16:predDERef xmlns:a16="http://schemas.microsoft.com/office/drawing/2014/main" pred="{DF41C049-EA78-4EC6-9126-1035A0FBB5D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397652-D788-436A-8308-6BE041806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139881</xdr:colOff>
      <xdr:row>1</xdr:row>
      <xdr:rowOff>176078</xdr:rowOff>
    </xdr:from>
    <xdr:to>
      <xdr:col>8</xdr:col>
      <xdr:colOff>983338</xdr:colOff>
      <xdr:row>4</xdr:row>
      <xdr:rowOff>77018</xdr:rowOff>
    </xdr:to>
    <xdr:pic>
      <xdr:nvPicPr>
        <xdr:cNvPr id="3" name="Picture 4" descr="VIAGS xanh">
          <a:extLst>
            <a:ext uri="{FF2B5EF4-FFF2-40B4-BE49-F238E27FC236}">
              <a16:creationId xmlns:a16="http://schemas.microsoft.com/office/drawing/2014/main" id="{4FD06FBB-FC37-46B8-9CE2-5AEDA9ACD129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8281" y="284935"/>
          <a:ext cx="1932028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4">
          <a:extLst>
            <a:ext uri="{FF2B5EF4-FFF2-40B4-BE49-F238E27FC236}">
              <a16:creationId xmlns:a16="http://schemas.microsoft.com/office/drawing/2014/main" id="{E4E8BFDD-1AE6-470B-86A5-148E77F866D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C7A04420-EBD2-40AA-B708-C6E1B28697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296E3D25-8272-4D56-A695-7772877465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9B7B238C-076A-4414-9096-491BFB2370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4761B7B8-88E2-43C8-B741-AB400DCFCC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BD652AC9-802F-4B2D-B76C-C8F02ACE981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4FD72C42-2079-4A0C-B979-7D6BDF4E5E3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7FB56FDC-9282-4F63-8465-35A4ADD9FA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6634F1D6-90C1-4E4C-B281-757507C6F18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BACD74F-B6C8-4606-A637-4F72390456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06B23A34-24BA-47CB-B147-4DEBB7B74F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C8FF1391-339F-43A8-9949-431959F20D0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82EE0B63-392E-4846-B6EC-748632E737D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34F09C9E-FEEE-4C54-979F-CDC740321D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7E6BA93A-4E32-4690-9FE4-8B993C8B79F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FF5F4F1D-8A98-4958-85F7-E8434F2A6BD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5BA263FB-6A38-4990-9F93-A84059AD36C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915D3E96-CC1A-4983-A06E-64C4977E3EC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A43E7546-89C5-499A-90D7-0C2C61E50F0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65D22B5F-E30D-4BA4-AF14-21AA5DECBB4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B2E9AFB4-1B47-441E-B0F3-72172ABD04C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652646E-2F68-47D4-8F60-E88D599AEE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E0296AAD-6EED-44F7-8339-C2C1A9F43CC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1DD5EDE-5FEB-4784-85AA-7CFB76690E7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9235BBA1-7F30-405D-9B8D-08859144D99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84792D63-E4CD-4FCD-8194-4D5A8174C97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D3647B5E-5204-48D5-BD95-F66F75DBD2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B5DB9FB6-6BE0-406C-80EE-13FF6BBDA89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0029CABD-8779-438A-98CF-8C86E9E520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40F2ABCC-3E62-4718-9C81-7BAE89937D8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154BF8F4-268D-44D7-9F04-C66CA9669AD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0311B1A9-DB3E-4F95-9930-160ED4D05C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1ECFA5A1-E81D-45ED-976E-A7BCBF8F891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A126509-1BBA-48B8-BC73-2FE3392128A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DDF77E46-6678-4ACE-B1F5-6DA4DBAE13A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0DCDE90-7E70-4D3F-9A01-C0526388BD9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5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5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05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00000000-0008-0000-0500-000008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500-000009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0AC0B6-3594-4058-A3FA-AB02C8486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3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1" name="Picture 4" descr="VIAGS xanh">
          <a:extLst>
            <a:ext uri="{FF2B5EF4-FFF2-40B4-BE49-F238E27FC236}">
              <a16:creationId xmlns:a16="http://schemas.microsoft.com/office/drawing/2014/main" id="{1B7F7661-CC9D-47F5-BBE5-8B46E2DE0DA3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069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1CAEC891-BC46-4E88-B852-D504D32DF20D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9E20FE47-F806-43FE-A3E5-B464402733E8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03AC8FAF-86D4-4AD3-9DFC-C41456E9D71A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75E78917-EAD3-4117-BAA1-ACA3442F8DBA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781EEDB3-6677-4D2B-A851-A83878CB2A7E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41F7BFE8-CE5C-4168-AFF1-064CA7B257EF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6FEEE51D-C97E-4CFF-986C-A81AC18153F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F74AE061-9C09-4D36-A287-BC32ACF3F9A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98106742-F309-4E61-8BBA-FA820F45C9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5885BD6-94F6-4592-9B4D-971089346D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48D4EF7B-EA97-4E99-865A-C8AED0C377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D9010F17-2E57-41DC-8A45-C60E253425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DA92DC34-A337-42E3-B455-823F59EA4B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10699085-B40D-465A-95AD-830D1003DB2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964FB1E9-4D73-4AC4-94CA-691DA09114B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8CF3669B-6BFE-4819-983A-6AEDD282D33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7C14F716-9E5C-4833-8F70-68C1BF687FF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155C4278-0AA7-4C24-B06E-4D48497364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E8EBBDD8-54BB-458A-B145-913609C6CC8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218742A7-95FF-4BF3-AB0C-DF93F805FF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386B514D-5844-4AE6-9E71-D1C7BEE8E96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4DAD309-8C69-42CD-8B13-29F3F73CFE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26CE9FB-DEAC-4749-879E-1C84EE4048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47F97022-20D6-4061-9517-667999C90D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DA093794-880C-4723-9844-1BD500AEFB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FE26C9B4-7607-46F7-8BFD-6FD5FF4C3CA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088502F6-15B8-41F8-8BBB-4CA2918F5D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6B0AFCF1-4CDA-4621-BF7A-C556E7DDF23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F05DEFCB-3C2F-4145-B786-43D9D7E9FC9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81DE7B4D-9845-41B5-A72E-C4C680DB3C2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CC106888-AFBD-45C0-A801-E970FEEDA1F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78326D30-6835-47C5-AF1F-6614E603A4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A816BDEC-8448-4E20-A85B-3AF884DF336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CE077B9C-9BBC-4175-8180-D67C8F6356D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3851A59-D429-48C9-91CD-13049348DF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6838588A-6E53-4AE8-92FE-339503ACAAA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6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06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00000000-0008-0000-0600-000008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600-000009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00000000-0008-0000-0600-00000A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81F752-3C18-4426-AFCB-1C19E76B4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1" name="Picture 4" descr="VIAGS xanh">
          <a:extLst>
            <a:ext uri="{FF2B5EF4-FFF2-40B4-BE49-F238E27FC236}">
              <a16:creationId xmlns:a16="http://schemas.microsoft.com/office/drawing/2014/main" id="{8506253D-5354-4C72-A72D-8277EEDD1BAB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309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849F6178-C9A3-4AEA-AFC5-6451A39428A4}"/>
            </a:ext>
            <a:ext uri="{147F2762-F138-4A5C-976F-8EAC2B608ADB}">
              <a16:predDERef xmlns:a16="http://schemas.microsoft.com/office/drawing/2014/main" pred="{2299D6B4-41BE-4603-AD7D-8888F4485E2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46409D33-9AC1-404E-9593-AAD4FAE3F0B4}"/>
            </a:ext>
            <a:ext uri="{147F2762-F138-4A5C-976F-8EAC2B608ADB}">
              <a16:predDERef xmlns:a16="http://schemas.microsoft.com/office/drawing/2014/main" pred="{849F6178-C9A3-4AEA-AFC5-6451A39428A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047C1C30-C662-40F6-9AFE-FF9C0C6956FC}"/>
            </a:ext>
            <a:ext uri="{147F2762-F138-4A5C-976F-8EAC2B608ADB}">
              <a16:predDERef xmlns:a16="http://schemas.microsoft.com/office/drawing/2014/main" pred="{46409D33-9AC1-404E-9593-AAD4FAE3F0B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D0E93E22-E4AA-43AC-945B-92F12F839830}"/>
            </a:ext>
            <a:ext uri="{147F2762-F138-4A5C-976F-8EAC2B608ADB}">
              <a16:predDERef xmlns:a16="http://schemas.microsoft.com/office/drawing/2014/main" pred="{047C1C30-C662-40F6-9AFE-FF9C0C6956F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D0150CE5-DC98-4DA4-8438-9F6BC496AD64}"/>
            </a:ext>
            <a:ext uri="{147F2762-F138-4A5C-976F-8EAC2B608ADB}">
              <a16:predDERef xmlns:a16="http://schemas.microsoft.com/office/drawing/2014/main" pred="{D0E93E22-E4AA-43AC-945B-92F12F83983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9F4E5D0A-E2C0-4678-A7E1-38C5A60D1C95}"/>
            </a:ext>
            <a:ext uri="{147F2762-F138-4A5C-976F-8EAC2B608ADB}">
              <a16:predDERef xmlns:a16="http://schemas.microsoft.com/office/drawing/2014/main" pred="{D0150CE5-DC98-4DA4-8438-9F6BC496AD6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AAE21BD2-00C3-47EB-A62C-83D22CEAA62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907F621F-03F5-4B9A-AE13-F329916E14E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9A08CFEC-25D6-4E62-A914-007E1241AB6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ECB301A3-3E3D-43E5-AF94-6DE97C45E44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B3DA1FBD-105B-4E87-BB0E-F5DF9DBB174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1614E3BF-6CD7-4C15-887A-45A1DD11BFE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262B012A-88D6-4C25-9047-7D00269AC3C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94FB016E-920A-4962-A8CA-AF20751EAFF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832DAFFA-B417-47EB-ACD8-C077B840D84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426C1B4-B8FA-418A-8D9F-FC74DF4CAB3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A26A466A-9D5D-4313-8624-22317F5F34A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BD397903-6309-4BB9-B7F0-BA2ECC35785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026F899C-5261-4B02-B085-EB802634B90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BC10C5EC-6A95-43A2-87FD-3007576A60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FBED76C9-7722-4DCD-B57B-CB2A773D90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A0D0FD38-FD65-4D32-8CBD-93F9F2F780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B271DA5C-1881-4F31-B9CE-4D4F7F485CE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EFB0273D-00BC-4CFE-B080-4B88520F67F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98F1B530-92E9-49F6-8AC8-C7432289D16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38C1C9BD-D3B4-4326-BB96-8573139A16E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3AC61CEB-0549-4E05-A7B2-D7F68C523F5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249773BE-80E7-4F13-998C-87C63049457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EB2C3820-822B-469B-93D9-4BC0F02D665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408E4AF-6F3D-4DFE-919B-42F0C3AE8B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BBD11325-FCF9-42A7-BFBB-7F1F02DFD3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C0DD8445-4540-4F66-BA53-BEB2B1C863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5A401B81-830F-4C1E-854D-97EB5A84ABA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A0BE7661-3822-4286-9E95-589C5C311CA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61B5E191-D459-40F6-83B3-FD1E3CF157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170369CB-7912-4717-AFE8-1EDF85B2101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14B16D23-CAF6-4281-A8DB-D8C7770DD7D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ADF62138-17B5-45E2-85BF-3AC5308C4AA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F3D48023-0F09-4F13-BF69-665342CA0B3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40D07ED7-748E-489D-BA43-542F977C58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23C37E0-68EB-4634-B37B-B5DFFD60B3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3FDAF55-5E19-4C86-8B18-4B15289C93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7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07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00000000-0008-0000-0700-000008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700-000009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00000000-0008-0000-0700-00000A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14F7D-2B24-4D4E-BD1E-889BE7D48183}"/>
            </a:ext>
            <a:ext uri="{147F2762-F138-4A5C-976F-8EAC2B608ADB}">
              <a16:predDERef xmlns:a16="http://schemas.microsoft.com/office/drawing/2014/main" pre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1" name="Picture 4" descr="VIAGS xanh">
          <a:extLst>
            <a:ext uri="{FF2B5EF4-FFF2-40B4-BE49-F238E27FC236}">
              <a16:creationId xmlns:a16="http://schemas.microsoft.com/office/drawing/2014/main" id="{B975038A-F302-4930-BE41-6F25C8E10723}"/>
            </a:ext>
            <a:ext uri="{147F2762-F138-4A5C-976F-8EAC2B608ADB}">
              <a16:predDERef xmlns:a16="http://schemas.microsoft.com/office/drawing/2014/main" pred="{74214F7D-2B24-4D4E-BD1E-889BE7D48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6B1B6EE0-D5D3-4370-B8F2-5E3E19EC2ABF}"/>
            </a:ext>
            <a:ext uri="{147F2762-F138-4A5C-976F-8EAC2B608ADB}">
              <a16:predDERef xmlns:a16="http://schemas.microsoft.com/office/drawing/2014/main" pred="{DC0FA668-5776-4DB6-AF31-B5E4D69CB91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AFEBB60B-D175-44B6-906C-8DDFCA490D6F}"/>
            </a:ext>
            <a:ext uri="{147F2762-F138-4A5C-976F-8EAC2B608ADB}">
              <a16:predDERef xmlns:a16="http://schemas.microsoft.com/office/drawing/2014/main" pred="{6B1B6EE0-D5D3-4370-B8F2-5E3E19EC2AB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76AF28EC-9DF9-4A6C-A06A-2E5BDBE5D1E5}"/>
            </a:ext>
            <a:ext uri="{147F2762-F138-4A5C-976F-8EAC2B608ADB}">
              <a16:predDERef xmlns:a16="http://schemas.microsoft.com/office/drawing/2014/main" pred="{AFEBB60B-D175-44B6-906C-8DDFCA490D6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F1B3A638-1AD7-4141-B527-7EDECE301F52}"/>
            </a:ext>
            <a:ext uri="{147F2762-F138-4A5C-976F-8EAC2B608ADB}">
              <a16:predDERef xmlns:a16="http://schemas.microsoft.com/office/drawing/2014/main" pred="{76AF28EC-9DF9-4A6C-A06A-2E5BDBE5D1E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E6613EA5-9E3E-412B-A568-CB0247332FD3}"/>
            </a:ext>
            <a:ext uri="{147F2762-F138-4A5C-976F-8EAC2B608ADB}">
              <a16:predDERef xmlns:a16="http://schemas.microsoft.com/office/drawing/2014/main" pred="{F1B3A638-1AD7-4141-B527-7EDECE301F5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922BA392-7CCE-40D1-95BC-856CF2825CE1}"/>
            </a:ext>
            <a:ext uri="{147F2762-F138-4A5C-976F-8EAC2B608ADB}">
              <a16:predDERef xmlns:a16="http://schemas.microsoft.com/office/drawing/2014/main" pred="{E6613EA5-9E3E-412B-A568-CB0247332FD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1A1FD9A9-D288-4D22-918E-C01AA4639BC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308BF60C-633E-47EB-B3E6-D1483246E3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96D73F23-2E1A-4FD4-99E0-5D0416BF8BE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DE217F24-CDA3-400B-B506-D4D602606F8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87F9A58E-4544-4D6E-AE40-7E24125F660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E966E4DC-2A6F-4816-AA73-761A25CAA4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E57127E1-A2B0-41E7-BAA0-042EC7D8A2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D60FDA2A-8B5F-4464-BF9B-EF3D55A29F4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95BC1E2D-4A27-4F38-A88E-24CDAACA3E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32BA718-7176-4903-A431-7FBDB03B3D5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381C9C5F-5618-4882-BAA4-2ABE553C7C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E3D49B87-B848-447D-BAFE-F6891A8A88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F8387222-71C0-4B82-ABB9-5309B07586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9CABA8F7-E167-4F3E-92B5-484040E1126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41118AB4-797E-4335-B54B-2686EAED25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96E68D44-8954-48A9-959C-5D3252FAC6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B8816E86-85B4-4EEC-AF12-F131A8462AA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019E5F52-24A2-4669-87DD-D33C0F9197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78552F87-0C38-4F1E-BB0E-9918224E85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02F7486E-A4B9-497F-B6D1-AE0A0CBD5A7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BA1854CA-2F87-4D43-83FE-F6655BBFCB4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BC92CBDF-D517-4965-9D37-8915E9862F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6A22FC2-DB83-4203-9D0B-28F0F86E9D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39455465-D82E-4B9F-97FA-2CF04E5A44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30EAD6BC-79DE-494F-919B-5C3C0ECA12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18F946C0-6EA5-40C2-801A-CC96866AA7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0CA91DD8-566F-474A-BC3E-653347E978B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D8A7CD31-F1C0-416D-B72B-A58CFFD9E0F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E0FB0026-1B8C-46F1-AAC5-51886D4F2DF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16131138-D922-4188-BD39-F883EE6016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C8C91484-8AD5-4703-9BD8-6B7A622002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1BDCAC5F-8C3F-45C3-9AF3-9C8DE08BBE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2515133A-21FC-4859-AB35-2BE15D610F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19FFA03D-5966-4CAA-9B8B-F6FFDAC8AAF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E06EF1DF-9D61-44E0-8D11-AF47F4BD69C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D5A1EF9-A59C-4825-AB8A-9C98DCC62A7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8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8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08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00000000-0008-0000-0800-000008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800-000009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00000000-0008-0000-0800-00000A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525E49-08C5-4669-8FDA-29728BFF1E25}"/>
            </a:ext>
            <a:ext uri="{147F2762-F138-4A5C-976F-8EAC2B608ADB}">
              <a16:predDERef xmlns:a16="http://schemas.microsoft.com/office/drawing/2014/main" pred="{00000000-0008-0000-0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" name="Picture 4" descr="VIAGS xanh">
          <a:extLst>
            <a:ext uri="{FF2B5EF4-FFF2-40B4-BE49-F238E27FC236}">
              <a16:creationId xmlns:a16="http://schemas.microsoft.com/office/drawing/2014/main" id="{66DE7A81-0848-4E6D-8416-16AC409C4166}"/>
            </a:ext>
            <a:ext uri="{147F2762-F138-4A5C-976F-8EAC2B608ADB}">
              <a16:predDERef xmlns:a16="http://schemas.microsoft.com/office/drawing/2014/main" pred="{77525E49-08C5-4669-8FDA-29728BFF1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8938B992-30B5-453E-AE2A-46F910E92F63}"/>
            </a:ext>
            <a:ext uri="{147F2762-F138-4A5C-976F-8EAC2B608ADB}">
              <a16:predDERef xmlns:a16="http://schemas.microsoft.com/office/drawing/2014/main" pred="{98B95B84-C458-431B-9C03-D1383ED7D89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49120C88-72DE-493A-8EF4-F4889B7C32CC}"/>
            </a:ext>
            <a:ext uri="{147F2762-F138-4A5C-976F-8EAC2B608ADB}">
              <a16:predDERef xmlns:a16="http://schemas.microsoft.com/office/drawing/2014/main" pred="{8938B992-30B5-453E-AE2A-46F910E92F6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455AE873-938D-44DC-BABB-FF90712BE15E}"/>
            </a:ext>
            <a:ext uri="{147F2762-F138-4A5C-976F-8EAC2B608ADB}">
              <a16:predDERef xmlns:a16="http://schemas.microsoft.com/office/drawing/2014/main" pred="{49120C88-72DE-493A-8EF4-F4889B7C32C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90055ABA-D09E-42D7-9EEB-530AE3808625}"/>
            </a:ext>
            <a:ext uri="{147F2762-F138-4A5C-976F-8EAC2B608ADB}">
              <a16:predDERef xmlns:a16="http://schemas.microsoft.com/office/drawing/2014/main" pred="{455AE873-938D-44DC-BABB-FF90712BE15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E08129E6-0368-4E1D-8894-1B1996DE4238}"/>
            </a:ext>
            <a:ext uri="{147F2762-F138-4A5C-976F-8EAC2B608ADB}">
              <a16:predDERef xmlns:a16="http://schemas.microsoft.com/office/drawing/2014/main" pred="{90055ABA-D09E-42D7-9EEB-530AE380862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8287562F-4602-4654-AF6D-3693234CACCE}"/>
            </a:ext>
            <a:ext uri="{147F2762-F138-4A5C-976F-8EAC2B608ADB}">
              <a16:predDERef xmlns:a16="http://schemas.microsoft.com/office/drawing/2014/main" pred="{E08129E6-0368-4E1D-8894-1B1996DE423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12245BD0-801F-4AE8-8DD1-CEFC4AFA627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0312D826-E053-4DD2-89E0-84C45FA4085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522F8661-8CA2-4C4F-B009-373090D4475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7F70DF69-45F1-4C56-8D53-A75752C6EA7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09CA84B1-9470-469B-AFD2-1ACB424430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E604DA71-A6BC-4ADF-BAC9-08A2CB7EC45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19C72A1B-C5C9-487E-A4B7-34EEECA3AA4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42C5B9CD-0F59-4F92-B85F-231A730B345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0A003CAF-123C-4A01-8A8F-20B3DD6403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9B55B2D-B7D2-46ED-ABFD-2CAD237C08A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B9BC0C7C-7729-41D0-8EC2-A2272DF03EA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D066F210-78FE-4F44-8DEC-593C6D572A2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AFE238EF-9742-446B-9494-5D13B7CFE3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E0BA9FA5-7EB1-496C-A7E1-2BA3D5D476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E3A46A7C-84C1-4AED-BBD8-5415843031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0E4B5B31-4C13-4643-A98E-9ECF179B7C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CF50B2E3-819E-4ABB-8AE8-2CFB9B683A1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259E0AAA-B9A6-4116-858D-A65E0907058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26054C44-8AA3-4640-BE12-7FFF8779078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87B61D99-018B-466D-8EBA-F2062ABA92F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6F7928FC-CB32-41A7-A004-DECD8E3B9C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06DAB50-022B-4E30-826E-E31705325D1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BC2D851-C3CF-49B1-9A6D-B712E73B53B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505C3DDC-AAFF-43B0-A6B6-53AF7612B9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B1364D1B-DC72-4C83-8941-D8DEBEFD450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C7578595-9B6C-43BA-8D48-10CC38CB33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C3EAEFBB-C09D-4BD3-9411-322AAB48A3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4B30A317-19CB-47EF-87C5-27BDE8EF3B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DC24A0DA-C059-42AF-B027-6F590F5BA58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BB20176F-F234-4434-A56B-04890F230BE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CD7BF1A4-6EF9-460A-9850-A8CAC0A8BE8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114367CF-B06A-4CE3-A9F6-93703B3F8B8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8FF7B28C-CA6D-4560-B886-6C2D8CA1A4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002D1A5-F37E-4820-A378-D1F70FC1B9F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EBE351E-08B7-46E4-BEB0-AEE02F2412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A2B6D39-EF2F-42E4-BAE6-FFB56CD259E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9904B0-45F8-4FDE-B85F-0704A68AA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1" name="Picture 4" descr="VIAGS xanh">
          <a:extLst>
            <a:ext uri="{FF2B5EF4-FFF2-40B4-BE49-F238E27FC236}">
              <a16:creationId xmlns:a16="http://schemas.microsoft.com/office/drawing/2014/main" id="{74F7690C-7D40-4EE9-BE2C-D3AEE3B9A24B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309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660D4157-25DB-41E6-9CA9-9395D1B61D1B}"/>
            </a:ext>
            <a:ext uri="{147F2762-F138-4A5C-976F-8EAC2B608ADB}">
              <a16:predDERef xmlns:a16="http://schemas.microsoft.com/office/drawing/2014/main" pred="{A2F558C5-C486-4092-9A46-725AA579712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7">
          <a:extLst>
            <a:ext uri="{FF2B5EF4-FFF2-40B4-BE49-F238E27FC236}">
              <a16:creationId xmlns:a16="http://schemas.microsoft.com/office/drawing/2014/main" id="{553CD003-0152-4F56-B991-0D780ED4F246}"/>
            </a:ext>
            <a:ext uri="{147F2762-F138-4A5C-976F-8EAC2B608ADB}">
              <a16:predDERef xmlns:a16="http://schemas.microsoft.com/office/drawing/2014/main" pred="{660D4157-25DB-41E6-9CA9-9395D1B61D1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DA78552A-48A9-49E1-81F7-43923D843EBF}"/>
            </a:ext>
            <a:ext uri="{147F2762-F138-4A5C-976F-8EAC2B608ADB}">
              <a16:predDERef xmlns:a16="http://schemas.microsoft.com/office/drawing/2014/main" pred="{553CD003-0152-4F56-B991-0D780ED4F24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4">
          <a:extLst>
            <a:ext uri="{FF2B5EF4-FFF2-40B4-BE49-F238E27FC236}">
              <a16:creationId xmlns:a16="http://schemas.microsoft.com/office/drawing/2014/main" id="{237F3C0C-E525-4D63-B0DC-79AA60D43D18}"/>
            </a:ext>
            <a:ext uri="{147F2762-F138-4A5C-976F-8EAC2B608ADB}">
              <a16:predDERef xmlns:a16="http://schemas.microsoft.com/office/drawing/2014/main" pred="{DA78552A-48A9-49E1-81F7-43923D843EB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7">
          <a:extLst>
            <a:ext uri="{FF2B5EF4-FFF2-40B4-BE49-F238E27FC236}">
              <a16:creationId xmlns:a16="http://schemas.microsoft.com/office/drawing/2014/main" id="{155726CE-BA28-4D38-83C5-D5EA20C7072A}"/>
            </a:ext>
            <a:ext uri="{147F2762-F138-4A5C-976F-8EAC2B608ADB}">
              <a16:predDERef xmlns:a16="http://schemas.microsoft.com/office/drawing/2014/main" pred="{237F3C0C-E525-4D63-B0DC-79AA60D43D1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8">
          <a:extLst>
            <a:ext uri="{FF2B5EF4-FFF2-40B4-BE49-F238E27FC236}">
              <a16:creationId xmlns:a16="http://schemas.microsoft.com/office/drawing/2014/main" id="{D16DAA47-6790-40FF-BD8F-6AAA1866D7F9}"/>
            </a:ext>
            <a:ext uri="{147F2762-F138-4A5C-976F-8EAC2B608ADB}">
              <a16:predDERef xmlns:a16="http://schemas.microsoft.com/office/drawing/2014/main" pred="{155726CE-BA28-4D38-83C5-D5EA20C7072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4">
          <a:extLst>
            <a:ext uri="{FF2B5EF4-FFF2-40B4-BE49-F238E27FC236}">
              <a16:creationId xmlns:a16="http://schemas.microsoft.com/office/drawing/2014/main" id="{7BAD99C5-BAD8-44CC-86B8-5BF074825AB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7">
          <a:extLst>
            <a:ext uri="{FF2B5EF4-FFF2-40B4-BE49-F238E27FC236}">
              <a16:creationId xmlns:a16="http://schemas.microsoft.com/office/drawing/2014/main" id="{27A77855-D240-4229-82A2-7CF361E7104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8">
          <a:extLst>
            <a:ext uri="{FF2B5EF4-FFF2-40B4-BE49-F238E27FC236}">
              <a16:creationId xmlns:a16="http://schemas.microsoft.com/office/drawing/2014/main" id="{62185E07-3CEA-4EA2-9442-FD3F17FB1D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F9C031C-3936-4B44-A860-0F809A5DCD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7">
          <a:extLst>
            <a:ext uri="{FF2B5EF4-FFF2-40B4-BE49-F238E27FC236}">
              <a16:creationId xmlns:a16="http://schemas.microsoft.com/office/drawing/2014/main" id="{24E96C49-B49B-4791-9733-4C37B9BC2B2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8">
          <a:extLst>
            <a:ext uri="{FF2B5EF4-FFF2-40B4-BE49-F238E27FC236}">
              <a16:creationId xmlns:a16="http://schemas.microsoft.com/office/drawing/2014/main" id="{9FF4EC38-00E8-4E59-B072-90D2DB305BC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66135D8E-6E0A-46EB-B114-AD64E707101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7">
          <a:extLst>
            <a:ext uri="{FF2B5EF4-FFF2-40B4-BE49-F238E27FC236}">
              <a16:creationId xmlns:a16="http://schemas.microsoft.com/office/drawing/2014/main" id="{C88215B5-7336-4D99-A5E6-94ECBD8F439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8">
          <a:extLst>
            <a:ext uri="{FF2B5EF4-FFF2-40B4-BE49-F238E27FC236}">
              <a16:creationId xmlns:a16="http://schemas.microsoft.com/office/drawing/2014/main" id="{646EBB4A-81A8-41A2-86F0-2EC9598EDD3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4">
          <a:extLst>
            <a:ext uri="{FF2B5EF4-FFF2-40B4-BE49-F238E27FC236}">
              <a16:creationId xmlns:a16="http://schemas.microsoft.com/office/drawing/2014/main" id="{0342B034-B17B-489B-A83D-9E0ADC14C1D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438B77BC-339F-4933-ADDD-D7B9DD8328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8925140F-DF20-4AC0-AE3B-703B5FC53DA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4">
          <a:extLst>
            <a:ext uri="{FF2B5EF4-FFF2-40B4-BE49-F238E27FC236}">
              <a16:creationId xmlns:a16="http://schemas.microsoft.com/office/drawing/2014/main" id="{1A8ECB98-3C1B-4A03-8A07-7A751278EEC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7">
          <a:extLst>
            <a:ext uri="{FF2B5EF4-FFF2-40B4-BE49-F238E27FC236}">
              <a16:creationId xmlns:a16="http://schemas.microsoft.com/office/drawing/2014/main" id="{9D4B866A-84CE-4BF6-BA68-726FD9F132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8">
          <a:extLst>
            <a:ext uri="{FF2B5EF4-FFF2-40B4-BE49-F238E27FC236}">
              <a16:creationId xmlns:a16="http://schemas.microsoft.com/office/drawing/2014/main" id="{37F0FB77-EDA3-4770-9398-F13AF74BDAC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72EA53C-2E11-484B-A998-B4C285747A2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BBDFCD3-EF1A-48B8-9357-56F6CF8175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E294663-104B-4C8C-A695-FEAB3ED672F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CB3EF908-A675-430B-8C39-26E27238D13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4A10EF55-4658-425B-A8D4-C2B024427C4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3A5DA801-9EA5-42B3-92FD-5A912AC8DC5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4">
          <a:extLst>
            <a:ext uri="{FF2B5EF4-FFF2-40B4-BE49-F238E27FC236}">
              <a16:creationId xmlns:a16="http://schemas.microsoft.com/office/drawing/2014/main" id="{1DE09DB6-8A53-4C1E-A416-2CB68D73B7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7">
          <a:extLst>
            <a:ext uri="{FF2B5EF4-FFF2-40B4-BE49-F238E27FC236}">
              <a16:creationId xmlns:a16="http://schemas.microsoft.com/office/drawing/2014/main" id="{9A9D24A0-5FBB-42E6-A505-DC848997F8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8">
          <a:extLst>
            <a:ext uri="{FF2B5EF4-FFF2-40B4-BE49-F238E27FC236}">
              <a16:creationId xmlns:a16="http://schemas.microsoft.com/office/drawing/2014/main" id="{F43898C5-6549-43BF-99CC-89CBF104E72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4">
          <a:extLst>
            <a:ext uri="{FF2B5EF4-FFF2-40B4-BE49-F238E27FC236}">
              <a16:creationId xmlns:a16="http://schemas.microsoft.com/office/drawing/2014/main" id="{43FB991F-685A-4A30-914A-C66BF948F84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7">
          <a:extLst>
            <a:ext uri="{FF2B5EF4-FFF2-40B4-BE49-F238E27FC236}">
              <a16:creationId xmlns:a16="http://schemas.microsoft.com/office/drawing/2014/main" id="{31C0840B-D1DB-4201-B2FF-FE072DFAE9C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8">
          <a:extLst>
            <a:ext uri="{FF2B5EF4-FFF2-40B4-BE49-F238E27FC236}">
              <a16:creationId xmlns:a16="http://schemas.microsoft.com/office/drawing/2014/main" id="{DDFB1FA6-A71C-4A96-A038-0B6A1FB84EE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5950722-9CB3-42A3-9279-6764F7327A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F5761C85-BC4B-47C3-8209-8E5F8D5E7EC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9652A64-DC74-4DE3-B281-5E3BF41DCF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/>
      </xdr:nvSpPr>
      <xdr:spPr>
        <a:xfrm>
          <a:off x="124015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15</xdr:col>
      <xdr:colOff>0</xdr:colOff>
      <xdr:row>6</xdr:row>
      <xdr:rowOff>188301</xdr:rowOff>
    </xdr:from>
    <xdr:ext cx="20782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124015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124015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124015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00000000-0008-0000-0A00-00000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00000000-0008-0000-0A00-00000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00000000-0008-0000-0A00-00000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00000000-0008-0000-0A00-00000D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00000000-0008-0000-0A00-00000E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00000000-0008-0000-0A00-00000F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8F7011-5179-4AB2-B29F-7649644EEBAA}"/>
            </a:ext>
            <a:ext uri="{147F2762-F138-4A5C-976F-8EAC2B608ADB}">
              <a16:predDERef xmlns:a16="http://schemas.microsoft.com/office/drawing/2014/main" pred="{00000000-0008-0000-0A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5" name="Picture 4" descr="VIAGS xanh">
          <a:extLst>
            <a:ext uri="{FF2B5EF4-FFF2-40B4-BE49-F238E27FC236}">
              <a16:creationId xmlns:a16="http://schemas.microsoft.com/office/drawing/2014/main" id="{AB9C12E6-03B9-4763-BB31-4C0EBB38581B}"/>
            </a:ext>
            <a:ext uri="{147F2762-F138-4A5C-976F-8EAC2B608ADB}">
              <a16:predDERef xmlns:a16="http://schemas.microsoft.com/office/drawing/2014/main" pred="{708F7011-5179-4AB2-B29F-7649644EE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4">
          <a:extLst>
            <a:ext uri="{FF2B5EF4-FFF2-40B4-BE49-F238E27FC236}">
              <a16:creationId xmlns:a16="http://schemas.microsoft.com/office/drawing/2014/main" id="{B5818495-AACF-4942-BD99-DD385D67D8B6}"/>
            </a:ext>
            <a:ext uri="{147F2762-F138-4A5C-976F-8EAC2B608ADB}">
              <a16:predDERef xmlns:a16="http://schemas.microsoft.com/office/drawing/2014/main" pred="{E36C4FC7-093E-4853-8B81-1D0F4A6EB3D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7">
          <a:extLst>
            <a:ext uri="{FF2B5EF4-FFF2-40B4-BE49-F238E27FC236}">
              <a16:creationId xmlns:a16="http://schemas.microsoft.com/office/drawing/2014/main" id="{3E594E60-6358-4C98-BDE7-6A1E31A9AB18}"/>
            </a:ext>
            <a:ext uri="{147F2762-F138-4A5C-976F-8EAC2B608ADB}">
              <a16:predDERef xmlns:a16="http://schemas.microsoft.com/office/drawing/2014/main" pred="{B5818495-AACF-4942-BD99-DD385D67D8B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8">
          <a:extLst>
            <a:ext uri="{FF2B5EF4-FFF2-40B4-BE49-F238E27FC236}">
              <a16:creationId xmlns:a16="http://schemas.microsoft.com/office/drawing/2014/main" id="{A7644466-8FA7-465B-B145-6EE3925022B6}"/>
            </a:ext>
            <a:ext uri="{147F2762-F138-4A5C-976F-8EAC2B608ADB}">
              <a16:predDERef xmlns:a16="http://schemas.microsoft.com/office/drawing/2014/main" pred="{3E594E60-6358-4C98-BDE7-6A1E31A9AB1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BE6242CF-D844-490D-A170-BA460804D83B}"/>
            </a:ext>
            <a:ext uri="{147F2762-F138-4A5C-976F-8EAC2B608ADB}">
              <a16:predDERef xmlns:a16="http://schemas.microsoft.com/office/drawing/2014/main" pred="{A7644466-8FA7-465B-B145-6EE3925022B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7FAECFD8-463E-49ED-BB6A-2D7E08184552}"/>
            </a:ext>
            <a:ext uri="{147F2762-F138-4A5C-976F-8EAC2B608ADB}">
              <a16:predDERef xmlns:a16="http://schemas.microsoft.com/office/drawing/2014/main" pred="{BE6242CF-D844-490D-A170-BA460804D83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E74F41DF-6083-4D5F-BCC1-15DC439B1A44}"/>
            </a:ext>
            <a:ext uri="{147F2762-F138-4A5C-976F-8EAC2B608ADB}">
              <a16:predDERef xmlns:a16="http://schemas.microsoft.com/office/drawing/2014/main" pred="{7FAECFD8-463E-49ED-BB6A-2D7E0818455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11369854-CAF3-4971-868F-DF3D20A421F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856F59F9-86A0-47F3-BAA8-F5691A92C1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E64A0CD4-F885-4857-B717-8BB7F40F704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D24E7AD2-517F-4817-911B-DF2CCC493F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B5D50395-04F1-4EE6-9BCD-04537727F52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7955C4A2-AE92-403E-A30A-6DC7958B9E0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C1E5D321-DB8B-44CC-A010-2EDD886019F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7CB7A9EF-9B37-4151-A5B2-4B0FD1F47C1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C89B5159-969C-4511-A1AB-296EAA7BD72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16BDB14-D4A4-4350-8307-0C60CFBCE25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6995E7F7-2C3E-495B-8C02-89060FB7486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D25F57E7-78FF-429E-B586-68A6E1FFD3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F5977797-F514-41A1-8CBD-3902F9739D1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4C1C0D83-7FD4-49B2-A6FA-46576F9856E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8D5E0954-9E0C-4A50-B6DD-3F87AB6EC9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1DA5B9F4-8C06-4EBB-AFAF-7207D0337CA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85168DFC-7F4B-4D81-AD23-E975E38796E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CAFB0181-E85B-45D2-9AB2-1FD7C523AB1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2045C673-BF92-494C-BA87-AFECB536F7A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32336389-C60D-44C6-9202-D8871770277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DA2D60A7-E2A9-4C8F-9E1E-C00A6BDCE2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22818A47-AD21-4D2F-892E-ECF0F95364F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C130B3B-6D9D-4989-8ED5-9E3A66CAB40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3D1F07A-0574-4EB6-8165-1FAC762B0E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8327900D-B8AF-4D33-99D2-64CA6EBF13C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1BB18D2E-4435-4302-A1D5-AA8B8C95AA6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360A47A9-B27F-495E-9E01-CC0E64B5E3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B8E57FD3-629E-4D2C-8D59-802A62EA0E0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FDE585C2-91DF-40AA-9530-3D0FD4BAE27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039F6D5B-6BAB-4AD2-90AF-0151EDDF3D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8B973ECC-85F1-423A-8159-00060B7CF94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5342D26E-42A6-4EB8-890A-6D3C0551CC5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BB93B229-F8E1-410A-8170-CD4A3A14576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CDCBE5DA-C960-4ECF-B2C6-F00F4FF7761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B0D208A5-5F19-4284-B531-CD101CB001F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38F52418-202A-4FD0-8BC5-5DF25F848A6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180975</xdr:rowOff>
    </xdr:from>
    <xdr:to>
      <xdr:col>8</xdr:col>
      <xdr:colOff>876300</xdr:colOff>
      <xdr:row>4</xdr:row>
      <xdr:rowOff>57150</xdr:rowOff>
    </xdr:to>
    <xdr:pic>
      <xdr:nvPicPr>
        <xdr:cNvPr id="28" name="Picture 4" descr="VIAGS xanh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285750"/>
          <a:ext cx="17716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00000000-0008-0000-0B00-000010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00000000-0008-0000-0B00-000011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00000000-0008-0000-0B00-000012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00000000-0008-0000-0B00-000013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00000000-0008-0000-0B00-000014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00000000-0008-0000-0B00-000015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6A5641-D44B-453E-8D89-9A8E0D0FDB16}"/>
            </a:ext>
            <a:ext uri="{147F2762-F138-4A5C-976F-8EAC2B608ADB}">
              <a16:predDERef xmlns:a16="http://schemas.microsoft.com/office/drawing/2014/main" pred="{00000000-0008-0000-0B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2A2FE373-A973-4795-945C-21D7CD4CDC72}"/>
            </a:ext>
            <a:ext uri="{147F2762-F138-4A5C-976F-8EAC2B608ADB}">
              <a16:predDERef xmlns:a16="http://schemas.microsoft.com/office/drawing/2014/main" pred="{C0F6E7F5-9A87-490D-80F0-67C75758427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5400BDFA-5A7F-438E-9C64-75DD4A3CE62E}"/>
            </a:ext>
            <a:ext uri="{147F2762-F138-4A5C-976F-8EAC2B608ADB}">
              <a16:predDERef xmlns:a16="http://schemas.microsoft.com/office/drawing/2014/main" pred="{2A2FE373-A973-4795-945C-21D7CD4CDC7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7E2C04AB-6420-491B-872A-5BB911BBFA67}"/>
            </a:ext>
            <a:ext uri="{147F2762-F138-4A5C-976F-8EAC2B608ADB}">
              <a16:predDERef xmlns:a16="http://schemas.microsoft.com/office/drawing/2014/main" pred="{5400BDFA-5A7F-438E-9C64-75DD4A3CE62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912015EA-A757-4D5E-98B1-ED28E7D8056F}"/>
            </a:ext>
            <a:ext uri="{147F2762-F138-4A5C-976F-8EAC2B608ADB}">
              <a16:predDERef xmlns:a16="http://schemas.microsoft.com/office/drawing/2014/main" pred="{7E2C04AB-6420-491B-872A-5BB911BBFA6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D9EA2A21-6E02-4D2D-865E-1AE844CB5FDD}"/>
            </a:ext>
            <a:ext uri="{147F2762-F138-4A5C-976F-8EAC2B608ADB}">
              <a16:predDERef xmlns:a16="http://schemas.microsoft.com/office/drawing/2014/main" pred="{912015EA-A757-4D5E-98B1-ED28E7D8056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350ED2CD-DADA-4B68-A1BD-64BDFE8B9519}"/>
            </a:ext>
            <a:ext uri="{147F2762-F138-4A5C-976F-8EAC2B608ADB}">
              <a16:predDERef xmlns:a16="http://schemas.microsoft.com/office/drawing/2014/main" pred="{D9EA2A21-6E02-4D2D-865E-1AE844CB5FD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E0D61496-0A46-48D0-84A6-143586850F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0637352F-737B-40C2-9999-95C0359837A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623D43BC-438F-4FFB-82C3-0BA065624ED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4">
          <a:extLst>
            <a:ext uri="{FF2B5EF4-FFF2-40B4-BE49-F238E27FC236}">
              <a16:creationId xmlns:a16="http://schemas.microsoft.com/office/drawing/2014/main" id="{3B822014-9AFC-4794-8C42-567B548FD8A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7">
          <a:extLst>
            <a:ext uri="{FF2B5EF4-FFF2-40B4-BE49-F238E27FC236}">
              <a16:creationId xmlns:a16="http://schemas.microsoft.com/office/drawing/2014/main" id="{3629074D-BA66-465B-9314-41E7B8959B7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8">
          <a:extLst>
            <a:ext uri="{FF2B5EF4-FFF2-40B4-BE49-F238E27FC236}">
              <a16:creationId xmlns:a16="http://schemas.microsoft.com/office/drawing/2014/main" id="{7E4C9085-B775-42C2-8EF7-C347B8CE12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E1E35288-BBD9-41E3-923A-21429A3EBB7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3C7D346E-04C4-45F1-AB9D-98CB6DBA6D4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E55101DD-2161-4BE7-A71A-1B4A473110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4C3F4F2-1033-4D26-941B-FCDFAAA97B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7">
          <a:extLst>
            <a:ext uri="{FF2B5EF4-FFF2-40B4-BE49-F238E27FC236}">
              <a16:creationId xmlns:a16="http://schemas.microsoft.com/office/drawing/2014/main" id="{462E41F4-9459-4D92-B6DD-F0DC922997F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8">
          <a:extLst>
            <a:ext uri="{FF2B5EF4-FFF2-40B4-BE49-F238E27FC236}">
              <a16:creationId xmlns:a16="http://schemas.microsoft.com/office/drawing/2014/main" id="{AF3FE4B7-0057-4727-85ED-DCBAF0A5915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">
          <a:extLst>
            <a:ext uri="{FF2B5EF4-FFF2-40B4-BE49-F238E27FC236}">
              <a16:creationId xmlns:a16="http://schemas.microsoft.com/office/drawing/2014/main" id="{61CF0ECD-1EB8-4754-92ED-CF494AB0B6F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7">
          <a:extLst>
            <a:ext uri="{FF2B5EF4-FFF2-40B4-BE49-F238E27FC236}">
              <a16:creationId xmlns:a16="http://schemas.microsoft.com/office/drawing/2014/main" id="{FFD8F27D-1766-4341-B7C3-1B91B5C3765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8">
          <a:extLst>
            <a:ext uri="{FF2B5EF4-FFF2-40B4-BE49-F238E27FC236}">
              <a16:creationId xmlns:a16="http://schemas.microsoft.com/office/drawing/2014/main" id="{786D97AB-F122-4E13-A322-CCF17D51257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">
          <a:extLst>
            <a:ext uri="{FF2B5EF4-FFF2-40B4-BE49-F238E27FC236}">
              <a16:creationId xmlns:a16="http://schemas.microsoft.com/office/drawing/2014/main" id="{A364DD0B-531B-4CBC-8A1B-5350D0DFA5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7">
          <a:extLst>
            <a:ext uri="{FF2B5EF4-FFF2-40B4-BE49-F238E27FC236}">
              <a16:creationId xmlns:a16="http://schemas.microsoft.com/office/drawing/2014/main" id="{15D22617-F7C6-4228-8FFF-A953F74F55D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8">
          <a:extLst>
            <a:ext uri="{FF2B5EF4-FFF2-40B4-BE49-F238E27FC236}">
              <a16:creationId xmlns:a16="http://schemas.microsoft.com/office/drawing/2014/main" id="{C32453B0-F870-4E76-94B2-E28409384F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">
          <a:extLst>
            <a:ext uri="{FF2B5EF4-FFF2-40B4-BE49-F238E27FC236}">
              <a16:creationId xmlns:a16="http://schemas.microsoft.com/office/drawing/2014/main" id="{ED9FDFFB-EB79-405D-A16A-159174B05FF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7">
          <a:extLst>
            <a:ext uri="{FF2B5EF4-FFF2-40B4-BE49-F238E27FC236}">
              <a16:creationId xmlns:a16="http://schemas.microsoft.com/office/drawing/2014/main" id="{DC62E1C4-2C37-4B23-8BE5-E4DB2521AB5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8">
          <a:extLst>
            <a:ext uri="{FF2B5EF4-FFF2-40B4-BE49-F238E27FC236}">
              <a16:creationId xmlns:a16="http://schemas.microsoft.com/office/drawing/2014/main" id="{40473C65-86A1-491F-89C1-F4CCC87640A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47CD717-A85F-4821-8C88-D6119FF9C5E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A4B960EF-4618-440A-AB8A-EF430E7BB4C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54444693-7532-46C6-8484-66F148B26E3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4">
          <a:extLst>
            <a:ext uri="{FF2B5EF4-FFF2-40B4-BE49-F238E27FC236}">
              <a16:creationId xmlns:a16="http://schemas.microsoft.com/office/drawing/2014/main" id="{51834CA4-C053-4C7D-A449-5B4236F2192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7">
          <a:extLst>
            <a:ext uri="{FF2B5EF4-FFF2-40B4-BE49-F238E27FC236}">
              <a16:creationId xmlns:a16="http://schemas.microsoft.com/office/drawing/2014/main" id="{F78E7124-2FE8-44B9-B89E-277C060C2CF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8">
          <a:extLst>
            <a:ext uri="{FF2B5EF4-FFF2-40B4-BE49-F238E27FC236}">
              <a16:creationId xmlns:a16="http://schemas.microsoft.com/office/drawing/2014/main" id="{7D8CFAB4-8DE2-48B2-9DDA-CFBEADB32C8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4">
          <a:extLst>
            <a:ext uri="{FF2B5EF4-FFF2-40B4-BE49-F238E27FC236}">
              <a16:creationId xmlns:a16="http://schemas.microsoft.com/office/drawing/2014/main" id="{AA7C5219-7A02-4C77-888C-B5D255B1FD5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7">
          <a:extLst>
            <a:ext uri="{FF2B5EF4-FFF2-40B4-BE49-F238E27FC236}">
              <a16:creationId xmlns:a16="http://schemas.microsoft.com/office/drawing/2014/main" id="{E1E8915C-2509-4CAC-B5E1-D3BD5110F98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8">
          <a:extLst>
            <a:ext uri="{FF2B5EF4-FFF2-40B4-BE49-F238E27FC236}">
              <a16:creationId xmlns:a16="http://schemas.microsoft.com/office/drawing/2014/main" id="{62A1F2CD-7D61-4416-A2AA-E3EEAB9A4D7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4">
          <a:extLst>
            <a:ext uri="{FF2B5EF4-FFF2-40B4-BE49-F238E27FC236}">
              <a16:creationId xmlns:a16="http://schemas.microsoft.com/office/drawing/2014/main" id="{0D0192B1-EF3D-43A8-A34D-BF8D87CA3C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7">
          <a:extLst>
            <a:ext uri="{FF2B5EF4-FFF2-40B4-BE49-F238E27FC236}">
              <a16:creationId xmlns:a16="http://schemas.microsoft.com/office/drawing/2014/main" id="{21C2D4E2-06B8-4EEB-88D2-570F4A8D686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8">
          <a:extLst>
            <a:ext uri="{FF2B5EF4-FFF2-40B4-BE49-F238E27FC236}">
              <a16:creationId xmlns:a16="http://schemas.microsoft.com/office/drawing/2014/main" id="{64FE6F75-3802-4A57-A90C-C9D8644D9C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C92D4FA1-215F-457E-ACE5-94B23E55D9F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B817FCC9-F769-4804-82C7-3D2CE349F5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E3F8452C-F6E0-4866-8A5C-3B6F704C796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/>
      </xdr:nvSpPr>
      <xdr:spPr>
        <a:xfrm>
          <a:off x="124015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 txBox="1"/>
      </xdr:nvSpPr>
      <xdr:spPr>
        <a:xfrm>
          <a:off x="124015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00000000-0008-0000-0C00-000013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00000000-0008-0000-0C00-000014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00000000-0008-0000-0C00-000015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00000000-0008-0000-0C00-00001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00000000-0008-0000-0C00-000017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00000000-0008-0000-0C00-000018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568284-7F3A-4B7E-981E-16F03FA112D6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6929A3F-98CF-4D97-980C-949F55F6BE77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462279C-0F01-46B6-9AAF-67D5F1EA0972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813A85E-2F3C-473C-9BB8-8355CE19579C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6FD73A8-0BF7-46EF-B96F-91AA80E25249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42F5359-B3AB-4D30-9FA5-A7BB3F8D464E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3D97CD3-2967-4269-B5C6-9ADB52A1C055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147BE3A-ADBC-4E5E-B8D2-DAB448066FA3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E7D641E-7913-456A-B5D3-88CC31FA0047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09B2B47-8BB9-47E3-834A-8BFE0E00E2DA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FFD7442-CFC5-461C-93CA-DEE71F26167B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195C406-F29C-4A48-A3A4-1A21EA603A66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E6CE1F-6F89-4420-A11C-245AADFB70EE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D01316D-30DB-4632-8954-955E8BAD8FF4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4B48BFB-EB79-4029-8EBE-1BE3653E687F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5F6286B-589F-4F34-893F-4A02E50D8249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537A10A-1F26-40F6-A294-7DC9144006E8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1332DA6-CDFC-4283-B886-4012B93180EB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6758875-92FB-43B7-9F63-640C5F67D2C7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8B91922-CCE3-4387-85F7-8A78DA19CD26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2E80D59-BFF2-4030-95E8-1D7FE0472278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C979A11-15F7-4DE5-8D86-A7804F2958CB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9D8688E-136F-4B0B-8A72-7D000217A1E0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32CF31C-140B-4539-AA79-849E946DFD21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4B9B1D6-D0D7-4AED-ADE4-E04B9F1028F2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984BB18E-2BFC-4346-86E2-CA9FFA077983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F52E6D55-BF06-4188-B2FD-D66B4E7C7C4A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D40947E-8E13-481B-A9A2-73CA5F70E75E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44E6B20-A9F1-47E8-8612-11E0D429BFE9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B7E1EB52-5E24-4F17-B356-E4F5D0922399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847390A9-4E26-4B60-892A-3BF3091B4618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3A8B02B-EF9B-49D6-9915-35BF933845B2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8B437F05-2FA9-4462-A123-5E8F773687AE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D659DA3F-DF54-47EC-8BC9-A50C2D18EF57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8E654EF-942F-43C4-BCD2-1F885FF9378F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184B333-7531-4C0B-97E1-084C801CC901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472387BA-3206-48D1-99B7-561B293B94EA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EE64D2DB-4755-4306-9F74-404CA2765AFB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6D074039-F4A7-4525-B098-B267B4142FCA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2284C73-F7EF-4F73-B10D-6D3582356E9C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E2AC0ED3-1342-4583-878B-B78BC7236032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AC16478-B671-4934-BD33-7BAAB7C191A4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E8C77901-031E-49C9-8908-3D481DB1C8EB}"/>
            </a:ext>
          </a:extLst>
        </xdr:cNvPr>
        <xdr:cNvSpPr txBox="1"/>
      </xdr:nvSpPr>
      <xdr:spPr>
        <a:xfrm>
          <a:off x="12534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CED0A8AB-5249-4387-B95B-04EE9C27AE2B}"/>
            </a:ext>
          </a:extLst>
        </xdr:cNvPr>
        <xdr:cNvSpPr txBox="1"/>
      </xdr:nvSpPr>
      <xdr:spPr>
        <a:xfrm>
          <a:off x="12534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3AA798F1-0010-4244-B59D-13CFA5EAAD03}"/>
            </a:ext>
          </a:extLst>
        </xdr:cNvPr>
        <xdr:cNvSpPr txBox="1"/>
      </xdr:nvSpPr>
      <xdr:spPr>
        <a:xfrm>
          <a:off x="12534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58D8145-D9E9-481F-ACB1-00877548B9B6}"/>
            </a:ext>
          </a:extLst>
        </xdr:cNvPr>
        <xdr:cNvSpPr txBox="1"/>
      </xdr:nvSpPr>
      <xdr:spPr>
        <a:xfrm>
          <a:off x="12534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CE7151C-86D8-49AF-8503-787063AD1149}"/>
            </a:ext>
          </a:extLst>
        </xdr:cNvPr>
        <xdr:cNvSpPr txBox="1"/>
      </xdr:nvSpPr>
      <xdr:spPr>
        <a:xfrm>
          <a:off x="12534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65EBA100-2C26-46DC-ABE3-5B5A64E1A975}"/>
            </a:ext>
          </a:extLst>
        </xdr:cNvPr>
        <xdr:cNvSpPr txBox="1"/>
      </xdr:nvSpPr>
      <xdr:spPr>
        <a:xfrm>
          <a:off x="12534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74913F6-9BFE-482B-B558-E5571A093BB6}"/>
            </a:ext>
          </a:extLst>
        </xdr:cNvPr>
        <xdr:cNvSpPr txBox="1"/>
      </xdr:nvSpPr>
      <xdr:spPr>
        <a:xfrm>
          <a:off x="12534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34C5A7D3-95FA-4A5A-A665-79739D436254}"/>
            </a:ext>
          </a:extLst>
        </xdr:cNvPr>
        <xdr:cNvSpPr txBox="1"/>
      </xdr:nvSpPr>
      <xdr:spPr>
        <a:xfrm>
          <a:off x="12534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66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224716-5E65-4136-89A5-BCB0ACD5D491}"/>
            </a:ext>
            <a:ext uri="{147F2762-F138-4A5C-976F-8EAC2B608ADB}">
              <a16:predDERef xmlns:a16="http://schemas.microsoft.com/office/drawing/2014/main" pred="{34C5A7D3-95FA-4A5A-A665-79739D436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74" name="Picture 4" descr="VIAGS xanh">
          <a:extLst>
            <a:ext uri="{FF2B5EF4-FFF2-40B4-BE49-F238E27FC236}">
              <a16:creationId xmlns:a16="http://schemas.microsoft.com/office/drawing/2014/main" id="{4755B1F6-0FDD-4EF4-92D7-3F57F510ABD9}"/>
            </a:ext>
            <a:ext uri="{147F2762-F138-4A5C-976F-8EAC2B608ADB}">
              <a16:predDERef xmlns:a16="http://schemas.microsoft.com/office/drawing/2014/main" pred="{12224716-5E65-4136-89A5-BCB0ACD5D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4">
          <a:extLst>
            <a:ext uri="{FF2B5EF4-FFF2-40B4-BE49-F238E27FC236}">
              <a16:creationId xmlns:a16="http://schemas.microsoft.com/office/drawing/2014/main" id="{E2344F5A-4DDE-478B-A073-E22889F2B055}"/>
            </a:ext>
            <a:ext uri="{147F2762-F138-4A5C-976F-8EAC2B608ADB}">
              <a16:predDERef xmlns:a16="http://schemas.microsoft.com/office/drawing/2014/main" pred="{25CADE1A-3EFD-45E3-8971-E414DB9B2ED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">
          <a:extLst>
            <a:ext uri="{FF2B5EF4-FFF2-40B4-BE49-F238E27FC236}">
              <a16:creationId xmlns:a16="http://schemas.microsoft.com/office/drawing/2014/main" id="{C89D9ED2-68CC-4E72-ABD6-2313626FB2F5}"/>
            </a:ext>
            <a:ext uri="{147F2762-F138-4A5C-976F-8EAC2B608ADB}">
              <a16:predDERef xmlns:a16="http://schemas.microsoft.com/office/drawing/2014/main" pred="{E2344F5A-4DDE-478B-A073-E22889F2B05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8">
          <a:extLst>
            <a:ext uri="{FF2B5EF4-FFF2-40B4-BE49-F238E27FC236}">
              <a16:creationId xmlns:a16="http://schemas.microsoft.com/office/drawing/2014/main" id="{47AAF525-456D-436E-AC26-B6713F5D3C2E}"/>
            </a:ext>
            <a:ext uri="{147F2762-F138-4A5C-976F-8EAC2B608ADB}">
              <a16:predDERef xmlns:a16="http://schemas.microsoft.com/office/drawing/2014/main" pred="{C89D9ED2-68CC-4E72-ABD6-2313626FB2F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4">
          <a:extLst>
            <a:ext uri="{FF2B5EF4-FFF2-40B4-BE49-F238E27FC236}">
              <a16:creationId xmlns:a16="http://schemas.microsoft.com/office/drawing/2014/main" id="{57E71131-3055-4A7C-97B1-93059F50F693}"/>
            </a:ext>
            <a:ext uri="{147F2762-F138-4A5C-976F-8EAC2B608ADB}">
              <a16:predDERef xmlns:a16="http://schemas.microsoft.com/office/drawing/2014/main" pred="{47AAF525-456D-436E-AC26-B6713F5D3C2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">
          <a:extLst>
            <a:ext uri="{FF2B5EF4-FFF2-40B4-BE49-F238E27FC236}">
              <a16:creationId xmlns:a16="http://schemas.microsoft.com/office/drawing/2014/main" id="{834F0246-7893-4B18-BF8F-EA779AC09B42}"/>
            </a:ext>
            <a:ext uri="{147F2762-F138-4A5C-976F-8EAC2B608ADB}">
              <a16:predDERef xmlns:a16="http://schemas.microsoft.com/office/drawing/2014/main" pred="{57E71131-3055-4A7C-97B1-93059F50F69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">
          <a:extLst>
            <a:ext uri="{FF2B5EF4-FFF2-40B4-BE49-F238E27FC236}">
              <a16:creationId xmlns:a16="http://schemas.microsoft.com/office/drawing/2014/main" id="{E74D7D01-705B-4F5C-8EE1-986D22D8F7DF}"/>
            </a:ext>
            <a:ext uri="{147F2762-F138-4A5C-976F-8EAC2B608ADB}">
              <a16:predDERef xmlns:a16="http://schemas.microsoft.com/office/drawing/2014/main" pred="{834F0246-7893-4B18-BF8F-EA779AC09B4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1CD58940-8647-4D6C-86EE-B366F11E6E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01BFDEBF-0152-4B56-8604-1A6F03E6A4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045D712B-C433-4594-8E67-A2DAA62E37E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4">
          <a:extLst>
            <a:ext uri="{FF2B5EF4-FFF2-40B4-BE49-F238E27FC236}">
              <a16:creationId xmlns:a16="http://schemas.microsoft.com/office/drawing/2014/main" id="{4B0DD4F8-535D-4EC5-A809-DC92D6B577F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7">
          <a:extLst>
            <a:ext uri="{FF2B5EF4-FFF2-40B4-BE49-F238E27FC236}">
              <a16:creationId xmlns:a16="http://schemas.microsoft.com/office/drawing/2014/main" id="{E588265D-F052-44C7-A6F7-CEFA164FE1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">
          <a:extLst>
            <a:ext uri="{FF2B5EF4-FFF2-40B4-BE49-F238E27FC236}">
              <a16:creationId xmlns:a16="http://schemas.microsoft.com/office/drawing/2014/main" id="{F78B13C8-DA36-40CA-96D4-48FAB7B342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2A8CE72E-EA19-42E2-BD61-E9EE14681DD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7">
          <a:extLst>
            <a:ext uri="{FF2B5EF4-FFF2-40B4-BE49-F238E27FC236}">
              <a16:creationId xmlns:a16="http://schemas.microsoft.com/office/drawing/2014/main" id="{BBEB2B3A-AA01-4322-A045-0E923EFDE51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8">
          <a:extLst>
            <a:ext uri="{FF2B5EF4-FFF2-40B4-BE49-F238E27FC236}">
              <a16:creationId xmlns:a16="http://schemas.microsoft.com/office/drawing/2014/main" id="{07291AC8-19DE-4F38-AF43-07EAAF58751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2B3CFFAD-2AE7-417E-88A9-04AF0D5DCF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7">
          <a:extLst>
            <a:ext uri="{FF2B5EF4-FFF2-40B4-BE49-F238E27FC236}">
              <a16:creationId xmlns:a16="http://schemas.microsoft.com/office/drawing/2014/main" id="{C64209B4-0EF7-449F-9762-C2464CFC5D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8">
          <a:extLst>
            <a:ext uri="{FF2B5EF4-FFF2-40B4-BE49-F238E27FC236}">
              <a16:creationId xmlns:a16="http://schemas.microsoft.com/office/drawing/2014/main" id="{BB371943-AD0D-4A51-8151-94C5952A24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4">
          <a:extLst>
            <a:ext uri="{FF2B5EF4-FFF2-40B4-BE49-F238E27FC236}">
              <a16:creationId xmlns:a16="http://schemas.microsoft.com/office/drawing/2014/main" id="{12DD1D15-7A75-4051-AD37-68BF7BE607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7">
          <a:extLst>
            <a:ext uri="{FF2B5EF4-FFF2-40B4-BE49-F238E27FC236}">
              <a16:creationId xmlns:a16="http://schemas.microsoft.com/office/drawing/2014/main" id="{2FC6C88C-FD8C-47B9-8070-B5DA72172DF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8">
          <a:extLst>
            <a:ext uri="{FF2B5EF4-FFF2-40B4-BE49-F238E27FC236}">
              <a16:creationId xmlns:a16="http://schemas.microsoft.com/office/drawing/2014/main" id="{A3DFD378-EC7F-4B55-8E09-F1B7984D4AC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4">
          <a:extLst>
            <a:ext uri="{FF2B5EF4-FFF2-40B4-BE49-F238E27FC236}">
              <a16:creationId xmlns:a16="http://schemas.microsoft.com/office/drawing/2014/main" id="{DFBE51C4-68FB-44C3-8B07-03B812845D5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7">
          <a:extLst>
            <a:ext uri="{FF2B5EF4-FFF2-40B4-BE49-F238E27FC236}">
              <a16:creationId xmlns:a16="http://schemas.microsoft.com/office/drawing/2014/main" id="{E9F068BA-9064-41C1-B6E3-7B8E5D4F231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8">
          <a:extLst>
            <a:ext uri="{FF2B5EF4-FFF2-40B4-BE49-F238E27FC236}">
              <a16:creationId xmlns:a16="http://schemas.microsoft.com/office/drawing/2014/main" id="{CC3BEDCE-1A8C-498C-A88C-77FF2E4A5F8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4">
          <a:extLst>
            <a:ext uri="{FF2B5EF4-FFF2-40B4-BE49-F238E27FC236}">
              <a16:creationId xmlns:a16="http://schemas.microsoft.com/office/drawing/2014/main" id="{9A950313-C58F-406E-BC80-BEB4C1052D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7">
          <a:extLst>
            <a:ext uri="{FF2B5EF4-FFF2-40B4-BE49-F238E27FC236}">
              <a16:creationId xmlns:a16="http://schemas.microsoft.com/office/drawing/2014/main" id="{7EF15E95-A0A0-47B0-B85D-CA14EAE056C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8">
          <a:extLst>
            <a:ext uri="{FF2B5EF4-FFF2-40B4-BE49-F238E27FC236}">
              <a16:creationId xmlns:a16="http://schemas.microsoft.com/office/drawing/2014/main" id="{4492ADDC-502A-4915-B7DB-3803E89B3D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39273879-08E6-4972-8F60-4F5A32307B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CE80C0AA-DCE0-471E-8FFA-7667613677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9A4CD27A-A752-4DE3-B639-43683447959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4">
          <a:extLst>
            <a:ext uri="{FF2B5EF4-FFF2-40B4-BE49-F238E27FC236}">
              <a16:creationId xmlns:a16="http://schemas.microsoft.com/office/drawing/2014/main" id="{2439349F-598E-4472-992C-3D3A9E645E7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7">
          <a:extLst>
            <a:ext uri="{FF2B5EF4-FFF2-40B4-BE49-F238E27FC236}">
              <a16:creationId xmlns:a16="http://schemas.microsoft.com/office/drawing/2014/main" id="{A509BC31-F3A3-42FD-9681-4C198DF5604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8">
          <a:extLst>
            <a:ext uri="{FF2B5EF4-FFF2-40B4-BE49-F238E27FC236}">
              <a16:creationId xmlns:a16="http://schemas.microsoft.com/office/drawing/2014/main" id="{E71917DF-BC67-46D5-8210-EF13057629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4">
          <a:extLst>
            <a:ext uri="{FF2B5EF4-FFF2-40B4-BE49-F238E27FC236}">
              <a16:creationId xmlns:a16="http://schemas.microsoft.com/office/drawing/2014/main" id="{9DF41F2B-2E0C-4170-8B1C-00E91C9E6A2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7">
          <a:extLst>
            <a:ext uri="{FF2B5EF4-FFF2-40B4-BE49-F238E27FC236}">
              <a16:creationId xmlns:a16="http://schemas.microsoft.com/office/drawing/2014/main" id="{8564A2B6-9287-45C9-8CBD-80CA20A0437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8">
          <a:extLst>
            <a:ext uri="{FF2B5EF4-FFF2-40B4-BE49-F238E27FC236}">
              <a16:creationId xmlns:a16="http://schemas.microsoft.com/office/drawing/2014/main" id="{7CE0200A-AA0F-474E-8155-DD0F376A2D2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4">
          <a:extLst>
            <a:ext uri="{FF2B5EF4-FFF2-40B4-BE49-F238E27FC236}">
              <a16:creationId xmlns:a16="http://schemas.microsoft.com/office/drawing/2014/main" id="{067A5476-A086-4CD8-99E0-63AAAE38EE4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7">
          <a:extLst>
            <a:ext uri="{FF2B5EF4-FFF2-40B4-BE49-F238E27FC236}">
              <a16:creationId xmlns:a16="http://schemas.microsoft.com/office/drawing/2014/main" id="{00596710-CB7B-426D-9703-2EC1103A247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8">
          <a:extLst>
            <a:ext uri="{FF2B5EF4-FFF2-40B4-BE49-F238E27FC236}">
              <a16:creationId xmlns:a16="http://schemas.microsoft.com/office/drawing/2014/main" id="{1F7AF08A-2EEC-4406-85EF-8159A611B53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EC5E8A39-8C5C-4814-93E3-13E4E143C9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5CD395D9-5582-4C00-A424-FBE9BD9A7CC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B1B012FF-0103-410F-BF43-9D35A1EBB49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0D00-00000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0D00-00000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00000000-0008-0000-0D00-00000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00000000-0008-0000-0D00-000013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00000000-0008-0000-0D00-000014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00000000-0008-0000-0D00-000015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00000000-0008-0000-0D00-00001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00000000-0008-0000-0D00-000017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00000000-0008-0000-0D00-000018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078111-7949-432B-A131-F5F636AC3FFA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9566A05-1361-4258-AE34-7908CEDBE742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4C2EA3D-FD63-46C9-8664-7F196F19DB86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A267C0E-EE29-4A84-B5F5-95E03E52D74B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F9C696A-798E-4C73-9873-B1E905EF3399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E2DFA9D-07A4-4479-8442-A389A43442E9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B934B407-4713-4F85-AD77-CF3CA4C2121C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F959F86-4BBF-4508-BFBD-3C25043A7898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9F021459-537A-434C-8B39-517B7DF5C096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75E2250-C23F-4EC0-9120-7C51A3DA567C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71E018D-9B69-4061-AF22-690E8740D46F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C82543A-9B04-40FC-AE9D-7024799FA117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6B8B71B8-D4C0-4567-8D38-90804C89FB1B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5784A01-EC37-4D39-A6F2-415DD7B52948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99FD35B8-C2F6-42B4-B7F0-6633F4761545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6DE7F0F-CBFA-4D4F-91C5-B1174139FCEC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B374960-F924-42C0-9083-E1422E692FAB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FED0B90-7EB9-4ED6-94DB-933B68A78F07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35C551D-904F-43B1-B96B-D97AAF15D272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3FC08CEB-ECEA-4C00-8327-CC8A6936CBC0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9AB4492-BD2A-4B10-AB92-86DB33205935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2411486B-4081-42AD-A5EC-C8676A611C82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3DC0518-AF7A-4E4D-9A9C-7747DC7EDDA8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0178CE1-08EE-44A7-BE13-4610C158725A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5471051-991E-4279-89AC-2BD7FE06E671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FCC6AD5F-344E-49B9-8E79-1203B08E9702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D679B12-691E-4364-ADF1-8751EBD64575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C30DDA96-BEF0-44A3-B9D4-024440350177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DE498371-13B3-43A6-85F0-6E092884FF0A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FF7CC2C-A7DE-4D21-A388-124449703FA3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343A632F-339B-4C84-9918-30493D045152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6A9A59E-82CD-47B5-A5B1-F75D5C7997BC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1F12816C-28D8-4B39-BE7C-47037596C050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6E8AA672-2CE6-42D2-9EA2-7C1C31A257C8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5F47BB89-95D1-42A4-BA81-EFE451D1D7D3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5E170AD-C685-4234-8426-384D686F3AF7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EBA0A4D-B2AC-41A5-B979-26C5200981E6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177586A3-BE17-4122-A59A-F35B26969DE6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8892B104-4EC7-4E25-93AA-47D0A00FF15A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AA131CE-D61E-4E30-86DE-641F14BA2D43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42E79015-BC63-458C-9896-B0400623CFDC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722BFCE-0CD3-4226-B5AB-DC06A841C8B2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FE341E20-0FD3-463E-8D66-E91989734B1D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AC39CD23-B965-40B4-916C-0DE12DBCB29F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555225B5-E17B-4312-9DE2-87CAF92E8D08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5FD14450-4B98-4A58-A5CC-D85B9864A056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9159AA45-A6C4-4824-9D1C-C9626DD8535F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C394BFF0-CF3C-4F13-8DD4-64D9E4A8622A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36A25780-199F-45EC-BFCD-70D322D170F4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4E8271D2-9ED1-4A2F-817C-3F3F94435CA0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86D56DE3-5298-4494-B250-793AD5FF2B58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7082779A-46D2-4668-99C3-22671F29ADEA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E2237FEA-0348-450C-B83B-05EECA9B3947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CDB088DD-7434-40D9-9C58-CC327CC64D6C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52681C74-D8D9-4D01-BB95-E47F45090E0D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232ACFCD-1DCC-422B-93B9-28C7B453C33C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E981B56C-2F81-462C-B868-2CB2B1D18F1A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8CE86FC7-1563-4B86-8B26-8E3CCB65754D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8BA070F4-BEE6-45F1-AFB7-B467F501758B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8760197C-069A-4344-AE77-8FA665B20616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D91ADD1C-7D39-435E-BA9E-E0A02218F709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B834D73E-6352-45E4-BB53-0F3F0F72DBA6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F113624-E9E3-4635-8E7F-73B207BC827E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359B8DA8-61F1-4460-8473-2B9901DB34AF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601AEE0A-8C6D-48C4-962C-E04A85187803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AACE92C1-206F-4E8B-BE33-997804DBABA9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95B15C2B-6EE1-4D20-8CB1-06E043C15E17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46EBB07B-205C-4347-BA62-A8AF877FF63D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2FB70B68-6E10-41AD-B053-4A96713B1F7D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F80447D1-F177-442E-860C-A25261C3198A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50F43976-F0A0-4B3D-B2BC-50E921A19717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5F0CE57E-F1B8-4A7D-83E1-880DDA1E7030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80116D9-9C6B-41C9-9311-0E96CA182AF8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CBFA04AA-0AAA-4C3C-880E-0B98682BCB9C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3398B307-E2DF-4D9A-B61B-28A314CA9557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6B018272-4662-49A6-9C43-50770E4C0959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72DF7684-CFA6-474A-9CC8-EE704C3E6708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60CE587F-9F76-48B4-A445-B8A1C92C309E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5730F664-C23E-4EC1-A932-B3AD8A4A80CA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1AA9E679-C694-4673-A418-68F6D3C7D998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AA2C45F8-94FF-482E-8979-B6D36DF9F736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818EECDE-DDC0-4AB2-A4EC-3CA6EAB18FF1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26AB6959-5E1D-4C4C-A18B-8957EB647590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888E45CB-EC33-4BAD-A50C-CD39C5A46B8B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494B0612-44DD-44B4-8C07-E91926F59591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83CABAC2-54D2-4626-A783-24E92B527413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26AED19E-AD39-462C-970B-9391006B3B80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52B583F-3D7E-485D-BD90-33A1CE05DD23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806F543B-FD10-44DE-9278-5D9069E2F202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BE4E1972-2A2E-487C-9D13-7457BE9B501C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F54821BA-405D-4F13-A2A3-241F7357FDD4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B8864A10-8EC3-4D8F-AC92-BA82F640EAD1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E820CCA8-A056-4A78-8116-3CD40EC1C982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40FD3351-34BB-4E3A-867D-A3B809CDFA27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5E3B5266-A2B7-4455-8A07-174CFA51FD17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99395D62-C064-4D9E-B519-F2942B709161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EB1FF242-827E-4C56-ADAA-7D869F1C229F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3543C94C-3B78-4362-98EB-3A5EB05BAE02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F39F629E-BB5B-4C2A-AEF8-7ED2230D5F7A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4B899743-109A-4607-A8E5-5361DB7E577F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6DE9383E-928F-483D-B768-8A9D4F6664F7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F73EC40C-97F0-4E1A-BCCF-845EC4A1D474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682DD0C4-8663-4130-B816-9252A24C9F4B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2F7C6456-E563-4ED0-99ED-81AE9AC11153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EE7A6F3A-39A7-4B6B-A151-E7F4DA8AEF9E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C3550FEE-BB4C-4327-B23C-92FB9BBD053A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731AD2E6-058A-4A24-BDE0-285414C45AA3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91DCEE4D-32B0-415E-870E-F540F0B7D8CF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BDF7126C-43AC-4120-8538-0A552D106B9A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AA5245DF-29F7-4AED-9E63-2172DDA977C3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60F1BC06-3350-4FA3-974E-EBE64CDCFB72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3C681D9F-DE2F-499C-AD5B-F8855BA111DF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C4BB3D05-9BED-4854-B638-32E00B3E9F5F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1C9E8348-D68F-4899-97AC-869CF13B4E90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FA1957FB-ED37-4649-AB7C-25CEE6DE9859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F9373F36-BA64-46F3-8A38-5AF534BA429B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13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206B36-A826-4962-A74F-EED8E1525DCA}"/>
            </a:ext>
            <a:ext uri="{147F2762-F138-4A5C-976F-8EAC2B608ADB}">
              <a16:predDERef xmlns:a16="http://schemas.microsoft.com/office/drawing/2014/main" pred="{F9373F36-BA64-46F3-8A38-5AF534BA4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43" name="Picture 4" descr="VIAGS xanh">
          <a:extLst>
            <a:ext uri="{FF2B5EF4-FFF2-40B4-BE49-F238E27FC236}">
              <a16:creationId xmlns:a16="http://schemas.microsoft.com/office/drawing/2014/main" id="{1067D50B-FA9F-4A75-83D5-41B0CBCD8AF2}"/>
            </a:ext>
            <a:ext uri="{147F2762-F138-4A5C-976F-8EAC2B608ADB}">
              <a16:predDERef xmlns:a16="http://schemas.microsoft.com/office/drawing/2014/main" pred="{ED206B36-A826-4962-A74F-EED8E152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4">
          <a:extLst>
            <a:ext uri="{FF2B5EF4-FFF2-40B4-BE49-F238E27FC236}">
              <a16:creationId xmlns:a16="http://schemas.microsoft.com/office/drawing/2014/main" id="{C0029A0A-FFD3-47D3-A311-FDB6B3AD4B27}"/>
            </a:ext>
            <a:ext uri="{147F2762-F138-4A5C-976F-8EAC2B608ADB}">
              <a16:predDERef xmlns:a16="http://schemas.microsoft.com/office/drawing/2014/main" pred="{2229CDB4-BF1E-4E9C-A572-D3154AA79AF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7">
          <a:extLst>
            <a:ext uri="{FF2B5EF4-FFF2-40B4-BE49-F238E27FC236}">
              <a16:creationId xmlns:a16="http://schemas.microsoft.com/office/drawing/2014/main" id="{75519B67-1764-4C1E-B6A7-7E7636946CCA}"/>
            </a:ext>
            <a:ext uri="{147F2762-F138-4A5C-976F-8EAC2B608ADB}">
              <a16:predDERef xmlns:a16="http://schemas.microsoft.com/office/drawing/2014/main" pred="{C0029A0A-FFD3-47D3-A311-FDB6B3AD4B2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8">
          <a:extLst>
            <a:ext uri="{FF2B5EF4-FFF2-40B4-BE49-F238E27FC236}">
              <a16:creationId xmlns:a16="http://schemas.microsoft.com/office/drawing/2014/main" id="{1CBB1993-F4CC-4088-8BA0-AB139CF237DA}"/>
            </a:ext>
            <a:ext uri="{147F2762-F138-4A5C-976F-8EAC2B608ADB}">
              <a16:predDERef xmlns:a16="http://schemas.microsoft.com/office/drawing/2014/main" pred="{75519B67-1764-4C1E-B6A7-7E7636946CC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4">
          <a:extLst>
            <a:ext uri="{FF2B5EF4-FFF2-40B4-BE49-F238E27FC236}">
              <a16:creationId xmlns:a16="http://schemas.microsoft.com/office/drawing/2014/main" id="{F83CD79C-A1A5-4CC8-9B6F-1616349694CD}"/>
            </a:ext>
            <a:ext uri="{147F2762-F138-4A5C-976F-8EAC2B608ADB}">
              <a16:predDERef xmlns:a16="http://schemas.microsoft.com/office/drawing/2014/main" pred="{1CBB1993-F4CC-4088-8BA0-AB139CF237D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7">
          <a:extLst>
            <a:ext uri="{FF2B5EF4-FFF2-40B4-BE49-F238E27FC236}">
              <a16:creationId xmlns:a16="http://schemas.microsoft.com/office/drawing/2014/main" id="{FD42BA27-BE2A-42B2-8ED6-26E8BF72D2A4}"/>
            </a:ext>
            <a:ext uri="{147F2762-F138-4A5C-976F-8EAC2B608ADB}">
              <a16:predDERef xmlns:a16="http://schemas.microsoft.com/office/drawing/2014/main" pred="{F83CD79C-A1A5-4CC8-9B6F-1616349694C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8">
          <a:extLst>
            <a:ext uri="{FF2B5EF4-FFF2-40B4-BE49-F238E27FC236}">
              <a16:creationId xmlns:a16="http://schemas.microsoft.com/office/drawing/2014/main" id="{584452DD-4351-426D-A46B-F2D1609EBBBE}"/>
            </a:ext>
            <a:ext uri="{147F2762-F138-4A5C-976F-8EAC2B608ADB}">
              <a16:predDERef xmlns:a16="http://schemas.microsoft.com/office/drawing/2014/main" pred="{FD42BA27-BE2A-42B2-8ED6-26E8BF72D2A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151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CA124A-D9F8-4FC6-A737-C6F13316B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4" name="TextBox 4">
          <a:extLst>
            <a:ext uri="{FF2B5EF4-FFF2-40B4-BE49-F238E27FC236}">
              <a16:creationId xmlns:a16="http://schemas.microsoft.com/office/drawing/2014/main" id="{4B17B039-D041-4BCF-B54A-234D24503B9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5" name="TextBox 7">
          <a:extLst>
            <a:ext uri="{FF2B5EF4-FFF2-40B4-BE49-F238E27FC236}">
              <a16:creationId xmlns:a16="http://schemas.microsoft.com/office/drawing/2014/main" id="{FD904299-2552-45D6-83D4-11588519F89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6" name="TextBox 8">
          <a:extLst>
            <a:ext uri="{FF2B5EF4-FFF2-40B4-BE49-F238E27FC236}">
              <a16:creationId xmlns:a16="http://schemas.microsoft.com/office/drawing/2014/main" id="{B2F5943A-1830-45ED-80CA-547811A3CD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7" name="TextBox 4">
          <a:extLst>
            <a:ext uri="{FF2B5EF4-FFF2-40B4-BE49-F238E27FC236}">
              <a16:creationId xmlns:a16="http://schemas.microsoft.com/office/drawing/2014/main" id="{AC9F0011-AB8C-4425-9539-CFABCD036D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8" name="TextBox 7">
          <a:extLst>
            <a:ext uri="{FF2B5EF4-FFF2-40B4-BE49-F238E27FC236}">
              <a16:creationId xmlns:a16="http://schemas.microsoft.com/office/drawing/2014/main" id="{8F617C9C-4394-4EB4-943C-A323BEBDD5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9" name="TextBox 8">
          <a:extLst>
            <a:ext uri="{FF2B5EF4-FFF2-40B4-BE49-F238E27FC236}">
              <a16:creationId xmlns:a16="http://schemas.microsoft.com/office/drawing/2014/main" id="{CAB4A856-5A0E-4323-BFAE-29BBED51684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945F066C-80F2-46D9-A48D-B6063C91CC5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7">
          <a:extLst>
            <a:ext uri="{FF2B5EF4-FFF2-40B4-BE49-F238E27FC236}">
              <a16:creationId xmlns:a16="http://schemas.microsoft.com/office/drawing/2014/main" id="{A2F361C9-1DFE-42B7-A6B9-50B6C7789C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0" name="TextBox 8">
          <a:extLst>
            <a:ext uri="{FF2B5EF4-FFF2-40B4-BE49-F238E27FC236}">
              <a16:creationId xmlns:a16="http://schemas.microsoft.com/office/drawing/2014/main" id="{9EE3FBC2-69A4-470F-9E92-7500F4B98E7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BFB80607-B49C-4E16-99B9-54CD6B34E8F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2" name="TextBox 7">
          <a:extLst>
            <a:ext uri="{FF2B5EF4-FFF2-40B4-BE49-F238E27FC236}">
              <a16:creationId xmlns:a16="http://schemas.microsoft.com/office/drawing/2014/main" id="{B8B86B51-8BB6-472F-A152-51616EA2D80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3" name="TextBox 8">
          <a:extLst>
            <a:ext uri="{FF2B5EF4-FFF2-40B4-BE49-F238E27FC236}">
              <a16:creationId xmlns:a16="http://schemas.microsoft.com/office/drawing/2014/main" id="{59B53046-7DB9-49C5-BC37-6350124295F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4" name="TextBox 4">
          <a:extLst>
            <a:ext uri="{FF2B5EF4-FFF2-40B4-BE49-F238E27FC236}">
              <a16:creationId xmlns:a16="http://schemas.microsoft.com/office/drawing/2014/main" id="{188BD2F1-B757-4300-AD2D-7B92F77250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5" name="TextBox 7">
          <a:extLst>
            <a:ext uri="{FF2B5EF4-FFF2-40B4-BE49-F238E27FC236}">
              <a16:creationId xmlns:a16="http://schemas.microsoft.com/office/drawing/2014/main" id="{5E1466EA-B3AA-4E71-94B6-B0F5E3C3B5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6" name="TextBox 8">
          <a:extLst>
            <a:ext uri="{FF2B5EF4-FFF2-40B4-BE49-F238E27FC236}">
              <a16:creationId xmlns:a16="http://schemas.microsoft.com/office/drawing/2014/main" id="{8B9F87AB-191F-4F50-AC9D-4976909C9DA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7" name="TextBox 4">
          <a:extLst>
            <a:ext uri="{FF2B5EF4-FFF2-40B4-BE49-F238E27FC236}">
              <a16:creationId xmlns:a16="http://schemas.microsoft.com/office/drawing/2014/main" id="{2C570DED-FDAC-4DD8-8547-163D730EB06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8" name="TextBox 7">
          <a:extLst>
            <a:ext uri="{FF2B5EF4-FFF2-40B4-BE49-F238E27FC236}">
              <a16:creationId xmlns:a16="http://schemas.microsoft.com/office/drawing/2014/main" id="{48E4EC18-20A9-4F5F-A4C7-51CE0B25C91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9" name="TextBox 8">
          <a:extLst>
            <a:ext uri="{FF2B5EF4-FFF2-40B4-BE49-F238E27FC236}">
              <a16:creationId xmlns:a16="http://schemas.microsoft.com/office/drawing/2014/main" id="{4A217632-1A06-4D00-9A9A-B0A3E2F49A9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0" name="TextBox 4">
          <a:extLst>
            <a:ext uri="{FF2B5EF4-FFF2-40B4-BE49-F238E27FC236}">
              <a16:creationId xmlns:a16="http://schemas.microsoft.com/office/drawing/2014/main" id="{211FBD44-474C-4541-B695-7669D86A456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1" name="TextBox 7">
          <a:extLst>
            <a:ext uri="{FF2B5EF4-FFF2-40B4-BE49-F238E27FC236}">
              <a16:creationId xmlns:a16="http://schemas.microsoft.com/office/drawing/2014/main" id="{46D2DF5B-B3B8-4C3F-AB34-9C5264EFBCC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2" name="TextBox 8">
          <a:extLst>
            <a:ext uri="{FF2B5EF4-FFF2-40B4-BE49-F238E27FC236}">
              <a16:creationId xmlns:a16="http://schemas.microsoft.com/office/drawing/2014/main" id="{4A26AF04-0181-4262-A8BD-BE34E6A2963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E230F6C9-D41E-4FAE-B807-60537A67D9C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356276F9-7C52-4F79-B46E-1628BF3C48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5379910A-C64D-4785-9A5E-B711A181956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6" name="TextBox 4">
          <a:extLst>
            <a:ext uri="{FF2B5EF4-FFF2-40B4-BE49-F238E27FC236}">
              <a16:creationId xmlns:a16="http://schemas.microsoft.com/office/drawing/2014/main" id="{91E5E2C0-A0FE-4732-AE5A-204914D4468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7" name="TextBox 7">
          <a:extLst>
            <a:ext uri="{FF2B5EF4-FFF2-40B4-BE49-F238E27FC236}">
              <a16:creationId xmlns:a16="http://schemas.microsoft.com/office/drawing/2014/main" id="{68B83645-8672-4EA7-BBD1-0095DC2D98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8" name="TextBox 8">
          <a:extLst>
            <a:ext uri="{FF2B5EF4-FFF2-40B4-BE49-F238E27FC236}">
              <a16:creationId xmlns:a16="http://schemas.microsoft.com/office/drawing/2014/main" id="{4FBD0D73-146B-4885-978C-DC199B5416C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9" name="TextBox 4">
          <a:extLst>
            <a:ext uri="{FF2B5EF4-FFF2-40B4-BE49-F238E27FC236}">
              <a16:creationId xmlns:a16="http://schemas.microsoft.com/office/drawing/2014/main" id="{22F512B3-23CD-4059-BE1D-0087A4E73DA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0" name="TextBox 7">
          <a:extLst>
            <a:ext uri="{FF2B5EF4-FFF2-40B4-BE49-F238E27FC236}">
              <a16:creationId xmlns:a16="http://schemas.microsoft.com/office/drawing/2014/main" id="{2068C091-30C3-443D-8B00-CD5D37B56F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1" name="TextBox 8">
          <a:extLst>
            <a:ext uri="{FF2B5EF4-FFF2-40B4-BE49-F238E27FC236}">
              <a16:creationId xmlns:a16="http://schemas.microsoft.com/office/drawing/2014/main" id="{3943F8EA-2FA7-4384-AA0B-E5986F88AC9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2" name="TextBox 4">
          <a:extLst>
            <a:ext uri="{FF2B5EF4-FFF2-40B4-BE49-F238E27FC236}">
              <a16:creationId xmlns:a16="http://schemas.microsoft.com/office/drawing/2014/main" id="{286446D5-AC98-4E97-89AB-9E9F4BEBDBD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3" name="TextBox 7">
          <a:extLst>
            <a:ext uri="{FF2B5EF4-FFF2-40B4-BE49-F238E27FC236}">
              <a16:creationId xmlns:a16="http://schemas.microsoft.com/office/drawing/2014/main" id="{5A2E1BB9-9FF3-41D4-A4C6-8B874468024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4" name="TextBox 8">
          <a:extLst>
            <a:ext uri="{FF2B5EF4-FFF2-40B4-BE49-F238E27FC236}">
              <a16:creationId xmlns:a16="http://schemas.microsoft.com/office/drawing/2014/main" id="{A64B3C3D-7E2C-4734-87B9-C773A92A4E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A26D46CC-7DFD-4692-AE70-00BBA8406EF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16801E9B-217C-405C-9A19-96F07340C09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68A50AAB-C44D-4E29-8A86-3D11D63544F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E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E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0E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00000000-0008-0000-0E00-00001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7">
          <a:extLst>
            <a:ext uri="{FF2B5EF4-FFF2-40B4-BE49-F238E27FC236}">
              <a16:creationId xmlns:a16="http://schemas.microsoft.com/office/drawing/2014/main" id="{00000000-0008-0000-0E00-00001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8">
          <a:extLst>
            <a:ext uri="{FF2B5EF4-FFF2-40B4-BE49-F238E27FC236}">
              <a16:creationId xmlns:a16="http://schemas.microsoft.com/office/drawing/2014/main" id="{00000000-0008-0000-0E00-00001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4">
          <a:extLst>
            <a:ext uri="{FF2B5EF4-FFF2-40B4-BE49-F238E27FC236}">
              <a16:creationId xmlns:a16="http://schemas.microsoft.com/office/drawing/2014/main" id="{00000000-0008-0000-0E00-000017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00000000-0008-0000-0E00-00001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00000000-0008-0000-0E00-00001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8BA7D5-2D5C-476D-BEE1-A145B2184520}"/>
            </a:ext>
            <a:ext uri="{147F2762-F138-4A5C-976F-8EAC2B608ADB}">
              <a16:predDERef xmlns:a16="http://schemas.microsoft.com/office/drawing/2014/main" pred="{00000000-0008-0000-0E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26" name="Picture 4" descr="VIAGS xanh">
          <a:extLst>
            <a:ext uri="{FF2B5EF4-FFF2-40B4-BE49-F238E27FC236}">
              <a16:creationId xmlns:a16="http://schemas.microsoft.com/office/drawing/2014/main" id="{25F31B3E-0DC1-43D4-B46D-02BFE21349BB}"/>
            </a:ext>
            <a:ext uri="{147F2762-F138-4A5C-976F-8EAC2B608ADB}">
              <a16:predDERef xmlns:a16="http://schemas.microsoft.com/office/drawing/2014/main" pred="{0A8BA7D5-2D5C-476D-BEE1-A145B2184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38E92FB8-F35F-4A56-B663-E7ABB279C068}"/>
            </a:ext>
            <a:ext uri="{147F2762-F138-4A5C-976F-8EAC2B608ADB}">
              <a16:predDERef xmlns:a16="http://schemas.microsoft.com/office/drawing/2014/main" pred="{5F628E5D-A15C-44C3-9968-10747F72454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7323566D-7B60-4410-AF94-4243E021ABB7}"/>
            </a:ext>
            <a:ext uri="{147F2762-F138-4A5C-976F-8EAC2B608ADB}">
              <a16:predDERef xmlns:a16="http://schemas.microsoft.com/office/drawing/2014/main" pred="{38E92FB8-F35F-4A56-B663-E7ABB279C06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734D2AFB-A629-4BD3-8049-8BE0A211F0AA}"/>
            </a:ext>
            <a:ext uri="{147F2762-F138-4A5C-976F-8EAC2B608ADB}">
              <a16:predDERef xmlns:a16="http://schemas.microsoft.com/office/drawing/2014/main" pred="{7323566D-7B60-4410-AF94-4243E021ABB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780539CD-A1DC-4A1C-8FDE-FC018690921F}"/>
            </a:ext>
            <a:ext uri="{147F2762-F138-4A5C-976F-8EAC2B608ADB}">
              <a16:predDERef xmlns:a16="http://schemas.microsoft.com/office/drawing/2014/main" pred="{734D2AFB-A629-4BD3-8049-8BE0A211F0A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DBE38FEC-D45F-4C3B-AB7A-E99328E8A5B2}"/>
            </a:ext>
            <a:ext uri="{147F2762-F138-4A5C-976F-8EAC2B608ADB}">
              <a16:predDERef xmlns:a16="http://schemas.microsoft.com/office/drawing/2014/main" pred="{780539CD-A1DC-4A1C-8FDE-FC018690921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280E3B4D-6A00-4AA4-9C9A-D64F1D498EBA}"/>
            </a:ext>
            <a:ext uri="{147F2762-F138-4A5C-976F-8EAC2B608ADB}">
              <a16:predDERef xmlns:a16="http://schemas.microsoft.com/office/drawing/2014/main" pred="{DBE38FEC-D45F-4C3B-AB7A-E99328E8A5B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74DD5F6F-65FF-46E5-B45D-0FDFBC2F92B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EADC5169-6789-4E5F-8990-81A2E2F6871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2DA1F057-0AE2-49AB-824B-B8A7A8C82E4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D1233805-05A9-4AF0-B3B6-E81B1A7759C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453C230F-4E74-4126-99E9-2EFCFF0C3A2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30E8217A-16AB-465D-AA15-376DB014E5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D0EFB7CB-5729-4753-898C-EF4690713D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DD03C3DD-C472-40DA-93BE-F9F4E2A5881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8">
          <a:extLst>
            <a:ext uri="{FF2B5EF4-FFF2-40B4-BE49-F238E27FC236}">
              <a16:creationId xmlns:a16="http://schemas.microsoft.com/office/drawing/2014/main" id="{8D505F11-83EA-4010-8CED-22067138CAF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1F5FFE9-22D5-4BA7-8B4D-674A9A9C71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7">
          <a:extLst>
            <a:ext uri="{FF2B5EF4-FFF2-40B4-BE49-F238E27FC236}">
              <a16:creationId xmlns:a16="http://schemas.microsoft.com/office/drawing/2014/main" id="{87C0B14E-9E35-41E2-A96F-319D385603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8">
          <a:extLst>
            <a:ext uri="{FF2B5EF4-FFF2-40B4-BE49-F238E27FC236}">
              <a16:creationId xmlns:a16="http://schemas.microsoft.com/office/drawing/2014/main" id="{2A126DDF-59A9-4308-8547-E68881920E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">
          <a:extLst>
            <a:ext uri="{FF2B5EF4-FFF2-40B4-BE49-F238E27FC236}">
              <a16:creationId xmlns:a16="http://schemas.microsoft.com/office/drawing/2014/main" id="{A8B3060C-6AFC-489E-A86B-9CB8A93AA9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7">
          <a:extLst>
            <a:ext uri="{FF2B5EF4-FFF2-40B4-BE49-F238E27FC236}">
              <a16:creationId xmlns:a16="http://schemas.microsoft.com/office/drawing/2014/main" id="{DB12CF2F-4052-4561-9FB2-045384A404F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8">
          <a:extLst>
            <a:ext uri="{FF2B5EF4-FFF2-40B4-BE49-F238E27FC236}">
              <a16:creationId xmlns:a16="http://schemas.microsoft.com/office/drawing/2014/main" id="{AF6D7BFD-6B5D-4034-A06B-55D1E7718F8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">
          <a:extLst>
            <a:ext uri="{FF2B5EF4-FFF2-40B4-BE49-F238E27FC236}">
              <a16:creationId xmlns:a16="http://schemas.microsoft.com/office/drawing/2014/main" id="{6FD9C608-1AA2-4DDA-860A-8599CA6DA80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7">
          <a:extLst>
            <a:ext uri="{FF2B5EF4-FFF2-40B4-BE49-F238E27FC236}">
              <a16:creationId xmlns:a16="http://schemas.microsoft.com/office/drawing/2014/main" id="{62D3C955-20A1-4966-8BEA-0A2E6E4D1E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8">
          <a:extLst>
            <a:ext uri="{FF2B5EF4-FFF2-40B4-BE49-F238E27FC236}">
              <a16:creationId xmlns:a16="http://schemas.microsoft.com/office/drawing/2014/main" id="{9F8C12FF-D628-4988-B1CC-9723DC7D8D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4">
          <a:extLst>
            <a:ext uri="{FF2B5EF4-FFF2-40B4-BE49-F238E27FC236}">
              <a16:creationId xmlns:a16="http://schemas.microsoft.com/office/drawing/2014/main" id="{DED8EF1E-E228-41FE-BF3F-9D366CE5FDE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7">
          <a:extLst>
            <a:ext uri="{FF2B5EF4-FFF2-40B4-BE49-F238E27FC236}">
              <a16:creationId xmlns:a16="http://schemas.microsoft.com/office/drawing/2014/main" id="{2EEDE52C-B679-4841-8426-7A64BC15FC5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8">
          <a:extLst>
            <a:ext uri="{FF2B5EF4-FFF2-40B4-BE49-F238E27FC236}">
              <a16:creationId xmlns:a16="http://schemas.microsoft.com/office/drawing/2014/main" id="{1901CD43-CFCA-4F9D-8E79-B007B1C94F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2163810-BB34-43B2-9388-7DA634423A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3EF731FB-0E15-4C56-8086-94300334412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E7DA1E4C-902B-4F2C-AACC-031EE05ADC1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4">
          <a:extLst>
            <a:ext uri="{FF2B5EF4-FFF2-40B4-BE49-F238E27FC236}">
              <a16:creationId xmlns:a16="http://schemas.microsoft.com/office/drawing/2014/main" id="{2EF0F4CB-652B-4EA0-9852-90E8DC1EB65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7">
          <a:extLst>
            <a:ext uri="{FF2B5EF4-FFF2-40B4-BE49-F238E27FC236}">
              <a16:creationId xmlns:a16="http://schemas.microsoft.com/office/drawing/2014/main" id="{711AC87A-177F-49A8-904D-E6018F84077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8">
          <a:extLst>
            <a:ext uri="{FF2B5EF4-FFF2-40B4-BE49-F238E27FC236}">
              <a16:creationId xmlns:a16="http://schemas.microsoft.com/office/drawing/2014/main" id="{022370C6-FE5E-4CF6-9CF8-E7713CB115B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4">
          <a:extLst>
            <a:ext uri="{FF2B5EF4-FFF2-40B4-BE49-F238E27FC236}">
              <a16:creationId xmlns:a16="http://schemas.microsoft.com/office/drawing/2014/main" id="{A050DEC4-F1F1-4141-B6AD-6B9A7CB9285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5C28C0D4-AB43-48A4-8BDE-811046C2641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32A00C95-16E9-4121-A453-1961F5CF770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4">
          <a:extLst>
            <a:ext uri="{FF2B5EF4-FFF2-40B4-BE49-F238E27FC236}">
              <a16:creationId xmlns:a16="http://schemas.microsoft.com/office/drawing/2014/main" id="{74473E09-51FB-4D25-BCC3-1F7A95802F7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7">
          <a:extLst>
            <a:ext uri="{FF2B5EF4-FFF2-40B4-BE49-F238E27FC236}">
              <a16:creationId xmlns:a16="http://schemas.microsoft.com/office/drawing/2014/main" id="{A5AC2697-5381-43C3-816D-438759BAEEF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225229F4-6718-4856-B278-D6654AC4DA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E2BD79A1-1FDE-43F6-A7CB-6EF88FA45AE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2D62A17D-6033-4192-B2AA-677846458E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E1FA9374-1470-449B-9C41-C315D767C28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F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F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0F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00000000-0008-0000-0F00-00001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7">
          <a:extLst>
            <a:ext uri="{FF2B5EF4-FFF2-40B4-BE49-F238E27FC236}">
              <a16:creationId xmlns:a16="http://schemas.microsoft.com/office/drawing/2014/main" id="{00000000-0008-0000-0F00-00001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8">
          <a:extLst>
            <a:ext uri="{FF2B5EF4-FFF2-40B4-BE49-F238E27FC236}">
              <a16:creationId xmlns:a16="http://schemas.microsoft.com/office/drawing/2014/main" id="{00000000-0008-0000-0F00-00001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4">
          <a:extLst>
            <a:ext uri="{FF2B5EF4-FFF2-40B4-BE49-F238E27FC236}">
              <a16:creationId xmlns:a16="http://schemas.microsoft.com/office/drawing/2014/main" id="{00000000-0008-0000-0F00-000017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00000000-0008-0000-0F00-00001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00000000-0008-0000-0F00-00001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E9EFC4-599F-4A59-A5F2-8A7BA5408907}"/>
            </a:ext>
            <a:ext uri="{147F2762-F138-4A5C-976F-8EAC2B608ADB}">
              <a16:predDERef xmlns:a16="http://schemas.microsoft.com/office/drawing/2014/main" pred="{00000000-0008-0000-0F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26" name="Picture 4" descr="VIAGS xanh">
          <a:extLst>
            <a:ext uri="{FF2B5EF4-FFF2-40B4-BE49-F238E27FC236}">
              <a16:creationId xmlns:a16="http://schemas.microsoft.com/office/drawing/2014/main" id="{DAA61919-3199-4E1C-93E2-C8E8D2062BE3}"/>
            </a:ext>
            <a:ext uri="{147F2762-F138-4A5C-976F-8EAC2B608ADB}">
              <a16:predDERef xmlns:a16="http://schemas.microsoft.com/office/drawing/2014/main" pred="{8CE9EFC4-599F-4A59-A5F2-8A7BA5408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2052521B-280E-4559-B122-583109D8441F}"/>
            </a:ext>
            <a:ext uri="{147F2762-F138-4A5C-976F-8EAC2B608ADB}">
              <a16:predDERef xmlns:a16="http://schemas.microsoft.com/office/drawing/2014/main" pred="{C4A18967-0FB1-405F-9419-34402389B85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443EBCEC-38B8-46D2-AD03-1623BACA2C20}"/>
            </a:ext>
            <a:ext uri="{147F2762-F138-4A5C-976F-8EAC2B608ADB}">
              <a16:predDERef xmlns:a16="http://schemas.microsoft.com/office/drawing/2014/main" pred="{2052521B-280E-4559-B122-583109D8441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DA1B1F57-8DE7-4D4A-AE0E-AB7CFCA12A42}"/>
            </a:ext>
            <a:ext uri="{147F2762-F138-4A5C-976F-8EAC2B608ADB}">
              <a16:predDERef xmlns:a16="http://schemas.microsoft.com/office/drawing/2014/main" pred="{443EBCEC-38B8-46D2-AD03-1623BACA2C2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E10B6BE7-4D44-47C0-8495-B34B5B3F2AE9}"/>
            </a:ext>
            <a:ext uri="{147F2762-F138-4A5C-976F-8EAC2B608ADB}">
              <a16:predDERef xmlns:a16="http://schemas.microsoft.com/office/drawing/2014/main" pred="{DA1B1F57-8DE7-4D4A-AE0E-AB7CFCA12A4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4B216655-74E0-49FA-801C-B6FD4BD5F7BE}"/>
            </a:ext>
            <a:ext uri="{147F2762-F138-4A5C-976F-8EAC2B608ADB}">
              <a16:predDERef xmlns:a16="http://schemas.microsoft.com/office/drawing/2014/main" pred="{E10B6BE7-4D44-47C0-8495-B34B5B3F2AE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ABF2BF56-AA23-481F-B9C0-69693D1998B7}"/>
            </a:ext>
            <a:ext uri="{147F2762-F138-4A5C-976F-8EAC2B608ADB}">
              <a16:predDERef xmlns:a16="http://schemas.microsoft.com/office/drawing/2014/main" pred="{4B216655-74E0-49FA-801C-B6FD4BD5F7B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550C463D-9599-42CA-9B8C-98B137C6AA6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FCEBC31F-D110-4282-8BDE-B057BB8F5F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18EAFDFA-3743-400F-A655-2370FD47B09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1D59D12E-A8F6-439C-ADA2-66BBAB82924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E3915E9E-D29A-41E8-936C-858FCB36A0B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ACBAAD47-83C3-4C63-9C05-0A86C88D579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36F657A4-E9CD-458B-94AD-0714EF6285B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D18F03E8-1CD4-4272-8F4D-1AF21D46267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8">
          <a:extLst>
            <a:ext uri="{FF2B5EF4-FFF2-40B4-BE49-F238E27FC236}">
              <a16:creationId xmlns:a16="http://schemas.microsoft.com/office/drawing/2014/main" id="{AEDC5184-4465-4A09-95F7-47ECD8CFAEC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D8F5E2D-B92E-4FFE-96EC-1A56C301A5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7">
          <a:extLst>
            <a:ext uri="{FF2B5EF4-FFF2-40B4-BE49-F238E27FC236}">
              <a16:creationId xmlns:a16="http://schemas.microsoft.com/office/drawing/2014/main" id="{5940AD86-9A53-4459-9647-45F5ACFFC7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8">
          <a:extLst>
            <a:ext uri="{FF2B5EF4-FFF2-40B4-BE49-F238E27FC236}">
              <a16:creationId xmlns:a16="http://schemas.microsoft.com/office/drawing/2014/main" id="{F1A0ED1D-FF4A-406C-8D0F-687E9926C00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">
          <a:extLst>
            <a:ext uri="{FF2B5EF4-FFF2-40B4-BE49-F238E27FC236}">
              <a16:creationId xmlns:a16="http://schemas.microsoft.com/office/drawing/2014/main" id="{7B663E9C-AB34-47EE-871D-32CF11506AC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7">
          <a:extLst>
            <a:ext uri="{FF2B5EF4-FFF2-40B4-BE49-F238E27FC236}">
              <a16:creationId xmlns:a16="http://schemas.microsoft.com/office/drawing/2014/main" id="{F57524C8-7F7C-4727-9A1D-A46606B36A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8">
          <a:extLst>
            <a:ext uri="{FF2B5EF4-FFF2-40B4-BE49-F238E27FC236}">
              <a16:creationId xmlns:a16="http://schemas.microsoft.com/office/drawing/2014/main" id="{BD29EF68-8A6B-4DD7-9198-1779A69708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">
          <a:extLst>
            <a:ext uri="{FF2B5EF4-FFF2-40B4-BE49-F238E27FC236}">
              <a16:creationId xmlns:a16="http://schemas.microsoft.com/office/drawing/2014/main" id="{459C612A-9ED7-48E5-ABDA-A6466062474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7">
          <a:extLst>
            <a:ext uri="{FF2B5EF4-FFF2-40B4-BE49-F238E27FC236}">
              <a16:creationId xmlns:a16="http://schemas.microsoft.com/office/drawing/2014/main" id="{67527A30-E40B-4F18-A621-71AAAB7A5F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8">
          <a:extLst>
            <a:ext uri="{FF2B5EF4-FFF2-40B4-BE49-F238E27FC236}">
              <a16:creationId xmlns:a16="http://schemas.microsoft.com/office/drawing/2014/main" id="{36251DDC-95EE-4932-B892-EEFB3B69A84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4">
          <a:extLst>
            <a:ext uri="{FF2B5EF4-FFF2-40B4-BE49-F238E27FC236}">
              <a16:creationId xmlns:a16="http://schemas.microsoft.com/office/drawing/2014/main" id="{1DBE5ED2-F8FB-4EC6-A4C0-9053562E26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7">
          <a:extLst>
            <a:ext uri="{FF2B5EF4-FFF2-40B4-BE49-F238E27FC236}">
              <a16:creationId xmlns:a16="http://schemas.microsoft.com/office/drawing/2014/main" id="{9FB2FE1D-385A-4424-8039-BA06E9FE6F8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8">
          <a:extLst>
            <a:ext uri="{FF2B5EF4-FFF2-40B4-BE49-F238E27FC236}">
              <a16:creationId xmlns:a16="http://schemas.microsoft.com/office/drawing/2014/main" id="{95B4C63F-8945-4F8C-8FC9-7D887E8851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ED349A7F-57DC-4EF6-AEA0-0D0DC7EAFAF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53E8B89F-8493-4D79-B55C-07560DDB7B6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88CDF02F-32E2-4B50-AB0B-D179FD66A6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4">
          <a:extLst>
            <a:ext uri="{FF2B5EF4-FFF2-40B4-BE49-F238E27FC236}">
              <a16:creationId xmlns:a16="http://schemas.microsoft.com/office/drawing/2014/main" id="{EE5468FA-4370-4380-9894-53756298D13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7">
          <a:extLst>
            <a:ext uri="{FF2B5EF4-FFF2-40B4-BE49-F238E27FC236}">
              <a16:creationId xmlns:a16="http://schemas.microsoft.com/office/drawing/2014/main" id="{5003149D-4158-4367-939C-0153C493CFC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8">
          <a:extLst>
            <a:ext uri="{FF2B5EF4-FFF2-40B4-BE49-F238E27FC236}">
              <a16:creationId xmlns:a16="http://schemas.microsoft.com/office/drawing/2014/main" id="{9AF317D4-7000-4F05-AC4C-5F4982ED23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4">
          <a:extLst>
            <a:ext uri="{FF2B5EF4-FFF2-40B4-BE49-F238E27FC236}">
              <a16:creationId xmlns:a16="http://schemas.microsoft.com/office/drawing/2014/main" id="{B0A224C1-485E-4BDF-95C8-0F098B08149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33450BDF-E713-4F4A-8A58-CC8F9306488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B3DE7443-B20E-4C13-9198-F89BF07F96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4">
          <a:extLst>
            <a:ext uri="{FF2B5EF4-FFF2-40B4-BE49-F238E27FC236}">
              <a16:creationId xmlns:a16="http://schemas.microsoft.com/office/drawing/2014/main" id="{3DB9B299-DA76-43FD-ABD6-48EE82BB8BA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7">
          <a:extLst>
            <a:ext uri="{FF2B5EF4-FFF2-40B4-BE49-F238E27FC236}">
              <a16:creationId xmlns:a16="http://schemas.microsoft.com/office/drawing/2014/main" id="{E26D1223-09F6-4F61-B144-5865566C53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99527EF5-C144-4CDF-AD87-0DC1727058F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D12E881A-0C79-4356-B687-7E013C9B0C7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F635F08B-E489-456A-8685-633641D1273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7D89208F-3A1E-4523-9726-F3A51DD833B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184226</xdr:colOff>
      <xdr:row>1</xdr:row>
      <xdr:rowOff>226022</xdr:rowOff>
    </xdr:from>
    <xdr:to>
      <xdr:col>8</xdr:col>
      <xdr:colOff>894791</xdr:colOff>
      <xdr:row>4</xdr:row>
      <xdr:rowOff>49417</xdr:rowOff>
    </xdr:to>
    <xdr:pic>
      <xdr:nvPicPr>
        <xdr:cNvPr id="11" name="Picture 4" descr="VIAGS xanh">
          <a:extLst>
            <a:ext uri="{FF2B5EF4-FFF2-40B4-BE49-F238E27FC236}">
              <a16:creationId xmlns:a16="http://schemas.microsoft.com/office/drawing/2014/main" id="{00000000-0008-0000-1000-000004000000}"/>
            </a:ext>
            <a:ext uri="{147F2762-F138-4A5C-976F-8EAC2B608ADB}">
              <a16:predDERef xmlns:a16="http://schemas.microsoft.com/office/drawing/2014/main" pre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1" y="333598"/>
          <a:ext cx="1804259" cy="522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0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10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10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00000000-0008-0000-1000-000008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1000-000009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00000000-0008-0000-1000-00000A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8376EB-EF50-47A2-B080-F83F5E6DF36B}"/>
            </a:ext>
            <a:ext uri="{147F2762-F138-4A5C-976F-8EAC2B608ADB}">
              <a16:predDERef xmlns:a16="http://schemas.microsoft.com/office/drawing/2014/main" pred="{00000000-0008-0000-1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FD66C405-AEB9-4D7C-8F05-33545EC0F15C}"/>
            </a:ext>
            <a:ext uri="{147F2762-F138-4A5C-976F-8EAC2B608ADB}">
              <a16:predDERef xmlns:a16="http://schemas.microsoft.com/office/drawing/2014/main" pred="{3DA1ADDA-6FAF-43F4-AD7D-D9C665DE6C2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C76A1936-5644-4D55-B1F7-7D12F0E27648}"/>
            </a:ext>
            <a:ext uri="{147F2762-F138-4A5C-976F-8EAC2B608ADB}">
              <a16:predDERef xmlns:a16="http://schemas.microsoft.com/office/drawing/2014/main" pred="{FD66C405-AEB9-4D7C-8F05-33545EC0F15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8ADC81AD-4A69-4FE6-A067-0CDB2FC41B35}"/>
            </a:ext>
            <a:ext uri="{147F2762-F138-4A5C-976F-8EAC2B608ADB}">
              <a16:predDERef xmlns:a16="http://schemas.microsoft.com/office/drawing/2014/main" pred="{C76A1936-5644-4D55-B1F7-7D12F0E2764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F892AB36-CF23-4DA3-A7A6-9484DFEA8340}"/>
            </a:ext>
            <a:ext uri="{147F2762-F138-4A5C-976F-8EAC2B608ADB}">
              <a16:predDERef xmlns:a16="http://schemas.microsoft.com/office/drawing/2014/main" pred="{8ADC81AD-4A69-4FE6-A067-0CDB2FC41B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E01DFFA7-811E-44F8-B403-CAD905179B6B}"/>
            </a:ext>
            <a:ext uri="{147F2762-F138-4A5C-976F-8EAC2B608ADB}">
              <a16:predDERef xmlns:a16="http://schemas.microsoft.com/office/drawing/2014/main" pred="{F892AB36-CF23-4DA3-A7A6-9484DFEA834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6FD26248-FAED-4597-9C92-E8ADC10EDBB6}"/>
            </a:ext>
            <a:ext uri="{147F2762-F138-4A5C-976F-8EAC2B608ADB}">
              <a16:predDERef xmlns:a16="http://schemas.microsoft.com/office/drawing/2014/main" pred="{E01DFFA7-811E-44F8-B403-CAD905179B6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62BDA791-CE31-431F-A917-33077181961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5B8F694A-006E-4EBA-8E3C-97E7FBB1570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49F8707C-6859-4423-8A49-8DE44A6CF2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7654088B-F6B7-4C62-8D6B-5C059F8151A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0107DE09-AAC8-40DE-98AE-81C80B522B2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BAB6390F-B180-4CEF-B332-97D12BAC35B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46A72676-280E-4AB2-9E8A-FACB15EB273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897A626D-E70F-4562-9691-3EB1488869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239B5E01-C712-499C-A892-9CA1ABE6830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C0CC955-446E-47BF-A1DA-F4074B6C40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3CCF51D6-4FBD-412B-8EB8-03FD140E43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ED1D3603-956E-496A-A5B1-FC8C8653F60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61057919-218F-4A07-AD00-41B69903B2C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B8E2200C-C0BC-45D4-8542-DC3B5019A10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6F6254C8-3F28-40F3-AE28-3C4B6AA25DA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FF9D4D82-2E2A-4682-9C0D-D25910F9996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E85C6BF6-1164-4567-B333-1E8B3B42F9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F813FB1D-FDA6-41AA-A838-6175916BF0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03436143-A37F-4048-B183-91E76966B61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708E1E9C-AD83-4711-9950-CAD4AB4A4A4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4028BB28-99BB-4A82-AD41-ED76C496572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B6B182C-7D17-4A74-AA6E-135F8A2C454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C6C6B78-885B-4131-A8AF-1274DF56C0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1D8983F-7896-4DD3-96F3-1E061C763E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CA9A828B-0CAD-4E8B-9192-77DFB8587FF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F8719782-2096-4DF2-936C-1699717A3B1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BDAAFF9F-FA38-44E0-AB8A-7E5602145F2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FD328840-DE1A-44F9-902B-A2D07BB4933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535AE182-F233-48FD-A950-705328C312F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154B0C34-0E58-459A-B0B4-33D20D0489C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6A9324D5-2F9F-483B-AAE6-7A1FAF67EF8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BAAA25FA-FE8E-4832-87D2-14F4AFC324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7C43634A-C02C-41D5-8B21-2A8D918FF7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87A1213-A075-4C73-9B30-4BE4F92E6BD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5D54447F-E726-4152-818D-D0CDEDEB5A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4BCB21C-2C5F-438C-BB08-3C2E747FCCF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114300</xdr:rowOff>
    </xdr:from>
    <xdr:to>
      <xdr:col>8</xdr:col>
      <xdr:colOff>885825</xdr:colOff>
      <xdr:row>4</xdr:row>
      <xdr:rowOff>57150</xdr:rowOff>
    </xdr:to>
    <xdr:pic>
      <xdr:nvPicPr>
        <xdr:cNvPr id="4" name="Picture 4" descr="VIAGS xanh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219075"/>
          <a:ext cx="1781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1100-00000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1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1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00000000-0008-0000-1100-00000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00000000-0008-0000-1100-00000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00000000-0008-0000-1100-00000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F491A75F-FEE7-4C37-94F1-8D88547BE69B}"/>
            </a:ext>
            <a:ext uri="{147F2762-F138-4A5C-976F-8EAC2B608ADB}">
              <a16:predDERef xmlns:a16="http://schemas.microsoft.com/office/drawing/2014/main" pred="{00000000-0008-0000-1100-00000C000000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807DB882-F5AF-4314-892C-BB710B8AA005}"/>
            </a:ext>
            <a:ext uri="{147F2762-F138-4A5C-976F-8EAC2B608ADB}">
              <a16:predDERef xmlns:a16="http://schemas.microsoft.com/office/drawing/2014/main" pred="{F491A75F-FEE7-4C37-94F1-8D88547BE69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8F0EA4DD-E00C-476C-A288-09E71DCA9037}"/>
            </a:ext>
            <a:ext uri="{147F2762-F138-4A5C-976F-8EAC2B608ADB}">
              <a16:predDERef xmlns:a16="http://schemas.microsoft.com/office/drawing/2014/main" pred="{807DB882-F5AF-4314-892C-BB710B8AA00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D279C129-64E3-473B-B571-5EBF9A02321D}"/>
            </a:ext>
            <a:ext uri="{147F2762-F138-4A5C-976F-8EAC2B608ADB}">
              <a16:predDERef xmlns:a16="http://schemas.microsoft.com/office/drawing/2014/main" pred="{8F0EA4DD-E00C-476C-A288-09E71DCA9037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431F8AAA-8458-40A5-8738-D1EB3873D9CB}"/>
            </a:ext>
            <a:ext uri="{147F2762-F138-4A5C-976F-8EAC2B608ADB}">
              <a16:predDERef xmlns:a16="http://schemas.microsoft.com/office/drawing/2014/main" pred="{D279C129-64E3-473B-B571-5EBF9A02321D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13EF679B-2DFC-43EA-9231-618E30884462}"/>
            </a:ext>
            <a:ext uri="{147F2762-F138-4A5C-976F-8EAC2B608ADB}">
              <a16:predDERef xmlns:a16="http://schemas.microsoft.com/office/drawing/2014/main" pred="{431F8AAA-8458-40A5-8738-D1EB3873D9C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F5248D-2B94-44D7-8540-2493F49995B9}"/>
            </a:ext>
            <a:ext uri="{147F2762-F138-4A5C-976F-8EAC2B608ADB}">
              <a16:predDERef xmlns:a16="http://schemas.microsoft.com/office/drawing/2014/main" pred="{13EF679B-2DFC-43EA-9231-618E30884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A429550B-32DC-4B63-9A09-1A020DD3CDEA}"/>
            </a:ext>
            <a:ext uri="{147F2762-F138-4A5C-976F-8EAC2B608ADB}">
              <a16:predDERef xmlns:a16="http://schemas.microsoft.com/office/drawing/2014/main" pred="{6B95FAA7-2E27-46A5-BB50-3DDC6D3C6C6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B9E9F2AE-95DB-42C1-83E6-D9970ABA8223}"/>
            </a:ext>
            <a:ext uri="{147F2762-F138-4A5C-976F-8EAC2B608ADB}">
              <a16:predDERef xmlns:a16="http://schemas.microsoft.com/office/drawing/2014/main" pred="{A429550B-32DC-4B63-9A09-1A020DD3CDE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E5B358CF-1B43-4165-8ECB-E2731ED2BC87}"/>
            </a:ext>
            <a:ext uri="{147F2762-F138-4A5C-976F-8EAC2B608ADB}">
              <a16:predDERef xmlns:a16="http://schemas.microsoft.com/office/drawing/2014/main" pred="{B9E9F2AE-95DB-42C1-83E6-D9970ABA822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67D023BB-5BE0-4CA4-BA70-FD26F85D598E}"/>
            </a:ext>
            <a:ext uri="{147F2762-F138-4A5C-976F-8EAC2B608ADB}">
              <a16:predDERef xmlns:a16="http://schemas.microsoft.com/office/drawing/2014/main" pred="{E5B358CF-1B43-4165-8ECB-E2731ED2BC8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2510472A-F27F-49B8-BDB0-376E99DA8BE2}"/>
            </a:ext>
            <a:ext uri="{147F2762-F138-4A5C-976F-8EAC2B608ADB}">
              <a16:predDERef xmlns:a16="http://schemas.microsoft.com/office/drawing/2014/main" pred="{67D023BB-5BE0-4CA4-BA70-FD26F85D598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7BC52A67-EA40-4962-B0F8-199E47BC295B}"/>
            </a:ext>
            <a:ext uri="{147F2762-F138-4A5C-976F-8EAC2B608ADB}">
              <a16:predDERef xmlns:a16="http://schemas.microsoft.com/office/drawing/2014/main" pred="{2510472A-F27F-49B8-BDB0-376E99DA8BE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57DB906D-C6E7-4BCC-96B4-14BCB9BBEFD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92724997-0FBA-4A5C-AAC6-9369DD02C1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3D165219-93F9-415A-B8AF-2EC9F34BA4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7CE202E9-8062-497E-A14A-58ABEF356ED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A3FC49C9-7943-494E-A45D-A07FFF565E1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C6EEC19F-142E-40E7-8D3C-C360331C51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8823E9C5-11A1-44CE-8B4F-7DA0E9FE419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FB56F353-1A4C-4AC9-B514-ED957AE0619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8">
          <a:extLst>
            <a:ext uri="{FF2B5EF4-FFF2-40B4-BE49-F238E27FC236}">
              <a16:creationId xmlns:a16="http://schemas.microsoft.com/office/drawing/2014/main" id="{F98AAC53-7EA4-42AD-8F19-06D72E79A1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DD4CD2C-F1CC-4BE4-816E-031BFDF7DF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DE5DA296-FC13-4F1C-9946-A16369FBE05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0496FE7A-1B59-41AC-B403-5B8481E114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FD9340D0-743F-4D1C-8231-BBC62F7711F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6A840848-FCAD-4A01-B7F9-4C057296C7A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3CF21294-4F7B-4B29-9337-2336C342982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EFFE0215-2A13-40A4-A6FF-06EEE7888F5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CF6EF4CC-B9DB-43D7-B2E1-228E9734B06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0CA87861-A7CA-453A-8367-5E3DC3D9433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4C498397-C030-4ABE-9FE9-044BB40EFCC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FB8F7CDE-5D0D-45CF-8DB0-FA1147AD872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2B632F03-C3FE-405C-A9BA-0A3690CE2C4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0650F17-6F08-4430-BF73-2B5D94D689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B557A78A-33C9-4E4E-900B-CBC0171EE2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E7B29426-4C04-4D15-8D54-6872225B2F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34EFEDE7-BB71-4A6F-85CE-80EBADE44B8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19C77F50-E271-4E90-9DB7-9843BD38BF6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BD6A12B4-4D5A-45D8-A09D-D11F3834DEC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1E2A241F-C96A-4216-915C-D9A2C8A7168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E18163BF-ED9F-4026-8E08-C61FC8F1EB3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2593C2F2-8876-4E80-8315-50F5F129FA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CB079C41-4040-40DB-A0C2-041390802BA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121D6EBD-C3DB-4519-A61B-1762EC5C8CB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13AE80EE-3569-48AB-8D2F-64ADCB37D4D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AB4BEEE4-E6F1-47E3-B0DC-A3D6B24012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C29DA646-ECB7-4FAE-9890-531443DF97A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23FD3E7C-3D38-48B8-AB22-B48B08DBA91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114300</xdr:rowOff>
    </xdr:from>
    <xdr:to>
      <xdr:col>8</xdr:col>
      <xdr:colOff>857250</xdr:colOff>
      <xdr:row>4</xdr:row>
      <xdr:rowOff>57150</xdr:rowOff>
    </xdr:to>
    <xdr:pic>
      <xdr:nvPicPr>
        <xdr:cNvPr id="4" name="Picture 4" descr="VIAGS xanh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219075"/>
          <a:ext cx="1752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1200-00000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2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2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00000000-0008-0000-1200-00000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00000000-0008-0000-1200-00000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00000000-0008-0000-1200-00000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38641376-247C-4F09-B428-9A892010E2C2}"/>
            </a:ext>
            <a:ext uri="{147F2762-F138-4A5C-976F-8EAC2B608ADB}">
              <a16:predDERef xmlns:a16="http://schemas.microsoft.com/office/drawing/2014/main" pred="{00000000-0008-0000-1200-00000C000000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3CC8C21F-52B2-4188-9015-A579F60B77D3}"/>
            </a:ext>
            <a:ext uri="{147F2762-F138-4A5C-976F-8EAC2B608ADB}">
              <a16:predDERef xmlns:a16="http://schemas.microsoft.com/office/drawing/2014/main" pred="{38641376-247C-4F09-B428-9A892010E2C2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FA7180EF-2E18-4BB6-8148-261B82861D56}"/>
            </a:ext>
            <a:ext uri="{147F2762-F138-4A5C-976F-8EAC2B608ADB}">
              <a16:predDERef xmlns:a16="http://schemas.microsoft.com/office/drawing/2014/main" pred="{3CC8C21F-52B2-4188-9015-A579F60B77D3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0029E61C-1E78-41A3-AA95-983756E0E9BE}"/>
            </a:ext>
            <a:ext uri="{147F2762-F138-4A5C-976F-8EAC2B608ADB}">
              <a16:predDERef xmlns:a16="http://schemas.microsoft.com/office/drawing/2014/main" pred="{FA7180EF-2E18-4BB6-8148-261B82861D56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F5D1E9A5-9786-433F-BE44-6FDA625F8B99}"/>
            </a:ext>
            <a:ext uri="{147F2762-F138-4A5C-976F-8EAC2B608ADB}">
              <a16:predDERef xmlns:a16="http://schemas.microsoft.com/office/drawing/2014/main" pred="{0029E61C-1E78-41A3-AA95-983756E0E9BE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7C7E5573-8A0D-4E3E-A3DB-E8A04AD01669}"/>
            </a:ext>
            <a:ext uri="{147F2762-F138-4A5C-976F-8EAC2B608ADB}">
              <a16:predDERef xmlns:a16="http://schemas.microsoft.com/office/drawing/2014/main" pred="{F5D1E9A5-9786-433F-BE44-6FDA625F8B99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18" name="Picture 10" descr="VIAGS xan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A5E338-18C8-425B-A362-1A170CF48DDB}"/>
            </a:ext>
            <a:ext uri="{147F2762-F138-4A5C-976F-8EAC2B608ADB}">
              <a16:predDERef xmlns:a16="http://schemas.microsoft.com/office/drawing/2014/main" pred="{7C7E5573-8A0D-4E3E-A3DB-E8A04AD01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0ACA90F9-B0C6-4D89-96E2-D6E7E76D1E41}"/>
            </a:ext>
            <a:ext uri="{147F2762-F138-4A5C-976F-8EAC2B608ADB}">
              <a16:predDERef xmlns:a16="http://schemas.microsoft.com/office/drawing/2014/main" pred="{BA504221-EBE0-405D-AB08-9B50D6C154C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6D258E1E-831B-47B5-B979-529A611591F7}"/>
            </a:ext>
            <a:ext uri="{147F2762-F138-4A5C-976F-8EAC2B608ADB}">
              <a16:predDERef xmlns:a16="http://schemas.microsoft.com/office/drawing/2014/main" pred="{0ACA90F9-B0C6-4D89-96E2-D6E7E76D1E4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C90C7958-4DB3-430B-9D8E-16980789BFD8}"/>
            </a:ext>
            <a:ext uri="{147F2762-F138-4A5C-976F-8EAC2B608ADB}">
              <a16:predDERef xmlns:a16="http://schemas.microsoft.com/office/drawing/2014/main" pred="{6D258E1E-831B-47B5-B979-529A611591F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A073824F-409D-4D2D-A9EE-D520DC273AAF}"/>
            </a:ext>
            <a:ext uri="{147F2762-F138-4A5C-976F-8EAC2B608ADB}">
              <a16:predDERef xmlns:a16="http://schemas.microsoft.com/office/drawing/2014/main" pred="{C90C7958-4DB3-430B-9D8E-16980789BFD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DC990357-8BD7-4175-838B-77E8F6204DDB}"/>
            </a:ext>
            <a:ext uri="{147F2762-F138-4A5C-976F-8EAC2B608ADB}">
              <a16:predDERef xmlns:a16="http://schemas.microsoft.com/office/drawing/2014/main" pred="{A073824F-409D-4D2D-A9EE-D520DC273AA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994DC939-E820-4E67-8810-27BAC7FA65EB}"/>
            </a:ext>
            <a:ext uri="{147F2762-F138-4A5C-976F-8EAC2B608ADB}">
              <a16:predDERef xmlns:a16="http://schemas.microsoft.com/office/drawing/2014/main" pred="{DC990357-8BD7-4175-838B-77E8F6204DD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6198A553-1E1B-4978-8FDB-161095F2001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33EF4E60-EC2F-4548-B438-CA2FB7A993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2F87DA97-0E64-4815-A0E6-3D396F3FA7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F202B5EA-0E5C-46A2-9B51-1C06E5841A7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7223765D-078F-4E54-9FC6-7F36FCECA5B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4209A04F-E249-44D9-BBCB-98B5948DEFE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94E9D93E-825E-4B42-BAD3-12CD8FB49EB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118765C1-470A-4B02-994E-F77A21AC36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8">
          <a:extLst>
            <a:ext uri="{FF2B5EF4-FFF2-40B4-BE49-F238E27FC236}">
              <a16:creationId xmlns:a16="http://schemas.microsoft.com/office/drawing/2014/main" id="{B0280F5C-5939-4F46-B4F8-DE0A371288D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ABFCA47-B787-454C-8B98-A245E5CB03C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CAD2FA74-2D9E-4F5C-B04A-437947F834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9F6F45C9-A4E8-41E3-A902-64DF97468F3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AE0F56BC-4AC8-4DA0-85AE-23323DCB1AE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1A602701-18DD-4BDB-8A8D-0F46FFC47C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B6947B3D-FB8C-40FF-BC24-E394B1F3082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E6DADD9E-AAF2-4D14-BC5E-CE511D701F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2F909036-E9CF-4EC7-A9E3-CC809AFFEC4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2B3934B9-DD93-4A58-A4CF-2E18E15138C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80003049-94DD-4999-ABB9-D0779866C59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E289A935-57A8-45E4-A077-8EEB5462A91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6A22F1EB-08D3-4B5F-80D9-1FF96207A1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48CE98F-2679-4926-88AE-74809DE0C0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4936C5B7-6B91-4DD6-8CD6-14CBC7FC135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EFE9355-D46D-4CF9-BC4B-483B4469D5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2F8EB755-DBC2-4FA1-B827-E5AAB868D27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37DA1BC0-0FA5-4138-99F6-6822DB0C1A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D96C56B6-9208-4E39-B8DC-56C7B77D6B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C724C11A-145E-468C-B8EC-7F37A2AF456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DB97D973-D82F-4E39-809F-8055FDD0CE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3971AE31-23D0-4636-A33A-CAF43534142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AE9659AE-DA1E-41AB-AFDC-7A9E0D5227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D14CD7E6-C675-4ED2-8976-EC4ECBB1511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541A5523-E55E-4833-95DD-15362DC25A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6C6F9757-D3E6-4088-9499-2B094F65481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3710F5F9-463C-4961-9BC3-0FA3E3435CC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747B6399-DD61-4864-BDA4-2E8B9DA14F6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114300</xdr:rowOff>
    </xdr:from>
    <xdr:to>
      <xdr:col>8</xdr:col>
      <xdr:colOff>904875</xdr:colOff>
      <xdr:row>4</xdr:row>
      <xdr:rowOff>57150</xdr:rowOff>
    </xdr:to>
    <xdr:pic>
      <xdr:nvPicPr>
        <xdr:cNvPr id="4" name="Picture 4" descr="VIAGS xanh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219075"/>
          <a:ext cx="18002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1300-00000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3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3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00000000-0008-0000-1300-00000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00000000-0008-0000-1300-00000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00000000-0008-0000-1300-00000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1C154250-C049-47E9-BB20-ACCDAA270937}"/>
            </a:ext>
            <a:ext uri="{147F2762-F138-4A5C-976F-8EAC2B608ADB}">
              <a16:predDERef xmlns:a16="http://schemas.microsoft.com/office/drawing/2014/main" pred="{00000000-0008-0000-1300-00000C000000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CACE6DD4-312C-4531-87FF-F4FCDC84AE6E}"/>
            </a:ext>
            <a:ext uri="{147F2762-F138-4A5C-976F-8EAC2B608ADB}">
              <a16:predDERef xmlns:a16="http://schemas.microsoft.com/office/drawing/2014/main" pred="{1C154250-C049-47E9-BB20-ACCDAA270937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A3D2E7A2-BE2B-4C26-959F-38B100AC1949}"/>
            </a:ext>
            <a:ext uri="{147F2762-F138-4A5C-976F-8EAC2B608ADB}">
              <a16:predDERef xmlns:a16="http://schemas.microsoft.com/office/drawing/2014/main" pred="{CACE6DD4-312C-4531-87FF-F4FCDC84AE6E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B878ECF1-7410-4389-B692-8489EEE5D611}"/>
            </a:ext>
            <a:ext uri="{147F2762-F138-4A5C-976F-8EAC2B608ADB}">
              <a16:predDERef xmlns:a16="http://schemas.microsoft.com/office/drawing/2014/main" pred="{A3D2E7A2-BE2B-4C26-959F-38B100AC1949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40CCC433-3638-4643-94B0-CEE81B3DAB9F}"/>
            </a:ext>
            <a:ext uri="{147F2762-F138-4A5C-976F-8EAC2B608ADB}">
              <a16:predDERef xmlns:a16="http://schemas.microsoft.com/office/drawing/2014/main" pred="{B878ECF1-7410-4389-B692-8489EEE5D611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2450B526-58F6-44F3-8454-C39D0F6099B2}"/>
            </a:ext>
            <a:ext uri="{147F2762-F138-4A5C-976F-8EAC2B608ADB}">
              <a16:predDERef xmlns:a16="http://schemas.microsoft.com/office/drawing/2014/main" pred="{40CCC433-3638-4643-94B0-CEE81B3DAB9F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18" name="Picture 10" descr="VIAGS xan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A76A6A-AAD1-41E1-B078-C062F74D9DB2}"/>
            </a:ext>
            <a:ext uri="{147F2762-F138-4A5C-976F-8EAC2B608ADB}">
              <a16:predDERef xmlns:a16="http://schemas.microsoft.com/office/drawing/2014/main" pred="{2450B526-58F6-44F3-8454-C39D0F609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87DF2398-D62A-4CDE-9E52-3C1DBA9F4935}"/>
            </a:ext>
            <a:ext uri="{147F2762-F138-4A5C-976F-8EAC2B608ADB}">
              <a16:predDERef xmlns:a16="http://schemas.microsoft.com/office/drawing/2014/main" pred="{DFE09274-A292-4BE1-8089-DEF6E8BE25D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D844CEB0-D584-4514-AE66-5CEAEF00A56B}"/>
            </a:ext>
            <a:ext uri="{147F2762-F138-4A5C-976F-8EAC2B608ADB}">
              <a16:predDERef xmlns:a16="http://schemas.microsoft.com/office/drawing/2014/main" pred="{87DF2398-D62A-4CDE-9E52-3C1DBA9F49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1633D49D-E695-4BE0-BE5D-F447F4DD8F88}"/>
            </a:ext>
            <a:ext uri="{147F2762-F138-4A5C-976F-8EAC2B608ADB}">
              <a16:predDERef xmlns:a16="http://schemas.microsoft.com/office/drawing/2014/main" pred="{D844CEB0-D584-4514-AE66-5CEAEF00A56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10FD9BC6-94ED-47AD-8D8F-121376C362C1}"/>
            </a:ext>
            <a:ext uri="{147F2762-F138-4A5C-976F-8EAC2B608ADB}">
              <a16:predDERef xmlns:a16="http://schemas.microsoft.com/office/drawing/2014/main" pred="{1633D49D-E695-4BE0-BE5D-F447F4DD8F8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92D41E6B-4720-45CE-BDC0-AC9E47507B31}"/>
            </a:ext>
            <a:ext uri="{147F2762-F138-4A5C-976F-8EAC2B608ADB}">
              <a16:predDERef xmlns:a16="http://schemas.microsoft.com/office/drawing/2014/main" pred="{10FD9BC6-94ED-47AD-8D8F-121376C362C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D4A1B9DC-E53F-499E-B3E4-47BA7483DC12}"/>
            </a:ext>
            <a:ext uri="{147F2762-F138-4A5C-976F-8EAC2B608ADB}">
              <a16:predDERef xmlns:a16="http://schemas.microsoft.com/office/drawing/2014/main" pred="{92D41E6B-4720-45CE-BDC0-AC9E47507B3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D857105C-7F6F-4B69-AA0F-69233369ED1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54B403C4-2794-47BC-921A-E11ED03CB5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17C1E191-FA4B-4B6E-90F1-9BB279C84D3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D8B6AC04-83BF-4BFA-9AAD-3D2C9B218D5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863B6826-63CA-481E-93D5-D3109B393B3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BA2E1723-D037-4154-9893-FB3C96AF44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4717F78A-0F50-44B9-A394-C512E0A152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DAF2E427-EE4B-4953-94BD-4C64D227C7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8">
          <a:extLst>
            <a:ext uri="{FF2B5EF4-FFF2-40B4-BE49-F238E27FC236}">
              <a16:creationId xmlns:a16="http://schemas.microsoft.com/office/drawing/2014/main" id="{1DC47F88-E7E8-45AA-80CF-AE251B07CF2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238E8BD-D7E9-46B2-858D-65341DBAC6D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9760107D-C04D-4F20-AB20-92C2709BFF2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6BC3D89F-2751-4A43-994D-A11C454E99A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003DCFF9-13FB-461D-8DF2-87C468AA71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B058E1F2-E1F1-4CB4-9DDD-2C46BC7E98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43683B30-61F7-4E0D-8D10-579415293E0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8D86F545-E0A8-4D12-ABB3-7562B8A1027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D080968B-9ECA-4E9E-9728-547D563D8BA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5F1153C2-3471-4285-B483-169B635ABA8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41B00BCD-F1B0-4C0E-8129-5DA26A370E5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1740C237-7A93-45F2-95EC-166B6142107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30CAADE6-5288-4963-9B90-56F5D4E3815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5442302-9EFA-4C6C-9F58-A97A85B8879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D859FAD-6FB4-4B85-B6C2-62ACCB245CB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771CE517-F2E4-4F48-8EF2-C6DB3910790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9710177F-E2EC-4212-A3BD-B9412DB90BF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16F7B9F4-2497-4805-83ED-C543923F0B6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7D7EA567-27A2-466B-81F4-901BBCA432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7EE2E806-81D8-4376-AB2D-732AF601CEB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E40D78A5-B584-46C3-9273-9647AA815A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B6056CC9-9677-4EA6-8374-9122EAA8064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70CB1356-6CE7-4AA8-8910-3808799DBDE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42265615-4BF6-44CF-8950-4AAB783D01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CF794605-2DD6-4FBA-92CC-17640532676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47A3BA5-C52F-4E69-83B9-4EC285705F6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8F07597-FFF1-4186-9959-9079E433048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4C224BD8-E014-4449-9FCB-2B0328038F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114300</xdr:rowOff>
    </xdr:from>
    <xdr:to>
      <xdr:col>8</xdr:col>
      <xdr:colOff>914400</xdr:colOff>
      <xdr:row>4</xdr:row>
      <xdr:rowOff>57150</xdr:rowOff>
    </xdr:to>
    <xdr:pic>
      <xdr:nvPicPr>
        <xdr:cNvPr id="4" name="Picture 4" descr="VIAGS xanh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219075"/>
          <a:ext cx="18097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1400-00000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4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4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570EE7-BFD0-420E-BB39-F957BA5E43D2}"/>
            </a:ext>
            <a:ext uri="{147F2762-F138-4A5C-976F-8EAC2B608ADB}">
              <a16:predDERef xmlns:a16="http://schemas.microsoft.com/office/drawing/2014/main" pred="{00000000-0008-0000-1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D49BCA09-0B46-4B7E-991E-00D699BE297A}"/>
            </a:ext>
            <a:ext uri="{147F2762-F138-4A5C-976F-8EAC2B608ADB}">
              <a16:predDERef xmlns:a16="http://schemas.microsoft.com/office/drawing/2014/main" pred="{3C404A8F-5BC6-4A6B-B432-13B5E685C2E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5A521943-02FD-4B90-983C-F3504EEAA504}"/>
            </a:ext>
            <a:ext uri="{147F2762-F138-4A5C-976F-8EAC2B608ADB}">
              <a16:predDERef xmlns:a16="http://schemas.microsoft.com/office/drawing/2014/main" pred="{D49BCA09-0B46-4B7E-991E-00D699BE297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218DA2AB-1DB9-423A-9C57-AA1626180EBD}"/>
            </a:ext>
            <a:ext uri="{147F2762-F138-4A5C-976F-8EAC2B608ADB}">
              <a16:predDERef xmlns:a16="http://schemas.microsoft.com/office/drawing/2014/main" pred="{5A521943-02FD-4B90-983C-F3504EEAA50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C142FFF5-257E-499A-944F-9AC1BE2725B6}"/>
            </a:ext>
            <a:ext uri="{147F2762-F138-4A5C-976F-8EAC2B608ADB}">
              <a16:predDERef xmlns:a16="http://schemas.microsoft.com/office/drawing/2014/main" pred="{218DA2AB-1DB9-423A-9C57-AA1626180EB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8C24DACC-75CD-4543-ACEB-392D025A3BDB}"/>
            </a:ext>
            <a:ext uri="{147F2762-F138-4A5C-976F-8EAC2B608ADB}">
              <a16:predDERef xmlns:a16="http://schemas.microsoft.com/office/drawing/2014/main" pred="{C142FFF5-257E-499A-944F-9AC1BE2725B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96F45CFA-C581-44B7-B61D-6D2129324B4B}"/>
            </a:ext>
            <a:ext uri="{147F2762-F138-4A5C-976F-8EAC2B608ADB}">
              <a16:predDERef xmlns:a16="http://schemas.microsoft.com/office/drawing/2014/main" pred="{8C24DACC-75CD-4543-ACEB-392D025A3BD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CBFA290C-E5FD-4939-98E5-D8BE17D15E6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FFB48914-7329-4C1F-99DE-E4F065C1CE8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7A572B83-A37A-4EB6-AA43-6964026F817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1C9140D6-30E4-4232-AD74-B1178D38E8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D5195AC9-D5A3-42C5-8916-0902E7C717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7D117E9E-6B5D-4416-9F5A-B712EA0C62B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36A14182-6BC5-4EB2-9A5E-332F6319D4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7">
          <a:extLst>
            <a:ext uri="{FF2B5EF4-FFF2-40B4-BE49-F238E27FC236}">
              <a16:creationId xmlns:a16="http://schemas.microsoft.com/office/drawing/2014/main" id="{7BDCCC50-D9DF-48F1-8F8C-609CFE00703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8">
          <a:extLst>
            <a:ext uri="{FF2B5EF4-FFF2-40B4-BE49-F238E27FC236}">
              <a16:creationId xmlns:a16="http://schemas.microsoft.com/office/drawing/2014/main" id="{4173D55E-3FD2-4698-B5D4-45D0B3AE89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8E9A1AD-1D6B-491F-8C4E-44CA16FBFF0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552449A4-BD60-4AA4-8362-E60681C1EE1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56ECB1C5-0015-4F5E-A228-894FA5E536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0DAF2707-77E4-4260-8341-DE9420BDFA2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1501D40A-12B0-4C2B-BF57-20733045EB0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D67C03D6-9501-487F-B002-B65A9F7CBC7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85961C76-DB18-48ED-9568-5C3E407AFA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BCF7594B-BD57-439A-8A9B-86268601002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F1678BCF-911B-44F8-8FAA-3B78CD1674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1FC7E747-E900-4F23-9760-D70C7773A6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7EE3EB49-4DF1-40DB-98AF-D7FB60CFFA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E06CD9CA-92BD-4527-A2E2-C4540562FD8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883C0DB-F77E-4C2D-8081-4C7B821AB38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BF330F99-26DA-473D-B7C8-4B542257EFD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EB62106-1080-4858-A39B-F066124D45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EDD057E6-E5E2-476A-BAA8-470577AEDE7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30F2A4B0-D0CE-4ECF-8EF0-8BDC3E67CC8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2305D242-A23B-401D-B469-E7C8C6F771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719B76E1-55B9-4712-A1AE-EBCBB8C263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4ADDB2AF-1E99-4C20-ABF5-25126E92444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695CF21A-9DE7-4925-9CCA-D584966D54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16AC7868-C787-4013-89DA-905CEE72EAB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FA61A8D6-CEA6-48F2-BB41-F5B5769CC0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12C344F9-5094-41F7-9FA1-5C62895F680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DC7F45F5-79D7-489E-95CE-1708186914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CE6C03D4-CB0C-4647-B2CA-1DC0C8EB644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45354530-F13D-40D9-B105-253237E9049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206828</xdr:rowOff>
    </xdr:from>
    <xdr:to>
      <xdr:col>8</xdr:col>
      <xdr:colOff>845820</xdr:colOff>
      <xdr:row>4</xdr:row>
      <xdr:rowOff>60959</xdr:rowOff>
    </xdr:to>
    <xdr:pic>
      <xdr:nvPicPr>
        <xdr:cNvPr id="4" name="Picture 4" descr="VIAGS xanh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315685"/>
          <a:ext cx="1743891" cy="5399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1500-00000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5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5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86731B-A1C6-4D5B-B1B6-2C62A3C3CC95}"/>
            </a:ext>
            <a:ext uri="{147F2762-F138-4A5C-976F-8EAC2B608ADB}">
              <a16:predDERef xmlns:a16="http://schemas.microsoft.com/office/drawing/2014/main" pre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89D53CF0-CD58-4D18-A7B6-50013611E969}"/>
            </a:ext>
            <a:ext uri="{147F2762-F138-4A5C-976F-8EAC2B608ADB}">
              <a16:predDERef xmlns:a16="http://schemas.microsoft.com/office/drawing/2014/main" pred="{A01FA422-5E9A-4D0A-BC82-8EAA25AA63A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70709223-9F0E-4FD2-9D63-455012122147}"/>
            </a:ext>
            <a:ext uri="{147F2762-F138-4A5C-976F-8EAC2B608ADB}">
              <a16:predDERef xmlns:a16="http://schemas.microsoft.com/office/drawing/2014/main" pred="{89D53CF0-CD58-4D18-A7B6-50013611E96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C5D68E85-6CBC-4A5F-896A-7B2345C4618B}"/>
            </a:ext>
            <a:ext uri="{147F2762-F138-4A5C-976F-8EAC2B608ADB}">
              <a16:predDERef xmlns:a16="http://schemas.microsoft.com/office/drawing/2014/main" pred="{70709223-9F0E-4FD2-9D63-45501212214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AAB375D8-FB43-4F47-946D-B45FC4EFF8CC}"/>
            </a:ext>
            <a:ext uri="{147F2762-F138-4A5C-976F-8EAC2B608ADB}">
              <a16:predDERef xmlns:a16="http://schemas.microsoft.com/office/drawing/2014/main" pred="{C5D68E85-6CBC-4A5F-896A-7B2345C4618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42B60CF4-43C4-4656-A448-0604E103277D}"/>
            </a:ext>
            <a:ext uri="{147F2762-F138-4A5C-976F-8EAC2B608ADB}">
              <a16:predDERef xmlns:a16="http://schemas.microsoft.com/office/drawing/2014/main" pred="{AAB375D8-FB43-4F47-946D-B45FC4EFF8C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134F7A49-158D-477A-AC07-15125361C890}"/>
            </a:ext>
            <a:ext uri="{147F2762-F138-4A5C-976F-8EAC2B608ADB}">
              <a16:predDERef xmlns:a16="http://schemas.microsoft.com/office/drawing/2014/main" pred="{42B60CF4-43C4-4656-A448-0604E103277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FE8A7EA6-8868-4C56-B6C0-458E5D39566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E66234D9-228B-408D-AF2E-4B1091C7BB4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350927B1-E845-489C-8641-AB4CB961FA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BAAEE2FD-93F6-40AB-BF31-F7EB33B05BA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CA0B5468-DEBF-4876-92F7-628385B782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3590226D-1BD9-4F6B-B7D1-2F0077E5D4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EA31549A-3504-4482-A680-96B739B18A7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7">
          <a:extLst>
            <a:ext uri="{FF2B5EF4-FFF2-40B4-BE49-F238E27FC236}">
              <a16:creationId xmlns:a16="http://schemas.microsoft.com/office/drawing/2014/main" id="{59D8BE5D-CD94-447C-92CB-39E57F80FF4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8">
          <a:extLst>
            <a:ext uri="{FF2B5EF4-FFF2-40B4-BE49-F238E27FC236}">
              <a16:creationId xmlns:a16="http://schemas.microsoft.com/office/drawing/2014/main" id="{27E6845B-F790-47DF-8246-241C89E338D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DC35023-6A3E-41E7-B9D8-2B871FCD908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2D76ED45-1594-4D7D-9039-C43B17A525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4B9CB642-A051-4A9A-ADB4-D0E2FB1755E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24F46474-A284-40AC-9D17-EDDD9A5C80A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DE23FD0B-BB34-4764-9274-D47FB1B3EE9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DBC0567C-5EF0-4530-B448-71CA0800AD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2714480D-DA44-425D-892B-9C7BC7D7F11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5096B723-FA17-4BB9-A76C-B09E8A2F6CB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3F704212-9C08-4A9A-AD55-1BE0DB03E9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48E1D66A-F8E7-47A7-9679-E51D539AE33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A2E16906-3101-4036-A217-01A58D6D790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E2598363-5E8A-461B-9677-6A03601A7A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5EB8E49-2171-4F5C-BD69-3A8D174A154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6679A58-9E7E-4B53-8F01-B50051A058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81B406CB-A38C-4D12-9384-9FE9D1D62A9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9A2CAF7D-3E5B-4A89-81AC-3B67DBD61C3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49F6C61A-22FB-4E50-BAF7-4776A0F05F8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4B54FEF2-9C72-487C-AEEC-43B1F001FDC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3456739E-CAA9-4729-922B-16C7748D842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985535E8-3A8A-4E3A-BA93-CF3AE3089DB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2DDB0287-8E77-4F26-BF0E-C224D91500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826B7B09-A095-4571-9E3D-27BFA3AE46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73747F27-37D0-44F8-A5BE-A08467D74C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ABB748BB-9CFC-4149-9BFF-0F881032274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2FC0A2F7-1A45-400C-B970-11456FAB7C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1D9D33D-94E9-48A9-A0D8-E709E15AD4E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AA8DBD2-51F2-4A2A-B08C-0B5DB2F116A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114300</xdr:rowOff>
    </xdr:from>
    <xdr:to>
      <xdr:col>8</xdr:col>
      <xdr:colOff>933450</xdr:colOff>
      <xdr:row>4</xdr:row>
      <xdr:rowOff>57150</xdr:rowOff>
    </xdr:to>
    <xdr:pic>
      <xdr:nvPicPr>
        <xdr:cNvPr id="4" name="Picture 4" descr="VIAGS xanh">
          <a:extLst>
            <a:ext uri="{FF2B5EF4-FFF2-40B4-BE49-F238E27FC236}">
              <a16:creationId xmlns:a16="http://schemas.microsoft.com/office/drawing/2014/main" id="{00000000-0008-0000-1600-000004000000}"/>
            </a:ext>
            <a:ext uri="{147F2762-F138-4A5C-976F-8EAC2B608ADB}">
              <a16:predDERef xmlns:a16="http://schemas.microsoft.com/office/drawing/2014/main" pre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219075"/>
          <a:ext cx="1828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1600-00000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6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6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B35D26-7A7B-4FEE-8D79-200891D3E477}"/>
            </a:ext>
            <a:ext uri="{147F2762-F138-4A5C-976F-8EAC2B608ADB}">
              <a16:predDERef xmlns:a16="http://schemas.microsoft.com/office/drawing/2014/main" pred="{00000000-0008-0000-1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B7D250B6-4BDE-4F68-8E1B-F9BFC0C5D800}"/>
            </a:ext>
            <a:ext uri="{147F2762-F138-4A5C-976F-8EAC2B608ADB}">
              <a16:predDERef xmlns:a16="http://schemas.microsoft.com/office/drawing/2014/main" pred="{D889263A-E73C-412F-8FF2-01A48D098A3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14486CE5-CF7A-4672-8B5F-64D31E47010C}"/>
            </a:ext>
            <a:ext uri="{147F2762-F138-4A5C-976F-8EAC2B608ADB}">
              <a16:predDERef xmlns:a16="http://schemas.microsoft.com/office/drawing/2014/main" pred="{B7D250B6-4BDE-4F68-8E1B-F9BFC0C5D80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1F33FF32-D134-44F1-B0DB-FCABE124964A}"/>
            </a:ext>
            <a:ext uri="{147F2762-F138-4A5C-976F-8EAC2B608ADB}">
              <a16:predDERef xmlns:a16="http://schemas.microsoft.com/office/drawing/2014/main" pred="{14486CE5-CF7A-4672-8B5F-64D31E47010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C1911813-53F6-4E7B-AC42-D2179E880F76}"/>
            </a:ext>
            <a:ext uri="{147F2762-F138-4A5C-976F-8EAC2B608ADB}">
              <a16:predDERef xmlns:a16="http://schemas.microsoft.com/office/drawing/2014/main" pred="{1F33FF32-D134-44F1-B0DB-FCABE124964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485EDDC1-92DB-485E-AA7A-699C6F893785}"/>
            </a:ext>
            <a:ext uri="{147F2762-F138-4A5C-976F-8EAC2B608ADB}">
              <a16:predDERef xmlns:a16="http://schemas.microsoft.com/office/drawing/2014/main" pred="{C1911813-53F6-4E7B-AC42-D2179E880F7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FAB38425-B0DD-4C8F-A243-0026CA06A7FF}"/>
            </a:ext>
            <a:ext uri="{147F2762-F138-4A5C-976F-8EAC2B608ADB}">
              <a16:predDERef xmlns:a16="http://schemas.microsoft.com/office/drawing/2014/main" pred="{485EDDC1-92DB-485E-AA7A-699C6F89378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A6B3DCF6-99DD-4B34-9336-D2338DF19F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CED47949-568C-4129-980E-202F08245C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AE5B64DC-F08D-4AED-8361-758A538430F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30B8F4A7-0B13-44CB-A28D-5126EC8B03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FE9EFA40-20F4-4775-9A16-267E0A4C36B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5FAEE7D3-D8F9-4B25-A815-1FA18684E28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96BE8506-E10F-484D-A5FE-E3AB2048DC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7">
          <a:extLst>
            <a:ext uri="{FF2B5EF4-FFF2-40B4-BE49-F238E27FC236}">
              <a16:creationId xmlns:a16="http://schemas.microsoft.com/office/drawing/2014/main" id="{34CB64EE-FCFD-4AE1-8BA8-3098B33BB6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8">
          <a:extLst>
            <a:ext uri="{FF2B5EF4-FFF2-40B4-BE49-F238E27FC236}">
              <a16:creationId xmlns:a16="http://schemas.microsoft.com/office/drawing/2014/main" id="{36E56B35-56C3-4800-BFE4-FA82BF7754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5871B56-C7A2-4F6B-B7BE-4ED49E2A1C8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14DECCCE-0CB5-4083-93FE-2B132F3D5A9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B085D743-4A00-4BCE-8771-0B2E22D9FC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286E7279-9467-4871-AF2E-1527AD849E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E973D3BC-53CB-4F15-9B03-4DC8A7E3904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0452CA50-E9B5-4F33-B4F9-FA16BE71A4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3597F7B4-EB1A-4392-A5E2-01CB405DCE5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87443128-6825-495F-BD57-68DE98BA8F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4106BE5A-8505-44CA-B850-966ECAC5861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35E6F8F1-BF3A-42A6-8330-0F024EFFB8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2F8A8F15-4B3B-44A7-BB82-8E13A086105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9A3EBF31-F412-4C2C-850A-C797D157DB9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660EA05-AD04-4548-823E-C2BF7014E6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3434A50-71DD-4859-8069-A2C879F36D5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4F37567-D32A-48AE-B3B9-2992D8F3586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2DCE8CA9-29A6-4CCF-A66E-C70BB30456F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04C6184D-E911-47A8-A781-E395B3F2FB7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F97595B7-633A-4A6D-B294-E432306659C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02C3C85C-EBC9-4059-9956-D2A90A52A1A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E9FE7746-E5B5-4C32-AA72-0D4B0346D3C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13C91CFA-F86A-47C1-BFE3-91FC36498E0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97055FC8-5591-46D3-BCA3-B24D3D8099E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6E48A37D-B362-4FA0-8B1D-BF57F389E2A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5B8FC538-B2EB-46B8-A245-2BB467E6F9D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2EFE069-0910-4A05-A623-C56C923612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CBB4C87-B283-4C98-BEA5-BAD2BB0B750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52F459DD-158A-43F5-87C8-598B024C7FB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4">
          <a:extLst>
            <a:ext uri="{FF2B5EF4-FFF2-40B4-BE49-F238E27FC236}">
              <a16:creationId xmlns:a16="http://schemas.microsoft.com/office/drawing/2014/main" id="{00000000-0008-0000-1700-000007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7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7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0EFD6F-6812-4F9D-B5A3-80008DE8DE85}"/>
            </a:ext>
            <a:ext uri="{147F2762-F138-4A5C-976F-8EAC2B608ADB}">
              <a16:predDERef xmlns:a16="http://schemas.microsoft.com/office/drawing/2014/main" pred="{00000000-0008-0000-1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0" name="Picture 4" descr="VIAGS xanh">
          <a:extLst>
            <a:ext uri="{FF2B5EF4-FFF2-40B4-BE49-F238E27FC236}">
              <a16:creationId xmlns:a16="http://schemas.microsoft.com/office/drawing/2014/main" id="{D0000E19-4EB3-4D23-BD6C-4F848431860B}"/>
            </a:ext>
            <a:ext uri="{147F2762-F138-4A5C-976F-8EAC2B608ADB}">
              <a16:predDERef xmlns:a16="http://schemas.microsoft.com/office/drawing/2014/main" pred="{360EFD6F-6812-4F9D-B5A3-80008DE8D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157D8215-3F49-43AD-BCBB-3C4DD17109A3}"/>
            </a:ext>
            <a:ext uri="{147F2762-F138-4A5C-976F-8EAC2B608ADB}">
              <a16:predDERef xmlns:a16="http://schemas.microsoft.com/office/drawing/2014/main" pred="{17854F09-10C1-41E1-A1BC-967AB6790C2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51A6F6E8-B69D-49EE-8695-5409877573A8}"/>
            </a:ext>
            <a:ext uri="{147F2762-F138-4A5C-976F-8EAC2B608ADB}">
              <a16:predDERef xmlns:a16="http://schemas.microsoft.com/office/drawing/2014/main" pred="{157D8215-3F49-43AD-BCBB-3C4DD17109A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EAB409BD-27D9-4521-A26C-7C697E3B810A}"/>
            </a:ext>
            <a:ext uri="{147F2762-F138-4A5C-976F-8EAC2B608ADB}">
              <a16:predDERef xmlns:a16="http://schemas.microsoft.com/office/drawing/2014/main" pred="{51A6F6E8-B69D-49EE-8695-5409877573A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CD520E89-1E19-4DB9-A861-D619F57D310F}"/>
            </a:ext>
            <a:ext uri="{147F2762-F138-4A5C-976F-8EAC2B608ADB}">
              <a16:predDERef xmlns:a16="http://schemas.microsoft.com/office/drawing/2014/main" pred="{EAB409BD-27D9-4521-A26C-7C697E3B810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14F9F049-2C03-4B67-9072-5EC8B04D2449}"/>
            </a:ext>
            <a:ext uri="{147F2762-F138-4A5C-976F-8EAC2B608ADB}">
              <a16:predDERef xmlns:a16="http://schemas.microsoft.com/office/drawing/2014/main" pred="{CD520E89-1E19-4DB9-A861-D619F57D310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6BB46240-713D-4049-87C4-82AD47786957}"/>
            </a:ext>
            <a:ext uri="{147F2762-F138-4A5C-976F-8EAC2B608ADB}">
              <a16:predDERef xmlns:a16="http://schemas.microsoft.com/office/drawing/2014/main" pred="{14F9F049-2C03-4B67-9072-5EC8B04D244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25767807-A168-4FAB-B4C5-8ABD5C1EC02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E3492177-8C3F-4590-AE4C-0AFB5FF3694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44C2570F-616F-46FB-B0BA-3C179A4F8D1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0C2B821D-3E32-47C0-AA7F-547468EB515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8937F428-7DCB-48DF-95E2-904D7AE8E4C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857185E1-18D1-4D94-92EC-95A728D64A3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5D62DFC3-F2C8-48E7-9B85-204127A992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78A9654D-76DF-4B87-94F2-467D2F2B153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16133D5E-BF39-462A-AAFB-EBB952BA4B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FC242D1-F27F-40A6-98C8-2F43991EE36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813B4B2C-E0E2-4612-A953-7F521F4ED07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33BF99E7-399C-4687-92DB-C4EF96CD17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12090923-BDA5-4DEF-8A54-E42C5B42C68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664D4E57-658A-4C2F-B66B-D1DBCEEDF15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F5ECCE62-CD75-455C-8584-0723FA6E98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B8C66513-0A38-4B18-BB96-BB12B5EC47E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4532026A-5BBA-4612-A7E4-2A5FE46E110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04E2B569-11AD-44E1-9085-754C467A45A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B545FCCC-0C1D-4BC0-BE26-C2BDF727A1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D2EAF36B-5C19-4B4B-8818-3118BFA2C8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9DC67991-AFC7-40C0-A7DA-3BAA8EE68A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8E96414-EE44-49B7-985F-20A5E074AA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312B98D-944F-4D6D-9214-3CEA95DB68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CEEF156-089D-4C62-BFF1-1B8FFD3980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CF8937A2-928D-49B5-A21B-2129A5DCDD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B442C0B0-0014-435B-9758-7216AE480E7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74CD0DDD-ACCD-495C-A208-6ABA2877B2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9B5CC7E8-99FE-4786-9746-423E801D5F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496723A6-5A8B-4B81-99B8-2BD659002DE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1C051C8B-CBA2-4A13-BCC4-A9498EE1E8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DD17A3BF-9EC9-4CA3-8E39-F83319B0526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18B857BF-44AB-455C-9DE0-FE12253ED36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5CE30756-41BF-4F15-956A-D5E57E56F8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EB13BB3-AE2E-4828-B8A8-0463E31B16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B513EAE7-79AA-4F03-AFD6-D7DB68AD05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8C77229-E837-4E8B-9F46-8D4EEF2CE1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1800-00000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8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8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B18A85-4C73-4E5B-9817-B0394E496A02}"/>
            </a:ext>
            <a:ext uri="{147F2762-F138-4A5C-976F-8EAC2B608ADB}">
              <a16:predDERef xmlns:a16="http://schemas.microsoft.com/office/drawing/2014/main" pred="{00000000-0008-0000-1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0" name="Picture 4" descr="VIAGS xanh">
          <a:extLst>
            <a:ext uri="{FF2B5EF4-FFF2-40B4-BE49-F238E27FC236}">
              <a16:creationId xmlns:a16="http://schemas.microsoft.com/office/drawing/2014/main" id="{C6919AD0-526B-4D99-A5BC-E9833B5858AB}"/>
            </a:ext>
            <a:ext uri="{147F2762-F138-4A5C-976F-8EAC2B608ADB}">
              <a16:predDERef xmlns:a16="http://schemas.microsoft.com/office/drawing/2014/main" pred="{5BB18A85-4C73-4E5B-9817-B0394E496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8E90CFCB-2F0C-4EA9-B0E9-F55AF83DB641}"/>
            </a:ext>
            <a:ext uri="{147F2762-F138-4A5C-976F-8EAC2B608ADB}">
              <a16:predDERef xmlns:a16="http://schemas.microsoft.com/office/drawing/2014/main" pred="{A72A72EE-5C0B-459B-B6E5-D15319189EE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6175A89E-D86B-49A9-812E-08F0A19A7A42}"/>
            </a:ext>
            <a:ext uri="{147F2762-F138-4A5C-976F-8EAC2B608ADB}">
              <a16:predDERef xmlns:a16="http://schemas.microsoft.com/office/drawing/2014/main" pred="{8E90CFCB-2F0C-4EA9-B0E9-F55AF83DB64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891E3132-2AA5-4385-B497-A178210A5610}"/>
            </a:ext>
            <a:ext uri="{147F2762-F138-4A5C-976F-8EAC2B608ADB}">
              <a16:predDERef xmlns:a16="http://schemas.microsoft.com/office/drawing/2014/main" pred="{6175A89E-D86B-49A9-812E-08F0A19A7A4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BCD09352-5124-4F05-8B43-EFDB68661726}"/>
            </a:ext>
            <a:ext uri="{147F2762-F138-4A5C-976F-8EAC2B608ADB}">
              <a16:predDERef xmlns:a16="http://schemas.microsoft.com/office/drawing/2014/main" pred="{891E3132-2AA5-4385-B497-A178210A561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1A5C35B3-AB58-4B03-A824-0E4B230F3E43}"/>
            </a:ext>
            <a:ext uri="{147F2762-F138-4A5C-976F-8EAC2B608ADB}">
              <a16:predDERef xmlns:a16="http://schemas.microsoft.com/office/drawing/2014/main" pred="{BCD09352-5124-4F05-8B43-EFDB6866172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E51D5093-9FC9-41BF-B922-1B133EC88D41}"/>
            </a:ext>
            <a:ext uri="{147F2762-F138-4A5C-976F-8EAC2B608ADB}">
              <a16:predDERef xmlns:a16="http://schemas.microsoft.com/office/drawing/2014/main" pred="{1A5C35B3-AB58-4B03-A824-0E4B230F3E4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6A2224D4-3964-4DB4-9053-6DF5AA1459F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34839BD9-4E72-498A-9DA3-EF892204D3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3ACD529B-6BCA-4A71-8F3E-66B69591B58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F7AE4CEE-3751-4DC4-B864-17140F4057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4C298AAF-0FA5-4CE6-94EB-9A200B6335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E89DA086-4E1D-4510-BF18-043CA0FCFD7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8B7D7192-BB96-47F6-B8F0-3F2C608AE5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75D86353-D013-4A56-90ED-B4DB34A61D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E1167929-20D9-4124-A52D-5829891C7F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2068C28-C5FE-44F4-B7C0-359DE3CEAE8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204F7680-D1DB-444A-AB2E-7045A851801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476E9198-0327-4E92-B176-680EECA4A8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050B46F7-DE60-4480-8201-4EB4CFC4DB0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F617D3BA-0C9F-46D1-87BF-77F742B850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5BFBEBCD-A3A7-442F-8EBB-AFBB5D83556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3A185881-1E69-4E27-A027-E5E8DFF275E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48E3D274-10B8-4C6C-81A7-B5B82879DFA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518954D7-BA39-4BA2-B427-D2CE92AA4A0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E01B4F5C-77FA-41B0-8D85-03574A6950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A13AEF04-53A8-4EF8-858B-B6F13803C5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8022B36B-83DD-442F-8C3E-41375E2ABDF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7D52BA3-68D8-4384-8E44-B5C2633E9CB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9EFD3B2D-29E5-4C04-B623-4DE41A0E1E1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FBC69052-8B51-40C4-94B9-77FA79E613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152ABD4A-5E79-4232-B958-0A8F2913610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79731FAB-EF40-4491-825C-363CD53076A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41147E15-4172-4DF6-81A8-F8A2B510639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92F88C76-AA2F-4D0B-9410-10C90FF701D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0117ADB9-7722-441D-A339-16ED73B0BC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63C9BF96-E9E4-4DE1-8252-49140CCCDF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F136DB39-C4F8-47E0-95FD-4077A73079E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3A14B251-DF74-4732-94A5-FD4763EAC7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9D6CEFAA-D05A-46D4-85C1-8821E21E029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D33B317D-F1C8-4285-865F-61B1AF51D0C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1D564315-EA8A-4F79-8822-5F1CAA8154C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89DAE8DA-00C7-4A72-B12F-289E1E8C5DB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 txBox="1"/>
      </xdr:nvSpPr>
      <xdr:spPr>
        <a:xfrm>
          <a:off x="127730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 txBox="1"/>
      </xdr:nvSpPr>
      <xdr:spPr>
        <a:xfrm>
          <a:off x="127730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1900-00000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9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9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D23B60-84CD-46B7-8701-E726437B8B20}"/>
            </a:ext>
            <a:ext uri="{147F2762-F138-4A5C-976F-8EAC2B608ADB}">
              <a16:predDERef xmlns:a16="http://schemas.microsoft.com/office/drawing/2014/main" pred="{00000000-0008-0000-19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85452</xdr:colOff>
      <xdr:row>1</xdr:row>
      <xdr:rowOff>176077</xdr:rowOff>
    </xdr:from>
    <xdr:to>
      <xdr:col>8</xdr:col>
      <xdr:colOff>930814</xdr:colOff>
      <xdr:row>4</xdr:row>
      <xdr:rowOff>77017</xdr:rowOff>
    </xdr:to>
    <xdr:pic>
      <xdr:nvPicPr>
        <xdr:cNvPr id="10" name="Picture 4" descr="VIAGS xanh">
          <a:extLst>
            <a:ext uri="{FF2B5EF4-FFF2-40B4-BE49-F238E27FC236}">
              <a16:creationId xmlns:a16="http://schemas.microsoft.com/office/drawing/2014/main" id="{BAE72ACE-EA7D-4BC9-A6B1-D099C41306DF}"/>
            </a:ext>
            <a:ext uri="{147F2762-F138-4A5C-976F-8EAC2B608ADB}">
              <a16:predDERef xmlns:a16="http://schemas.microsoft.com/office/drawing/2014/main" pred="{E5D23B60-84CD-46B7-8701-E726437B8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3852" y="284934"/>
          <a:ext cx="1933933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B076B145-BD53-45E5-A494-F92558EBE940}"/>
            </a:ext>
            <a:ext uri="{147F2762-F138-4A5C-976F-8EAC2B608ADB}">
              <a16:predDERef xmlns:a16="http://schemas.microsoft.com/office/drawing/2014/main" pred="{499EC9BE-B461-426A-90F0-FB350AC5B10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66EAF643-7A32-4863-8D1F-8B8CE2233830}"/>
            </a:ext>
            <a:ext uri="{147F2762-F138-4A5C-976F-8EAC2B608ADB}">
              <a16:predDERef xmlns:a16="http://schemas.microsoft.com/office/drawing/2014/main" pred="{B076B145-BD53-45E5-A494-F92558EBE94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5A29C970-05FF-4D68-AE23-606F433E8FAF}"/>
            </a:ext>
            <a:ext uri="{147F2762-F138-4A5C-976F-8EAC2B608ADB}">
              <a16:predDERef xmlns:a16="http://schemas.microsoft.com/office/drawing/2014/main" pred="{66EAF643-7A32-4863-8D1F-8B8CE223383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40385217-46CB-4F4C-95FF-F407084C5626}"/>
            </a:ext>
            <a:ext uri="{147F2762-F138-4A5C-976F-8EAC2B608ADB}">
              <a16:predDERef xmlns:a16="http://schemas.microsoft.com/office/drawing/2014/main" pred="{5A29C970-05FF-4D68-AE23-606F433E8FA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585085BC-BA6C-4C5E-BCB6-6588151D393E}"/>
            </a:ext>
            <a:ext uri="{147F2762-F138-4A5C-976F-8EAC2B608ADB}">
              <a16:predDERef xmlns:a16="http://schemas.microsoft.com/office/drawing/2014/main" pred="{40385217-46CB-4F4C-95FF-F407084C562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5FC096D8-307D-421A-A58B-B37DFEEB9E7B}"/>
            </a:ext>
            <a:ext uri="{147F2762-F138-4A5C-976F-8EAC2B608ADB}">
              <a16:predDERef xmlns:a16="http://schemas.microsoft.com/office/drawing/2014/main" pred="{585085BC-BA6C-4C5E-BCB6-6588151D393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44E4358E-04FC-4B31-8164-A064D067782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ADE92CF8-9338-4640-947B-651F14B5457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09D0A109-D7E0-4A33-A11B-FAF946B444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F4001360-8CDE-4FA1-A0F9-FEC2453720A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50572C3A-F136-4AD4-9F2B-29B0799E83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008662C1-8309-4B4C-9B8F-24AC87C2B0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1A604E1F-83C4-466F-9CB4-09FE852B0F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76A6A7B7-DFCB-44CD-9C81-BC48BBF923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C2D93B47-7519-400C-AE24-3F510C2F0DF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0AC7BF8-2A4C-4BEF-9322-082E593CA9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B4297D78-E12A-4E22-9D4A-15C9A3BCBA0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68C5C098-B196-4C42-BB5F-3686B31E896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39CF3439-C2C1-4036-977F-B68BC7E461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C89ACEED-D53B-4EF2-9614-D71E1C28FCC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81C788A8-E023-47DE-B8B0-D0137760D4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01A2528C-95B6-482B-92AD-83349F525B7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CD7BDF02-AB9C-444A-A541-6239AB85E6F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E595ECA6-E625-4C9F-851E-8D2E7905347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500C9A5F-0CDD-42BE-9BC3-BC2659F550D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36CBE51C-B3E5-402D-9892-D1CDB841EE1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87B0C05F-3A0B-45F2-8ACC-B626BBF5AE4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B320AF8-BB35-42BA-BB12-15E5B33B0BF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C7FC130-2D53-4B39-A431-CC27BCBB59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F542711-7068-4415-8270-D95E18CE983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87995A92-C485-48CD-9042-E45813B8EA7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3AE7B5EB-46AC-47B8-9CD4-B0E95E74499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357FE0EF-2DFE-46C8-BA80-57E675CFA4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1791BEEA-A3F7-432D-A3A3-0A8495182B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FF6763F7-B8BA-4012-A92D-DE1E0703DB0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321BCD01-A1D7-44F4-B605-5CDEE50DEA3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74EEF967-066D-4DE5-8FD8-C2968818C7A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9D1B6744-33B2-4A2C-B3F6-B0ABC2193E0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313A55A4-5997-47D5-B67B-BB42AD3261C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9A85CC2-8C23-4993-9011-B96882CEC47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4FAC4543-A0A8-480F-90D4-F05E7A4725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EAE852B-B1D6-49C6-A630-1C850F255C7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00000000-0008-0000-1A00-000008000000}"/>
            </a:ext>
            <a:ext uri="{147F2762-F138-4A5C-976F-8EAC2B608ADB}">
              <a16:predDERef xmlns:a16="http://schemas.microsoft.com/office/drawing/2014/main" pred="{144DCFC9-1B53-4E26-B335-5E195C984B5F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" name="TextBox 6">
          <a:extLst>
            <a:ext uri="{FF2B5EF4-FFF2-40B4-BE49-F238E27FC236}">
              <a16:creationId xmlns:a16="http://schemas.microsoft.com/office/drawing/2014/main" id="{00000000-0008-0000-1A00-00000A000000}"/>
            </a:ext>
            <a:ext uri="{147F2762-F138-4A5C-976F-8EAC2B608ADB}">
              <a16:predDERef xmlns:a16="http://schemas.microsoft.com/office/drawing/2014/main" pred="{FBBE80A4-B7C0-459F-B085-23BFE331FEED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4">
          <a:extLst>
            <a:ext uri="{FF2B5EF4-FFF2-40B4-BE49-F238E27FC236}">
              <a16:creationId xmlns:a16="http://schemas.microsoft.com/office/drawing/2014/main" id="{00000000-0008-0000-1A00-00000B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7">
          <a:extLst>
            <a:ext uri="{FF2B5EF4-FFF2-40B4-BE49-F238E27FC236}">
              <a16:creationId xmlns:a16="http://schemas.microsoft.com/office/drawing/2014/main" id="{00000000-0008-0000-1A00-00000C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8">
          <a:extLst>
            <a:ext uri="{FF2B5EF4-FFF2-40B4-BE49-F238E27FC236}">
              <a16:creationId xmlns:a16="http://schemas.microsoft.com/office/drawing/2014/main" id="{00000000-0008-0000-1A00-00000D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5CCF2C-1486-4F91-93A5-F4B07AEC725E}"/>
            </a:ext>
            <a:ext uri="{147F2762-F138-4A5C-976F-8EAC2B608ADB}">
              <a16:predDERef xmlns:a16="http://schemas.microsoft.com/office/drawing/2014/main" pred="{00000000-0008-0000-1A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3" name="Picture 4" descr="VIAGS xanh">
          <a:extLst>
            <a:ext uri="{FF2B5EF4-FFF2-40B4-BE49-F238E27FC236}">
              <a16:creationId xmlns:a16="http://schemas.microsoft.com/office/drawing/2014/main" id="{4765A48C-0A04-4934-A4E7-20CA88725F2E}"/>
            </a:ext>
            <a:ext uri="{147F2762-F138-4A5C-976F-8EAC2B608ADB}">
              <a16:predDERef xmlns:a16="http://schemas.microsoft.com/office/drawing/2014/main" pred="{375CCF2C-1486-4F91-93A5-F4B07AEC7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1F33E28-3891-422B-8F58-64134BF50FED}"/>
            </a:ext>
            <a:ext uri="{147F2762-F138-4A5C-976F-8EAC2B608ADB}">
              <a16:predDERef xmlns:a16="http://schemas.microsoft.com/office/drawing/2014/main" pred="{0C0B94AA-AD38-4D47-BE63-71EF7D30495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A7D8716E-41F3-4E72-A8F7-DBF73C7CE5C5}"/>
            </a:ext>
            <a:ext uri="{147F2762-F138-4A5C-976F-8EAC2B608ADB}">
              <a16:predDERef xmlns:a16="http://schemas.microsoft.com/office/drawing/2014/main" pred="{31F33E28-3891-422B-8F58-64134BF50FE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54C1CFCA-64FC-4282-A24C-D9968E2509D5}"/>
            </a:ext>
            <a:ext uri="{147F2762-F138-4A5C-976F-8EAC2B608ADB}">
              <a16:predDERef xmlns:a16="http://schemas.microsoft.com/office/drawing/2014/main" pred="{A7D8716E-41F3-4E72-A8F7-DBF73C7CE5C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B5E35479-6FA2-40BC-9302-C3DF158C1E3C}"/>
            </a:ext>
            <a:ext uri="{147F2762-F138-4A5C-976F-8EAC2B608ADB}">
              <a16:predDERef xmlns:a16="http://schemas.microsoft.com/office/drawing/2014/main" pred="{54C1CFCA-64FC-4282-A24C-D9968E2509D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EC17F9A6-9231-4591-A4EB-BC21A5600645}"/>
            </a:ext>
            <a:ext uri="{147F2762-F138-4A5C-976F-8EAC2B608ADB}">
              <a16:predDERef xmlns:a16="http://schemas.microsoft.com/office/drawing/2014/main" pred="{B5E35479-6FA2-40BC-9302-C3DF158C1E3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E4D2C8F0-99C0-4789-AFA3-2C8DC5391FAC}"/>
            </a:ext>
            <a:ext uri="{147F2762-F138-4A5C-976F-8EAC2B608ADB}">
              <a16:predDERef xmlns:a16="http://schemas.microsoft.com/office/drawing/2014/main" pred="{EC17F9A6-9231-4591-A4EB-BC21A560064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6087FDA2-A1BD-4A8A-9B3E-06FBA5AB1FB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C40C7479-F5D7-4216-BDCE-7DBDC86C729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BBDB765A-F849-41D8-915B-3364447131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8BC6CB6F-5BBE-4C82-BE5F-DC2CFDD5330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682BC313-2871-45C4-8EEF-DB4E49441E1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47EF4A1D-572C-4D0E-90D1-F90786188E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9738CBA0-DF4E-42FF-B313-5BDA2DED6AC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7">
          <a:extLst>
            <a:ext uri="{FF2B5EF4-FFF2-40B4-BE49-F238E27FC236}">
              <a16:creationId xmlns:a16="http://schemas.microsoft.com/office/drawing/2014/main" id="{EBBC068E-822B-41DE-8908-CBF96ADD3E4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8">
          <a:extLst>
            <a:ext uri="{FF2B5EF4-FFF2-40B4-BE49-F238E27FC236}">
              <a16:creationId xmlns:a16="http://schemas.microsoft.com/office/drawing/2014/main" id="{3C866B64-6981-42F9-96DF-6989A88013F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4E20783-012E-4A5F-B812-31643611196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D8992EF4-52AF-40A7-A99B-040724C0916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874B8027-BCA6-446D-A3B6-24F82172AF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4">
          <a:extLst>
            <a:ext uri="{FF2B5EF4-FFF2-40B4-BE49-F238E27FC236}">
              <a16:creationId xmlns:a16="http://schemas.microsoft.com/office/drawing/2014/main" id="{BA808A7B-1B44-412E-999C-0ACDAEA3E5A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0A609153-F67B-4A0A-A887-C74561E346B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D43027A7-E7EC-48F1-BC27-8773AD54B36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CEA0241D-8072-40FF-9796-B6412E49303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4DC0474D-F170-4F75-A209-7152B4F585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1B89AF00-9135-48DC-8A6A-27536A4E0D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BAC5AD5B-434C-4227-8582-4257B822DC9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FADF6E28-AC3F-45FD-9021-8CC6360A3AC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16C2817D-0777-4D2F-966F-3A3A5704EC3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6B87771-4B56-4131-AB86-93D953A7875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60C9C2B-7074-4592-BE93-93549D79009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37CE4EFB-0C1C-464E-982C-35552CA6A41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5DA07015-BE7C-4D74-87AA-9DF31EF08D9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E0AFBBB9-9051-47B8-A35D-6D48FE1276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8A4800DF-16AE-4EDD-9BCC-BF7BEE5F323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DF0AF009-7B45-492D-9298-04AC0E88A39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CD97055D-97EE-4839-9B86-29A4A3536BA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E0646D56-8FCF-4E13-A8AA-3813954A155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0A9E951D-6429-4A7E-A8BF-C7DFE901CB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E1807D56-258E-49F7-B8EC-ED5E9A2351B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F77E7475-9956-4212-AB7A-A3A08E038A7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64924659-C59C-48F4-A294-2F81DBBF7F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5DFF0D5-FE24-44D6-A2BB-1C4AC305C3E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AA0DE90-05F1-448E-8AE5-AF59CFD1AEF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B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1B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1B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1AF066-C169-4CCC-B347-F00F41D42EB9}"/>
            </a:ext>
            <a:ext uri="{147F2762-F138-4A5C-976F-8EAC2B608ADB}">
              <a16:predDERef xmlns:a16="http://schemas.microsoft.com/office/drawing/2014/main" pred="{00000000-0008-0000-1B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86093</xdr:colOff>
      <xdr:row>1</xdr:row>
      <xdr:rowOff>143420</xdr:rowOff>
    </xdr:from>
    <xdr:to>
      <xdr:col>8</xdr:col>
      <xdr:colOff>931455</xdr:colOff>
      <xdr:row>4</xdr:row>
      <xdr:rowOff>44360</xdr:rowOff>
    </xdr:to>
    <xdr:pic>
      <xdr:nvPicPr>
        <xdr:cNvPr id="8" name="Picture 4" descr="VIAGS xanh">
          <a:extLst>
            <a:ext uri="{FF2B5EF4-FFF2-40B4-BE49-F238E27FC236}">
              <a16:creationId xmlns:a16="http://schemas.microsoft.com/office/drawing/2014/main" id="{1D036664-CE13-42AB-B30A-CAC97AEA72AB}"/>
            </a:ext>
            <a:ext uri="{147F2762-F138-4A5C-976F-8EAC2B608ADB}">
              <a16:predDERef xmlns:a16="http://schemas.microsoft.com/office/drawing/2014/main" pred="{751AF066-C169-4CCC-B347-F00F41D42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5528" y="250996"/>
          <a:ext cx="1939056" cy="6001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79001C64-5599-4F37-978F-32E984A0CFB6}"/>
            </a:ext>
            <a:ext uri="{147F2762-F138-4A5C-976F-8EAC2B608ADB}">
              <a16:predDERef xmlns:a16="http://schemas.microsoft.com/office/drawing/2014/main" pred="{E54F1AB6-615C-45A9-B8E6-CF56FE20CF8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F9D23DEB-B289-4700-99D4-DB6EAF6C53D5}"/>
            </a:ext>
            <a:ext uri="{147F2762-F138-4A5C-976F-8EAC2B608ADB}">
              <a16:predDERef xmlns:a16="http://schemas.microsoft.com/office/drawing/2014/main" pred="{79001C64-5599-4F37-978F-32E984A0CFB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96C23980-D317-47FC-AD26-ADB69F84BE79}"/>
            </a:ext>
            <a:ext uri="{147F2762-F138-4A5C-976F-8EAC2B608ADB}">
              <a16:predDERef xmlns:a16="http://schemas.microsoft.com/office/drawing/2014/main" pred="{F9D23DEB-B289-4700-99D4-DB6EAF6C53D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89AEB03B-EEF8-423B-819A-531A0A4F287D}"/>
            </a:ext>
            <a:ext uri="{147F2762-F138-4A5C-976F-8EAC2B608ADB}">
              <a16:predDERef xmlns:a16="http://schemas.microsoft.com/office/drawing/2014/main" pred="{96C23980-D317-47FC-AD26-ADB69F84BE7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18234483-5F20-427D-BC02-0873924F47A1}"/>
            </a:ext>
            <a:ext uri="{147F2762-F138-4A5C-976F-8EAC2B608ADB}">
              <a16:predDERef xmlns:a16="http://schemas.microsoft.com/office/drawing/2014/main" pred="{89AEB03B-EEF8-423B-819A-531A0A4F287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C8E5B613-B428-41DB-B0CE-619CADE0DB4C}"/>
            </a:ext>
            <a:ext uri="{147F2762-F138-4A5C-976F-8EAC2B608ADB}">
              <a16:predDERef xmlns:a16="http://schemas.microsoft.com/office/drawing/2014/main" pred="{18234483-5F20-427D-BC02-0873924F47A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F500386B-D944-404F-A929-7F2C21B1536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8267081D-5479-4F5F-8EA0-45007C69575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21E1B8F4-8641-4D9B-BC60-A1625616A8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0C5D786B-AC23-442F-86CB-EFAE24D907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29FF9FE9-DBFB-4E08-BA28-71EB6009895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43E48917-F769-4CF9-AE81-DBAD197850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1D33DF21-F513-4BC7-91CE-F16CA4B9DC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62A9AEFF-59A8-484D-99F7-CD56E694BA1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667DCC96-5079-407B-8F4C-1E8B5A9AE6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098CC9A-5B1E-4A20-B1BF-BD360A5665C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7">
          <a:extLst>
            <a:ext uri="{FF2B5EF4-FFF2-40B4-BE49-F238E27FC236}">
              <a16:creationId xmlns:a16="http://schemas.microsoft.com/office/drawing/2014/main" id="{33A38E72-BFB0-4781-9F93-960033285A3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8">
          <a:extLst>
            <a:ext uri="{FF2B5EF4-FFF2-40B4-BE49-F238E27FC236}">
              <a16:creationId xmlns:a16="http://schemas.microsoft.com/office/drawing/2014/main" id="{114CABD9-C827-4CE9-AED1-D1F1A4BB5A5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75919483-CB95-4382-B8AD-1CCC154FD2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D10BE985-F17F-4CE4-A743-13DFDBFFB4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7EDA14D1-2FE2-4C5F-85FE-136C0B9052F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BC68B497-C659-4519-A188-53E3B0CCD2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662CBF71-D92A-4A77-A741-F04D0211686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152C61B1-0892-44C8-A715-0A334DFE02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4">
          <a:extLst>
            <a:ext uri="{FF2B5EF4-FFF2-40B4-BE49-F238E27FC236}">
              <a16:creationId xmlns:a16="http://schemas.microsoft.com/office/drawing/2014/main" id="{C48069C1-5D6F-433F-A538-1DBB649B98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7">
          <a:extLst>
            <a:ext uri="{FF2B5EF4-FFF2-40B4-BE49-F238E27FC236}">
              <a16:creationId xmlns:a16="http://schemas.microsoft.com/office/drawing/2014/main" id="{57B0FE15-96F9-45AA-9FF0-7C7266444BC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8">
          <a:extLst>
            <a:ext uri="{FF2B5EF4-FFF2-40B4-BE49-F238E27FC236}">
              <a16:creationId xmlns:a16="http://schemas.microsoft.com/office/drawing/2014/main" id="{3A22832A-FDFE-462A-A791-8B3110F25F2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8F0D60D-5886-461C-9FF2-14FAFD7559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854D1EC-81AA-4A17-AD2D-1E5A3D9693C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1AE95097-5B5A-4585-9D33-8B885793894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">
          <a:extLst>
            <a:ext uri="{FF2B5EF4-FFF2-40B4-BE49-F238E27FC236}">
              <a16:creationId xmlns:a16="http://schemas.microsoft.com/office/drawing/2014/main" id="{1C6B16DE-5A51-4722-93C5-5D63767B813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7">
          <a:extLst>
            <a:ext uri="{FF2B5EF4-FFF2-40B4-BE49-F238E27FC236}">
              <a16:creationId xmlns:a16="http://schemas.microsoft.com/office/drawing/2014/main" id="{84014BF6-3A53-4391-B194-B86A6CE9838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8">
          <a:extLst>
            <a:ext uri="{FF2B5EF4-FFF2-40B4-BE49-F238E27FC236}">
              <a16:creationId xmlns:a16="http://schemas.microsoft.com/office/drawing/2014/main" id="{67C11B09-1D0E-4053-9433-E9519E65C0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">
          <a:extLst>
            <a:ext uri="{FF2B5EF4-FFF2-40B4-BE49-F238E27FC236}">
              <a16:creationId xmlns:a16="http://schemas.microsoft.com/office/drawing/2014/main" id="{D289837F-1A15-405A-BBAE-26CC6A630C9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7">
          <a:extLst>
            <a:ext uri="{FF2B5EF4-FFF2-40B4-BE49-F238E27FC236}">
              <a16:creationId xmlns:a16="http://schemas.microsoft.com/office/drawing/2014/main" id="{038688DC-CA0B-41DC-8A01-06DE257AF5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8">
          <a:extLst>
            <a:ext uri="{FF2B5EF4-FFF2-40B4-BE49-F238E27FC236}">
              <a16:creationId xmlns:a16="http://schemas.microsoft.com/office/drawing/2014/main" id="{91A0CB5D-ECE7-4320-A7FC-CC044DC522E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">
          <a:extLst>
            <a:ext uri="{FF2B5EF4-FFF2-40B4-BE49-F238E27FC236}">
              <a16:creationId xmlns:a16="http://schemas.microsoft.com/office/drawing/2014/main" id="{AA152197-2B74-4603-9F44-BAC723D583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7">
          <a:extLst>
            <a:ext uri="{FF2B5EF4-FFF2-40B4-BE49-F238E27FC236}">
              <a16:creationId xmlns:a16="http://schemas.microsoft.com/office/drawing/2014/main" id="{1D368F73-96C4-47E0-97DF-36F31BCD2A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8">
          <a:extLst>
            <a:ext uri="{FF2B5EF4-FFF2-40B4-BE49-F238E27FC236}">
              <a16:creationId xmlns:a16="http://schemas.microsoft.com/office/drawing/2014/main" id="{F158258A-46A0-4E3A-BE26-ADC6B7B65A8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B8CD797-F96A-476A-B47B-335A8444F1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836B0DC-4A88-4B43-9C3C-F6671743E15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F063C73-F4F8-4C36-90D0-340493AF2B2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C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1C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1C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60A50B-0326-4B8E-A890-F0F64781BB94}"/>
            </a:ext>
            <a:ext uri="{147F2762-F138-4A5C-976F-8EAC2B608ADB}">
              <a16:predDERef xmlns:a16="http://schemas.microsoft.com/office/drawing/2014/main" pred="{00000000-0008-0000-1C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8" name="Picture 4" descr="VIAGS xanh">
          <a:extLst>
            <a:ext uri="{FF2B5EF4-FFF2-40B4-BE49-F238E27FC236}">
              <a16:creationId xmlns:a16="http://schemas.microsoft.com/office/drawing/2014/main" id="{B1E86B17-F3B2-4C58-8F08-268EA9491586}"/>
            </a:ext>
            <a:ext uri="{147F2762-F138-4A5C-976F-8EAC2B608ADB}">
              <a16:predDERef xmlns:a16="http://schemas.microsoft.com/office/drawing/2014/main" pred="{A060A50B-0326-4B8E-A890-F0F64781B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0F2078A5-2ABA-486E-93AB-70345C54A297}"/>
            </a:ext>
            <a:ext uri="{147F2762-F138-4A5C-976F-8EAC2B608ADB}">
              <a16:predDERef xmlns:a16="http://schemas.microsoft.com/office/drawing/2014/main" pred="{6F88A736-6640-4B67-93F6-653506AC392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E0FDB134-6C36-46E7-B22E-FD31C6DBF251}"/>
            </a:ext>
            <a:ext uri="{147F2762-F138-4A5C-976F-8EAC2B608ADB}">
              <a16:predDERef xmlns:a16="http://schemas.microsoft.com/office/drawing/2014/main" pred="{0F2078A5-2ABA-486E-93AB-70345C54A29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9EDD4C5F-B350-4F9C-A467-415D12DAC26C}"/>
            </a:ext>
            <a:ext uri="{147F2762-F138-4A5C-976F-8EAC2B608ADB}">
              <a16:predDERef xmlns:a16="http://schemas.microsoft.com/office/drawing/2014/main" pred="{E0FDB134-6C36-46E7-B22E-FD31C6DBF25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AA2F2C40-8CCC-42CD-AE77-DB87CC5DC60B}"/>
            </a:ext>
            <a:ext uri="{147F2762-F138-4A5C-976F-8EAC2B608ADB}">
              <a16:predDERef xmlns:a16="http://schemas.microsoft.com/office/drawing/2014/main" pred="{9EDD4C5F-B350-4F9C-A467-415D12DAC26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4C202206-1837-4B4F-B5A4-5F3C36C7128D}"/>
            </a:ext>
            <a:ext uri="{147F2762-F138-4A5C-976F-8EAC2B608ADB}">
              <a16:predDERef xmlns:a16="http://schemas.microsoft.com/office/drawing/2014/main" pred="{AA2F2C40-8CCC-42CD-AE77-DB87CC5DC60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AA00BFB3-F2C5-462F-851A-6340FD8AF13B}"/>
            </a:ext>
            <a:ext uri="{147F2762-F138-4A5C-976F-8EAC2B608ADB}">
              <a16:predDERef xmlns:a16="http://schemas.microsoft.com/office/drawing/2014/main" pred="{4C202206-1837-4B4F-B5A4-5F3C36C7128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650C65BD-B7D4-47FB-A5C1-2D7C3CF9AE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3DFE384E-750F-4D43-A43C-3F6EFB84A43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B9CA6EE8-54BD-477A-8579-EA304620CA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54DC0D1B-BC6D-45A9-9C6F-EF78EE83528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A4EFDBA6-2189-425A-A800-384477AAD68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059812D9-9C0E-402F-947A-FB10C34E9F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CDD8EEDB-420E-46E8-9158-A9024DF82B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6AD26233-4944-4DBF-9748-4E399F4EB55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7422DE2C-E6ED-4365-8B26-6F86A0EB355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B4774F4-51C3-465B-8B30-B8A2338A1FA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EEAFB3B2-142A-4871-A8A3-6F3EA30A672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51430F60-B990-46EE-92C2-D2CD2CBEBE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75CFD3B9-979A-41FC-88BB-EA5D018E31D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9FAA5CDA-2350-4CA9-8DF5-957AF1064A2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BADA647C-F178-4D58-8938-1C063DD758A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A9249C64-D007-4B24-9C68-2DE2EB4D4A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BA374DF0-794F-4C05-A918-2B6ADBDB210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E12D9091-0601-4CCB-A266-36156CF2312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47E452CE-0F3E-4A71-89DC-0DBDA930D19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8DF5CBA8-E646-448F-BD17-CAD941DB2DA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4DE6B04C-DC29-466B-ABD7-F0DD7743041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7C0502A-23D5-489D-94FA-8824A5D7A4B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1868669D-D563-46B6-982A-529220E1EA1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50FE037-0FE7-49ED-A2D6-13A1A7076A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DC3CCA6B-FAA4-4250-8841-6B652D4E1F9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3D4DCA24-675C-4D4A-B37B-B151186C2A4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DBC72568-2401-49C5-AD95-8DDB8C359E1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0928764E-8172-4041-88CB-C6EF449A874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9A654EF1-33B7-4F17-BC80-1E2E065E6C6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97437332-4119-4E9E-8A89-33B4EBF7D17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B1A894AF-EC61-43B5-BAA6-2A1030D471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33492431-4639-4465-B657-C1510C9D92B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BCDAEAFD-1E69-4BBE-8A21-D5364BCDE91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F7CEAA2-0673-44AE-A1D2-F8C01851770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3FCD303-5ED7-4FE4-B709-AE250DB8DF7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7B809574-E94B-4722-A5A5-3FAB9D696C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D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1D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1D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84C43E-A060-4657-BD4E-ECB94DD99A22}"/>
            </a:ext>
            <a:ext uri="{147F2762-F138-4A5C-976F-8EAC2B608ADB}">
              <a16:predDERef xmlns:a16="http://schemas.microsoft.com/office/drawing/2014/main" pred="{00000000-0008-0000-1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B1D85AB8-F70B-4131-B620-36E4EAD9798C}"/>
            </a:ext>
            <a:ext uri="{147F2762-F138-4A5C-976F-8EAC2B608ADB}">
              <a16:predDERef xmlns:a16="http://schemas.microsoft.com/office/drawing/2014/main" pred="{B3B4E123-F38B-451C-9237-B6AA33DE215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53DAB609-373D-4EB2-A957-FB70EC29994F}"/>
            </a:ext>
            <a:ext uri="{147F2762-F138-4A5C-976F-8EAC2B608ADB}">
              <a16:predDERef xmlns:a16="http://schemas.microsoft.com/office/drawing/2014/main" pred="{B1D85AB8-F70B-4131-B620-36E4EAD9798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E3FD4DC6-DF4E-4D6D-9815-DD8FDA117A95}"/>
            </a:ext>
            <a:ext uri="{147F2762-F138-4A5C-976F-8EAC2B608ADB}">
              <a16:predDERef xmlns:a16="http://schemas.microsoft.com/office/drawing/2014/main" pred="{53DAB609-373D-4EB2-A957-FB70EC29994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171F27AD-AD0E-4DAA-AED6-709841C35B5F}"/>
            </a:ext>
            <a:ext uri="{147F2762-F138-4A5C-976F-8EAC2B608ADB}">
              <a16:predDERef xmlns:a16="http://schemas.microsoft.com/office/drawing/2014/main" pred="{E3FD4DC6-DF4E-4D6D-9815-DD8FDA117A9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4F86BCD9-00F2-47E1-9D8F-3D1E1F9E88D0}"/>
            </a:ext>
            <a:ext uri="{147F2762-F138-4A5C-976F-8EAC2B608ADB}">
              <a16:predDERef xmlns:a16="http://schemas.microsoft.com/office/drawing/2014/main" pred="{171F27AD-AD0E-4DAA-AED6-709841C35B5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ACED6935-07E4-4AF5-934A-2FD50DDD85DB}"/>
            </a:ext>
            <a:ext uri="{147F2762-F138-4A5C-976F-8EAC2B608ADB}">
              <a16:predDERef xmlns:a16="http://schemas.microsoft.com/office/drawing/2014/main" pred="{4F86BCD9-00F2-47E1-9D8F-3D1E1F9E88D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6</xdr:col>
      <xdr:colOff>80939</xdr:colOff>
      <xdr:row>1</xdr:row>
      <xdr:rowOff>156195</xdr:rowOff>
    </xdr:from>
    <xdr:to>
      <xdr:col>8</xdr:col>
      <xdr:colOff>922491</xdr:colOff>
      <xdr:row>4</xdr:row>
      <xdr:rowOff>55230</xdr:rowOff>
    </xdr:to>
    <xdr:pic>
      <xdr:nvPicPr>
        <xdr:cNvPr id="17" name="Picture 4" descr="VIAGS xanh">
          <a:extLst>
            <a:ext uri="{FF2B5EF4-FFF2-40B4-BE49-F238E27FC236}">
              <a16:creationId xmlns:a16="http://schemas.microsoft.com/office/drawing/2014/main" id="{7063EDAB-DE69-4580-93C0-124880B839F1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0374" y="263771"/>
          <a:ext cx="1935246" cy="598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476FC219-55A0-407D-894E-3E059ECBB1F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1E65539B-720B-49AE-8ECB-3A24205D05D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71A55ECC-F1B7-4780-92AD-782DB37A4F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8B6C2047-9C0F-48B7-BE2B-BD166B44BD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284A6AED-1C0C-4637-B1FA-09050CB2901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F7D674EE-3770-4001-A3B5-B9104F804B7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DB3D9939-1DB7-4608-8092-A5B188C583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957F6C65-B1BF-4715-A74B-797C1AC67A0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EF910CEB-F93F-45BC-B7BB-0236B984DA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FFEF736-412B-4FCA-92E4-004D4A8FFB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4343EE68-9548-41E9-8D7A-07F0A19079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BB6A8B14-1E74-4757-82B2-90EBA1DF97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99D0ABD3-3777-431A-A06E-D0A0C8481D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7CFA3958-CD6A-4180-BF71-A69AFF4965E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A8D87D0B-9790-4457-AB8E-429DB4B12B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75251FFD-CD01-4EDA-829F-143DEFC3D3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9E2B9EAC-AE80-478F-949B-EA295DB2E35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4FB71D99-19C1-40D5-84C0-C4B319DD3B2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D6D83CFB-6A7A-4406-A67B-BE611C7C3E9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DE34C7C4-2FAC-4F68-8C44-103D908B8B5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51EA24D3-E875-4D5C-8080-464355BB09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4E2E0B0-DB7E-4C42-8444-A9E1582CDBD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0A9EA5C-4731-42EF-8B07-C279D42C19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269DFD7-B870-44A2-8F60-3A3B2BEA088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74C409EC-2E79-4F89-9796-EDF78E3A59E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DA141E42-821D-48A1-9E73-E423B54592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D1632E24-AF2D-462C-8473-46CB3E5DF73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9358B941-2473-4AC4-827B-E07AF43B2FA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46BBEA38-5681-43A9-BF6E-8B8F48E56E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CE915D4A-7605-4D4F-97D2-07AB99CD0FC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3F9E9E62-87B8-4B0D-B452-A6A434E9D7C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63C2BBDF-C097-4DE1-8632-AF03C0D6BF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BE747EB6-CF28-4318-92BF-46E1D2760E1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13965A8-E7E7-456A-8517-632B85C8A6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9F9FCBD-6DE5-4155-AB9F-3A29D14D462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59206D4-72B3-4F18-9DAE-24F46619B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E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1E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1E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E3D137-16AA-494A-9A6F-643BF4913399}"/>
            </a:ext>
            <a:ext uri="{147F2762-F138-4A5C-976F-8EAC2B608ADB}">
              <a16:predDERef xmlns:a16="http://schemas.microsoft.com/office/drawing/2014/main" pred="{00000000-0008-0000-1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85453</xdr:colOff>
      <xdr:row>1</xdr:row>
      <xdr:rowOff>186963</xdr:rowOff>
    </xdr:from>
    <xdr:to>
      <xdr:col>8</xdr:col>
      <xdr:colOff>930815</xdr:colOff>
      <xdr:row>4</xdr:row>
      <xdr:rowOff>87903</xdr:rowOff>
    </xdr:to>
    <xdr:pic>
      <xdr:nvPicPr>
        <xdr:cNvPr id="8" name="Picture 4" descr="VIAGS xanh">
          <a:extLst>
            <a:ext uri="{FF2B5EF4-FFF2-40B4-BE49-F238E27FC236}">
              <a16:creationId xmlns:a16="http://schemas.microsoft.com/office/drawing/2014/main" id="{B780D363-C89D-4493-80AC-B3FA3697EB52}"/>
            </a:ext>
            <a:ext uri="{147F2762-F138-4A5C-976F-8EAC2B608ADB}">
              <a16:predDERef xmlns:a16="http://schemas.microsoft.com/office/drawing/2014/main" pred="{97E3D137-16AA-494A-9A6F-643BF4913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3853" y="295820"/>
          <a:ext cx="1933933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232A63EC-D36C-4001-9F8E-1FAD4139EDAA}"/>
            </a:ext>
            <a:ext uri="{147F2762-F138-4A5C-976F-8EAC2B608ADB}">
              <a16:predDERef xmlns:a16="http://schemas.microsoft.com/office/drawing/2014/main" pred="{2133338C-ED39-4D83-A957-F211A9CB915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38247B26-0092-4E93-B463-C1E456A179E4}"/>
            </a:ext>
            <a:ext uri="{147F2762-F138-4A5C-976F-8EAC2B608ADB}">
              <a16:predDERef xmlns:a16="http://schemas.microsoft.com/office/drawing/2014/main" pred="{232A63EC-D36C-4001-9F8E-1FAD4139EDA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25A9A274-9532-42E7-83C8-43185C703EB6}"/>
            </a:ext>
            <a:ext uri="{147F2762-F138-4A5C-976F-8EAC2B608ADB}">
              <a16:predDERef xmlns:a16="http://schemas.microsoft.com/office/drawing/2014/main" pred="{38247B26-0092-4E93-B463-C1E456A179E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95592CF0-6FDC-40C5-AA01-9D47EC5A6876}"/>
            </a:ext>
            <a:ext uri="{147F2762-F138-4A5C-976F-8EAC2B608ADB}">
              <a16:predDERef xmlns:a16="http://schemas.microsoft.com/office/drawing/2014/main" pred="{25A9A274-9532-42E7-83C8-43185C703EB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2BC72DD4-2CB2-4048-9969-18E797633297}"/>
            </a:ext>
            <a:ext uri="{147F2762-F138-4A5C-976F-8EAC2B608ADB}">
              <a16:predDERef xmlns:a16="http://schemas.microsoft.com/office/drawing/2014/main" pred="{95592CF0-6FDC-40C5-AA01-9D47EC5A687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A8186B22-DDA9-49C9-B7E4-8F91EB1DBBBC}"/>
            </a:ext>
            <a:ext uri="{147F2762-F138-4A5C-976F-8EAC2B608ADB}">
              <a16:predDERef xmlns:a16="http://schemas.microsoft.com/office/drawing/2014/main" pred="{2BC72DD4-2CB2-4048-9969-18E79763329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E3D97B23-0EB2-4C53-A42C-D6DA966263E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197822E4-D699-4DB9-A51F-65CEB88D9A5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CDF03C85-AE4D-4FB7-ABED-413DD2C98C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6E669ACD-D360-40E6-AFB2-DC243F6D07F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7E613514-3DA1-4F55-B081-9A20B5AB5B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861E0F84-E7A9-4191-96FD-746FA0381EA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816C5124-EA94-488A-A461-17A9956B2C9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D149F22D-DD47-411A-AE19-5C99B39CC98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95D97FF3-A9C1-4CB7-9833-73405AEFF45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5151107-FBA4-4D66-B34F-B2EF213ABAB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B55065E7-5532-4BCC-9794-64FBEBB0E46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938592A5-C01D-423C-9503-E7AE3939DB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0EB185C5-0B37-4AA2-B80A-364FFB2645B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9210581C-C31D-4A96-A7DD-DB217BE3700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59F1240C-6B01-4FF3-BF23-CABB93E6E46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D2694DD4-6C68-4902-8F62-B311CE802D1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0469861C-FC64-45F4-A3B4-D7B8015F077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24ECE5B2-9D78-49AA-A8E3-D4F10E1CE6F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1D436E6C-53F2-4CCD-B938-0F7D03489C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2C342A77-1FD3-4DCF-A0C8-E6C20CA25A5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642E28A8-A9BA-4989-9089-824FD959663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4EF3BA1-8B82-41A0-96AE-633B8CD834A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20B80C27-1018-471F-B4A7-CBB158553E7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C741DC54-5CF2-4013-B032-62C67F79D6D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4293B48B-4DF3-47F0-AAFD-AB103FD429A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30ED7DAE-29DE-4E86-BEC7-FE96F04AA4E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13A7C406-9977-474E-A1D3-5A5263D3779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E98DD12F-FF04-43A3-9D43-43E002A5759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C1FAA178-CD74-49EB-86BC-F104FF29639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830C36ED-EE02-4F19-848B-EDFC3F93B65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3036BF05-27F6-4F63-9EBB-72E290153C5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DA0BF8E5-428A-4ABA-9CB6-29151A8738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CA34B9FB-D3F3-4538-B325-72D42923DB5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A0A666C2-5CAC-4007-841A-C0463B99D8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4E2B2604-900D-4B3C-B6D7-4E926B9068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24A7126-D3D3-4B07-A672-426A8F02EE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F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1F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1F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56961F-D713-4070-BEB5-1DCE0C705BED}"/>
            </a:ext>
            <a:ext uri="{147F2762-F138-4A5C-976F-8EAC2B608ADB}">
              <a16:predDERef xmlns:a16="http://schemas.microsoft.com/office/drawing/2014/main" pred="{00000000-0008-0000-1F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95057</xdr:colOff>
      <xdr:row>1</xdr:row>
      <xdr:rowOff>161349</xdr:rowOff>
    </xdr:from>
    <xdr:to>
      <xdr:col>8</xdr:col>
      <xdr:colOff>940419</xdr:colOff>
      <xdr:row>4</xdr:row>
      <xdr:rowOff>62289</xdr:rowOff>
    </xdr:to>
    <xdr:pic>
      <xdr:nvPicPr>
        <xdr:cNvPr id="8" name="Picture 4" descr="VIAGS xanh">
          <a:extLst>
            <a:ext uri="{FF2B5EF4-FFF2-40B4-BE49-F238E27FC236}">
              <a16:creationId xmlns:a16="http://schemas.microsoft.com/office/drawing/2014/main" id="{99A75F69-95FC-420C-8948-40A89F9EE4DA}"/>
            </a:ext>
            <a:ext uri="{147F2762-F138-4A5C-976F-8EAC2B608ADB}">
              <a16:predDERef xmlns:a16="http://schemas.microsoft.com/office/drawing/2014/main" pred="{D056961F-D713-4070-BEB5-1DCE0C705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492" y="268925"/>
          <a:ext cx="1939056" cy="6001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16D1947B-BC25-44BE-9540-EA4C3A355533}"/>
            </a:ext>
            <a:ext uri="{147F2762-F138-4A5C-976F-8EAC2B608ADB}">
              <a16:predDERef xmlns:a16="http://schemas.microsoft.com/office/drawing/2014/main" pred="{A7A61785-092A-4657-AA14-1E79C2B2E6C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1FCD01CB-B012-401C-9CF7-7095C54CF9C9}"/>
            </a:ext>
            <a:ext uri="{147F2762-F138-4A5C-976F-8EAC2B608ADB}">
              <a16:predDERef xmlns:a16="http://schemas.microsoft.com/office/drawing/2014/main" pred="{16D1947B-BC25-44BE-9540-EA4C3A35553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05469E9D-0F16-4B5F-8096-714849DBD594}"/>
            </a:ext>
            <a:ext uri="{147F2762-F138-4A5C-976F-8EAC2B608ADB}">
              <a16:predDERef xmlns:a16="http://schemas.microsoft.com/office/drawing/2014/main" pred="{1FCD01CB-B012-401C-9CF7-7095C54CF9C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0A047AE7-637A-4429-9208-03421B589F4C}"/>
            </a:ext>
            <a:ext uri="{147F2762-F138-4A5C-976F-8EAC2B608ADB}">
              <a16:predDERef xmlns:a16="http://schemas.microsoft.com/office/drawing/2014/main" pred="{05469E9D-0F16-4B5F-8096-714849DBD59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0EBC45E9-546C-4665-BC2A-77E288BC0E7A}"/>
            </a:ext>
            <a:ext uri="{147F2762-F138-4A5C-976F-8EAC2B608ADB}">
              <a16:predDERef xmlns:a16="http://schemas.microsoft.com/office/drawing/2014/main" pred="{0A047AE7-637A-4429-9208-03421B589F4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67E19A2A-B5B3-4DDE-8381-FE63CE9B4FC3}"/>
            </a:ext>
            <a:ext uri="{147F2762-F138-4A5C-976F-8EAC2B608ADB}">
              <a16:predDERef xmlns:a16="http://schemas.microsoft.com/office/drawing/2014/main" pred="{0EBC45E9-546C-4665-BC2A-77E288BC0E7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F3F94CA9-2057-429D-A9DA-371AD5D8945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F487A1BE-173F-4A21-B9F1-C1AAB0288D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CA86AFD9-DF46-44FF-92AE-FC428205358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7CD65512-BE7D-4B53-87C4-8AD8260BA78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B92C3A8C-27B9-4734-B4B5-0F0AD66341A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6B2CD8A7-FEB3-4D95-98F4-0F56828E4FE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3A6570B4-2452-44BD-9A6F-F65BFB86994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AD2B20C3-CB8D-43C6-88F6-D18DCD7568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54750AA6-DF51-48E5-A8BC-0572D56E6E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97B46D0-BD0E-4B6D-BE0C-42795E0434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17AFC58E-7A6B-4C15-ADB2-5C5EAC1660C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F61F5F9E-3CDC-49DD-AF31-488336D610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40638524-9098-4F30-86F2-067B9CD7304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D58688FB-5AC9-44ED-8BA0-8E9C5BD75A3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F75FEB4F-85F0-4E01-90C4-6614149819F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064B2E80-8B1C-4BAA-9C94-1E5B38588A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759EBD5A-1AF9-4B2E-8AD9-CC353D7841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9B2349DD-5A7F-49C4-969D-AEE2F52A846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2CB9A302-E152-41F9-B416-ABAEA9798B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049C57A5-D1D4-4371-8D81-BFF19E65761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C866ECA4-A36C-49D3-9322-D01B193994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0A9546D-FE3B-48D9-AE9A-CFDE9C2315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3190B83-336C-4E64-B1E1-CB9B84A52B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EBAEC69D-8FE8-4B1A-8109-EE8B4C51A2F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4CD31C8C-2A66-48C8-90BF-411A8683F29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5B983E70-1C56-42E4-BB23-FFCEFB4FDEB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FD67518A-727B-4C1E-9738-AF324B8C174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C36D5E52-E4CE-4EF9-9822-8748FA670F2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7E8153AC-0C60-4593-A86D-C3FF244FB5E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3D122B7F-8D26-4561-AC17-5AE5CAE8EB5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FB5A46B6-50ED-40F2-A3BD-B567BAF95FA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E60E9C6A-4EF3-4FAD-87DF-34D3F54487E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43D3D678-5076-497A-9124-37AD45B038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175127F-D935-4BFB-AC28-F12450019F4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3B291C6-EDA0-42C7-AD12-BB357C41008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FDF010A-AC84-4F83-B00A-F637C7A8E6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0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20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20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E16139-621A-4B55-8F1B-B601967E7BB9}"/>
            </a:ext>
            <a:ext uri="{147F2762-F138-4A5C-976F-8EAC2B608ADB}">
              <a16:predDERef xmlns:a16="http://schemas.microsoft.com/office/drawing/2014/main" pred="{00000000-0008-0000-2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100147</xdr:colOff>
      <xdr:row>1</xdr:row>
      <xdr:rowOff>174172</xdr:rowOff>
    </xdr:from>
    <xdr:to>
      <xdr:col>8</xdr:col>
      <xdr:colOff>945509</xdr:colOff>
      <xdr:row>4</xdr:row>
      <xdr:rowOff>80827</xdr:rowOff>
    </xdr:to>
    <xdr:pic>
      <xdr:nvPicPr>
        <xdr:cNvPr id="8" name="Picture 4" descr="VIAGS xanh">
          <a:extLst>
            <a:ext uri="{FF2B5EF4-FFF2-40B4-BE49-F238E27FC236}">
              <a16:creationId xmlns:a16="http://schemas.microsoft.com/office/drawing/2014/main" id="{3090C38E-4547-4E08-9236-73B276B2B091}"/>
            </a:ext>
            <a:ext uri="{147F2762-F138-4A5C-976F-8EAC2B608ADB}">
              <a16:predDERef xmlns:a16="http://schemas.microsoft.com/office/drawing/2014/main" pred="{C1E16139-621A-4B55-8F1B-B601967E7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8547" y="283029"/>
          <a:ext cx="1933933" cy="592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F184F93C-1F7F-4493-ABC8-A62073E0AA76}"/>
            </a:ext>
            <a:ext uri="{147F2762-F138-4A5C-976F-8EAC2B608ADB}">
              <a16:predDERef xmlns:a16="http://schemas.microsoft.com/office/drawing/2014/main" pred="{5174D964-294E-4D17-97DF-41C97D51B28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AFE75B9A-9891-4BF7-B309-DF81273BD9E7}"/>
            </a:ext>
            <a:ext uri="{147F2762-F138-4A5C-976F-8EAC2B608ADB}">
              <a16:predDERef xmlns:a16="http://schemas.microsoft.com/office/drawing/2014/main" pred="{F184F93C-1F7F-4493-ABC8-A62073E0AA7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8060CFC8-7927-4375-9565-77D7576AEA77}"/>
            </a:ext>
            <a:ext uri="{147F2762-F138-4A5C-976F-8EAC2B608ADB}">
              <a16:predDERef xmlns:a16="http://schemas.microsoft.com/office/drawing/2014/main" pred="{AFE75B9A-9891-4BF7-B309-DF81273BD9E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55D3E917-D3D9-4847-9E62-9A2507D3DE3C}"/>
            </a:ext>
            <a:ext uri="{147F2762-F138-4A5C-976F-8EAC2B608ADB}">
              <a16:predDERef xmlns:a16="http://schemas.microsoft.com/office/drawing/2014/main" pred="{8060CFC8-7927-4375-9565-77D7576AEA7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EEF1E196-982B-4E34-A7AB-DD5225242BBB}"/>
            </a:ext>
            <a:ext uri="{147F2762-F138-4A5C-976F-8EAC2B608ADB}">
              <a16:predDERef xmlns:a16="http://schemas.microsoft.com/office/drawing/2014/main" pred="{55D3E917-D3D9-4847-9E62-9A2507D3DE3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A956FBD1-B405-4DFE-B484-5E2C2838E26B}"/>
            </a:ext>
            <a:ext uri="{147F2762-F138-4A5C-976F-8EAC2B608ADB}">
              <a16:predDERef xmlns:a16="http://schemas.microsoft.com/office/drawing/2014/main" pred="{EEF1E196-982B-4E34-A7AB-DD5225242BB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A6DEC762-67DA-4A1C-994D-56CF5866D41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59C9ED87-9CB4-4136-8719-937DAE25673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7C181424-9DE7-4B9A-9147-AB15A78A1C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649BCE87-B711-446D-A12C-146E8C38A86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B7E3ED69-3DEB-41B2-B4B1-6AE0672DC2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E29044F6-59FE-4107-9A2E-009B2BF664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5F720A12-6BE9-4CFD-8BBB-8AE3FD90C9F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7AFA8B89-A664-43BB-B267-DBAD35B7E6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05D446E1-4A80-4230-BE76-018E51185B8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D990084-33C5-4421-AE3E-57A558638A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145F418F-8D7D-4A64-B49E-25B94E22131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B6F11FC9-992E-4B11-8C57-A15A3D5D86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C8A89C13-3F64-433B-A1E0-25BFF09108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6D90186C-0B41-40C7-BC8C-FBD9D49414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F6C3F759-BC6F-40F3-93DD-6737379003A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8F98005C-E4CB-4BAA-8D71-9FDED84C2CC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16E502F6-6FAB-4BBF-8549-A3E1D5BF3E6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E3AB3E7B-367B-4870-977D-2F96DC7260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7433FABF-143E-425E-9030-E1ACC7A6F9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FAE7EB73-170A-4D9D-A627-C0C8C159BC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65194719-82AF-4C38-A0E6-306C27847C3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4961950-B0D0-4BAB-85C9-5E9FD550FE4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EDB3403-EBA7-4B4A-861D-D27DA9026D9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6EFFA0B8-391D-46AF-B2F1-AF91A11222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7BF8F4CD-0B14-4E80-8434-E48C8B7B6F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790F24D2-50E7-49CD-B199-F07D88D791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8D008A9C-EE4E-4386-9D5F-EA7A40409D1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87B31F52-54CB-4741-8D42-7E7A1CF9D61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A8FBBB04-FBE4-4370-9EA1-6644760DBCA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A2C993DD-1486-4545-A563-C0090F37C7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F59D4E98-BDB4-4570-9E11-1EC8B5F43B0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F226E539-7063-44FB-9327-CA5BF049C9E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CE1634F9-F63C-4648-87F8-DE0456B1239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9EB8603-CEF7-48C9-BF71-2EF21498566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EB561D10-A837-482A-95F9-4DF89F8FA8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A7F23CD-C493-49B5-AE24-5774631A3EF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1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21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21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21DDDE-D01C-46B8-B518-8CCCB362855F}"/>
            </a:ext>
            <a:ext uri="{147F2762-F138-4A5C-976F-8EAC2B608ADB}">
              <a16:predDERef xmlns:a16="http://schemas.microsoft.com/office/drawing/2014/main" pred="{00000000-0008-0000-2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98244</xdr:colOff>
      <xdr:row>1</xdr:row>
      <xdr:rowOff>197849</xdr:rowOff>
    </xdr:from>
    <xdr:to>
      <xdr:col>8</xdr:col>
      <xdr:colOff>941701</xdr:colOff>
      <xdr:row>4</xdr:row>
      <xdr:rowOff>98789</xdr:rowOff>
    </xdr:to>
    <xdr:pic>
      <xdr:nvPicPr>
        <xdr:cNvPr id="3" name="Picture 4" descr="VIAGS xanh">
          <a:extLst>
            <a:ext uri="{FF2B5EF4-FFF2-40B4-BE49-F238E27FC236}">
              <a16:creationId xmlns:a16="http://schemas.microsoft.com/office/drawing/2014/main" id="{8965E7E4-AF55-4336-8521-21E5CC342F4C}"/>
            </a:ext>
            <a:ext uri="{147F2762-F138-4A5C-976F-8EAC2B608ADB}">
              <a16:predDERef xmlns:a16="http://schemas.microsoft.com/office/drawing/2014/main" pred="{E921DDDE-D01C-46B8-B518-8CCCB3628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6644" y="306706"/>
          <a:ext cx="1932028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4">
          <a:extLst>
            <a:ext uri="{FF2B5EF4-FFF2-40B4-BE49-F238E27FC236}">
              <a16:creationId xmlns:a16="http://schemas.microsoft.com/office/drawing/2014/main" id="{8C10B060-99D5-4207-8486-90B91F8F07B4}"/>
            </a:ext>
            <a:ext uri="{147F2762-F138-4A5C-976F-8EAC2B608ADB}">
              <a16:predDERef xmlns:a16="http://schemas.microsoft.com/office/drawing/2014/main" pred="{787EBD57-6D4D-4CDA-97EB-4EADFDADFA5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7">
          <a:extLst>
            <a:ext uri="{FF2B5EF4-FFF2-40B4-BE49-F238E27FC236}">
              <a16:creationId xmlns:a16="http://schemas.microsoft.com/office/drawing/2014/main" id="{F44CADEB-8BA6-4BFE-BA2B-5D207883A684}"/>
            </a:ext>
            <a:ext uri="{147F2762-F138-4A5C-976F-8EAC2B608ADB}">
              <a16:predDERef xmlns:a16="http://schemas.microsoft.com/office/drawing/2014/main" pred="{8C10B060-99D5-4207-8486-90B91F8F07B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8">
          <a:extLst>
            <a:ext uri="{FF2B5EF4-FFF2-40B4-BE49-F238E27FC236}">
              <a16:creationId xmlns:a16="http://schemas.microsoft.com/office/drawing/2014/main" id="{AEFF623C-6425-4064-AF40-4BE837FEB5C5}"/>
            </a:ext>
            <a:ext uri="{147F2762-F138-4A5C-976F-8EAC2B608ADB}">
              <a16:predDERef xmlns:a16="http://schemas.microsoft.com/office/drawing/2014/main" pred="{F44CADEB-8BA6-4BFE-BA2B-5D207883A68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D3CFC611-D169-4CBC-A343-835705DEC3CB}"/>
            </a:ext>
            <a:ext uri="{147F2762-F138-4A5C-976F-8EAC2B608ADB}">
              <a16:predDERef xmlns:a16="http://schemas.microsoft.com/office/drawing/2014/main" pred="{AEFF623C-6425-4064-AF40-4BE837FEB5C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7243E795-3C12-4745-82B6-EB1C43087CA0}"/>
            </a:ext>
            <a:ext uri="{147F2762-F138-4A5C-976F-8EAC2B608ADB}">
              <a16:predDERef xmlns:a16="http://schemas.microsoft.com/office/drawing/2014/main" pred="{D3CFC611-D169-4CBC-A343-835705DEC3C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0A3D0370-5431-4CF3-9807-A2D7BD48B341}"/>
            </a:ext>
            <a:ext uri="{147F2762-F138-4A5C-976F-8EAC2B608ADB}">
              <a16:predDERef xmlns:a16="http://schemas.microsoft.com/office/drawing/2014/main" pred="{7243E795-3C12-4745-82B6-EB1C43087CA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2AE622D3-C9BC-47AA-99BC-D4F124516F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2AE9C02B-5550-47EE-BE4A-4F39BFE1961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6C7563BB-DD45-44DF-9580-8217AB437B4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C901BE69-DC83-4FA7-B72F-B675EEB857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1B6DC0E7-B312-4B2B-91FC-BBA4F8B0E6B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866C1376-1490-4AF8-9DB8-5095C9FE601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69442013-B606-4B9F-9630-71805C170C5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B1916AD5-8727-44D7-BEA8-ACEDE320BC6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6343B194-F0BF-4CB0-8328-980666ABEDF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C920377-A4D5-4FC3-B2FB-36364FA5E99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A1331898-7E4E-40B4-A354-3A523495E17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32821A89-D63B-467B-A655-B79827CD07D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84E8B214-D7CB-47E7-B02D-C7B6D90F999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F1F2F5A8-9771-4C4F-B790-D63186F4727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E488610A-AE5A-4CF5-AB0C-A62B2F25EB7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DFF11FB1-42A8-41C6-8B81-C86424CFD1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ECD4A292-474D-4A99-A10F-73B886CA62C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CD2D5603-3721-4DD1-A085-94B6E30F28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0EE9ED8C-1AE6-4EE2-A663-5D4076E1ED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899BB8CC-BCA4-40CB-8C60-515649D5FB0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A691DB4A-4E41-401D-8F28-2C91E763F35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DDEF00E-7489-44CE-B236-D6CFAB9F187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5D23F77-26FB-42E7-A22E-D40B6BB5F8C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518D275-9DCB-4B4C-83BF-ABA0A47C93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E5BA7698-8CAA-4417-A6C7-51CFC61EB0E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3C5BA0C3-4D68-456D-96AF-D9288069C0F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EF528C8B-040B-46FD-BDB0-FFDC837E811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171EDA70-3DA6-462D-A0E1-59FD9A936F5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9C5C2AC2-E602-43BA-956D-0A8803AD922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E7AE5E6A-7BCE-40B0-8E1D-E5FD0D9A508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2C4FEA62-8A99-4A5A-BE7D-1BA42FB7578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17DDB3F7-7FA7-4E22-B782-526D0EAED5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251ECC35-B339-4495-BE3A-36B2DD6B95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B3279F3-9E1A-4866-8EA1-F086A57FB57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F664CA13-6E11-4B4D-B842-8C349BA79ED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09D7871-6D6F-4CEA-A0C7-A58B9F8CEED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2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22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22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42F27223-08EA-4CF8-9153-5FA8A8E94C53}"/>
            </a:ext>
            <a:ext uri="{147F2762-F138-4A5C-976F-8EAC2B608ADB}">
              <a16:predDERef xmlns:a16="http://schemas.microsoft.com/office/drawing/2014/main" pred="{00000000-0008-0000-2200-000007000000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0B00EB3-2645-452E-A36A-3C7B44478237}"/>
            </a:ext>
            <a:ext uri="{147F2762-F138-4A5C-976F-8EAC2B608ADB}">
              <a16:predDERef xmlns:a16="http://schemas.microsoft.com/office/drawing/2014/main" pred="{42F27223-08EA-4CF8-9153-5FA8A8E94C53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639E14D-70B1-4B98-84B3-5AD68F22F109}"/>
            </a:ext>
            <a:ext uri="{147F2762-F138-4A5C-976F-8EAC2B608ADB}">
              <a16:predDERef xmlns:a16="http://schemas.microsoft.com/office/drawing/2014/main" pred="{20B00EB3-2645-452E-A36A-3C7B44478237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10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75973D-800E-47A6-B28A-831A6C8EF897}"/>
            </a:ext>
            <a:ext uri="{147F2762-F138-4A5C-976F-8EAC2B608ADB}">
              <a16:predDERef xmlns:a16="http://schemas.microsoft.com/office/drawing/2014/main" pred="{2639E14D-70B1-4B98-84B3-5AD68F22F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93152</xdr:colOff>
      <xdr:row>1</xdr:row>
      <xdr:rowOff>201018</xdr:rowOff>
    </xdr:from>
    <xdr:to>
      <xdr:col>8</xdr:col>
      <xdr:colOff>944229</xdr:colOff>
      <xdr:row>4</xdr:row>
      <xdr:rowOff>100053</xdr:rowOff>
    </xdr:to>
    <xdr:pic>
      <xdr:nvPicPr>
        <xdr:cNvPr id="11" name="Picture 4" descr="VIAGS xanh">
          <a:extLst>
            <a:ext uri="{FF2B5EF4-FFF2-40B4-BE49-F238E27FC236}">
              <a16:creationId xmlns:a16="http://schemas.microsoft.com/office/drawing/2014/main" id="{E09E9AD6-B8F8-49E3-9F2E-39A76D45BEEE}"/>
            </a:ext>
            <a:ext uri="{147F2762-F138-4A5C-976F-8EAC2B608ADB}">
              <a16:predDERef xmlns:a16="http://schemas.microsoft.com/office/drawing/2014/main" pred="{A375973D-800E-47A6-B28A-831A6C8EF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2587" y="308594"/>
          <a:ext cx="1944771" cy="598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64DB9902-114E-408E-B8E8-9ECE7548D79C}"/>
            </a:ext>
            <a:ext uri="{147F2762-F138-4A5C-976F-8EAC2B608ADB}">
              <a16:predDERef xmlns:a16="http://schemas.microsoft.com/office/drawing/2014/main" pred="{79B50339-FFE6-4C94-93E1-EDB77104D04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9F475BE9-8F3F-44B5-ABA6-37E460BD54D6}"/>
            </a:ext>
            <a:ext uri="{147F2762-F138-4A5C-976F-8EAC2B608ADB}">
              <a16:predDERef xmlns:a16="http://schemas.microsoft.com/office/drawing/2014/main" pred="{64DB9902-114E-408E-B8E8-9ECE7548D79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704CD56C-E4C2-4B15-8871-E4987EA1693C}"/>
            </a:ext>
            <a:ext uri="{147F2762-F138-4A5C-976F-8EAC2B608ADB}">
              <a16:predDERef xmlns:a16="http://schemas.microsoft.com/office/drawing/2014/main" pred="{9F475BE9-8F3F-44B5-ABA6-37E460BD54D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4D238AEE-51C5-4C5F-B3FB-43BA07B47DA4}"/>
            </a:ext>
            <a:ext uri="{147F2762-F138-4A5C-976F-8EAC2B608ADB}">
              <a16:predDERef xmlns:a16="http://schemas.microsoft.com/office/drawing/2014/main" pred="{704CD56C-E4C2-4B15-8871-E4987EA1693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8ED7881A-3CA9-4C37-A65C-12F8AC098EB6}"/>
            </a:ext>
            <a:ext uri="{147F2762-F138-4A5C-976F-8EAC2B608ADB}">
              <a16:predDERef xmlns:a16="http://schemas.microsoft.com/office/drawing/2014/main" pred="{4D238AEE-51C5-4C5F-B3FB-43BA07B47DA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70120F94-9E45-4DF8-996A-7C7D77E5C11E}"/>
            </a:ext>
            <a:ext uri="{147F2762-F138-4A5C-976F-8EAC2B608ADB}">
              <a16:predDERef xmlns:a16="http://schemas.microsoft.com/office/drawing/2014/main" pred="{8ED7881A-3CA9-4C37-A65C-12F8AC098EB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6B2E6CE8-6EA3-4B2E-9756-D90B9B08D2A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1CA5847E-9B79-4E2D-80CC-9B8E8588B6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891C67EE-43B1-4300-92CB-403F2AE51DC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0CC9AC8E-822A-4F5D-8E66-ABB68D8478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0D47365A-46E7-4BC4-BC6F-5EFB1B2BF51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83E48A69-3DBA-4A66-B3F0-449BE5D3BE6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4FB44A7E-8D11-491D-97D5-59DE68DBEFE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F82F8B71-860F-4552-A98E-48A61BDECBB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67B3DBF4-6B81-46D0-9DB7-691700CE465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9004F27-531D-46EB-8A2A-38E3A3E3E10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49710E03-D48A-40E9-BB3B-655516CD30B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7004D0AF-6C2B-4C0C-A92D-F0445BED2CD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2C1A285F-6585-4BF5-BED0-0A66529CC24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CB20531B-FB3A-4A94-A49D-B452EE3C61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D569FDA5-881A-4F0F-B4D8-1B4F820138C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70D5FE67-08D9-48ED-88BE-F6BBF92E3A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271DAC99-A0CB-406F-81FA-237253CFD8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BC4E1C5B-63E8-4060-A651-E39362F933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9DA481C3-C09C-428D-9090-72ACB427BFA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F96F8786-7BEA-45C3-8FB2-F6A3B1ACBF9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DE2046F2-4B35-45F0-9088-B8782C9F35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A1D503D6-DEFE-4B33-97E5-4EEE350E0E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CD8CBA62-555D-4C25-87CD-53D9AEC6F55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3E710C2-80D2-47D0-960C-B34D5A41FC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E19887BC-A17A-4A0E-BC89-9064AEF4F0E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19922F8D-BC68-4EE7-8F23-9BCA38AEE8C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44A25878-375B-408B-9BE2-68198273882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1E360E55-3A73-44B6-88AB-2713CAB9D6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B731F5F4-1ADA-454B-BC78-DB0318CA09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38A04CCF-1A33-4BAC-9795-C894B28FBD1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A9D2054B-D921-41C7-8316-2DD9826FA8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15EB4E67-C209-4662-A4D4-939DB32667D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1C3C5C38-96A1-4212-A3D4-8592CEBE40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0DFBA4F-4B7D-45F9-874C-16960132351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812CC13B-6B77-48E7-AC35-6BDFBF987ED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6FC3F979-4630-432E-A384-AD368F7685C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2300-00000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2300-00000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00000000-0008-0000-2300-00000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571767-2D8F-4431-BBF5-EBC38EBCD41B}"/>
            </a:ext>
            <a:ext uri="{147F2762-F138-4A5C-976F-8EAC2B608ADB}">
              <a16:predDERef xmlns:a16="http://schemas.microsoft.com/office/drawing/2014/main" pred="{00000000-0008-0000-2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3" name="Picture 4" descr="VIAGS xanh">
          <a:extLst>
            <a:ext uri="{FF2B5EF4-FFF2-40B4-BE49-F238E27FC236}">
              <a16:creationId xmlns:a16="http://schemas.microsoft.com/office/drawing/2014/main" id="{7D847B99-6C38-45CB-92A7-5FE53544D522}"/>
            </a:ext>
            <a:ext uri="{147F2762-F138-4A5C-976F-8EAC2B608ADB}">
              <a16:predDERef xmlns:a16="http://schemas.microsoft.com/office/drawing/2014/main" pred="{91571767-2D8F-4431-BBF5-EBC38EBCD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9D22D163-966A-474D-985C-37E29C74F8DF}"/>
            </a:ext>
            <a:ext uri="{147F2762-F138-4A5C-976F-8EAC2B608ADB}">
              <a16:predDERef xmlns:a16="http://schemas.microsoft.com/office/drawing/2014/main" pred="{D6337174-87AC-4D68-B437-41DC1C8E815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7521DF97-5B1E-423C-910F-716FDCD553B5}"/>
            </a:ext>
            <a:ext uri="{147F2762-F138-4A5C-976F-8EAC2B608ADB}">
              <a16:predDERef xmlns:a16="http://schemas.microsoft.com/office/drawing/2014/main" pred="{9D22D163-966A-474D-985C-37E29C74F8D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036A0AAC-6402-420F-90E3-9C539D5E7904}"/>
            </a:ext>
            <a:ext uri="{147F2762-F138-4A5C-976F-8EAC2B608ADB}">
              <a16:predDERef xmlns:a16="http://schemas.microsoft.com/office/drawing/2014/main" pred="{7521DF97-5B1E-423C-910F-716FDCD553B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98CC3EF8-558C-4498-9272-2128BF3A520B}"/>
            </a:ext>
            <a:ext uri="{147F2762-F138-4A5C-976F-8EAC2B608ADB}">
              <a16:predDERef xmlns:a16="http://schemas.microsoft.com/office/drawing/2014/main" pred="{036A0AAC-6402-420F-90E3-9C539D5E790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182D3678-1A8A-4FE6-A03B-646F120EBAD3}"/>
            </a:ext>
            <a:ext uri="{147F2762-F138-4A5C-976F-8EAC2B608ADB}">
              <a16:predDERef xmlns:a16="http://schemas.microsoft.com/office/drawing/2014/main" pred="{98CC3EF8-558C-4498-9272-2128BF3A520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8034B6F8-8387-4FE4-A905-33F0159A8859}"/>
            </a:ext>
            <a:ext uri="{147F2762-F138-4A5C-976F-8EAC2B608ADB}">
              <a16:predDERef xmlns:a16="http://schemas.microsoft.com/office/drawing/2014/main" pred="{182D3678-1A8A-4FE6-A03B-646F120EBAD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51F9726D-6E10-47D5-A24B-70B8E524CF0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EF18EEB3-AAA2-4320-B29F-B8DE920CC81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AE4C3AF0-D1EA-46B5-B6E4-F424626D50E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48F5DC78-5BBD-4EBD-843B-C12A21D4F85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66E22ED1-6D26-400F-8084-1CFC2103F8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2A6EB71B-3C3F-488E-BC8D-CF7FA05E9B1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AA55CBF0-31F7-4572-9B13-D4823D942F7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29923A64-E21D-4E2F-8D3B-900B1FF325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AAC9F015-7B25-4EC9-B646-ACA1B926B8E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CF213D2-934E-4B60-951C-B2FBD32922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18058885-6059-455F-AFE7-70E23372CC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B6505EE2-5534-4829-9376-D3CD1CDE18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32B19FC9-2391-498A-AEF8-61F332E8DD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025B45A1-1635-4942-96D6-9E28AE0B657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681FC5D4-2C20-4042-8129-E451570A85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B2E8D977-CB4E-4624-9D04-413853E79F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727782FE-2325-404D-B60A-B084D8D334E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4795CE4B-B4A6-4A46-A197-F83051A626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7A927BCC-3364-4393-829B-142714CF503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135583D9-A156-4610-AEB9-C7955730500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3A342B01-D53A-4FF0-8B27-F91D43D20A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F51337A-6AEA-473C-9601-213F5D6473E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936644D-A423-4A82-B074-FFF2E3AD791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F4B6230C-51A1-493C-A3DA-B68B6C16F77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202CB502-5076-4720-AC98-CC342F7808C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F4354558-E572-4A21-BF17-7A0C177D88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F013FCB4-ACD4-4B3E-B544-8B240AA392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0D4993E2-8C22-49DE-897D-9C0E34F974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86363D76-CB71-468D-B476-E94B69F7013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C12EC7F5-4488-4BC1-9A0C-A6B5AD2C44E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86C2BBC1-ADFB-4E61-9A38-17E9ADA23E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2156970C-60C9-45FC-BB8D-241B26B986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8DE14C7D-C138-44E9-BE95-3010DAE3101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91D9A4A-53B8-48FA-BF0B-627180FC0EE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3BF4AD6C-A878-4AC2-B9E6-CC67AF7C535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ADC8B71-316C-40B5-BD51-170617F885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4">
          <a:extLst>
            <a:ext uri="{FF2B5EF4-FFF2-40B4-BE49-F238E27FC236}">
              <a16:creationId xmlns:a16="http://schemas.microsoft.com/office/drawing/2014/main" id="{B3CDCDB3-4E7C-4D2D-BD33-D0A2970CC54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71B94090-1405-4D60-952F-024AB4CCBA1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D2D90210-DFC6-445A-9698-80E7867E9B0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F6FAE5DE-9C14-4946-B98B-D6C9380F7DC5}"/>
            </a:ext>
            <a:ext uri="{147F2762-F138-4A5C-976F-8EAC2B608ADB}">
              <a16:predDERef xmlns:a16="http://schemas.microsoft.com/office/drawing/2014/main" pred="{169505AA-065E-41A6-A7E5-081A2C92924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75C34096-4EB9-4422-9176-2BE954A4560B}"/>
            </a:ext>
            <a:ext uri="{147F2762-F138-4A5C-976F-8EAC2B608ADB}">
              <a16:predDERef xmlns:a16="http://schemas.microsoft.com/office/drawing/2014/main" pred="{47F51DB8-8DC7-435F-9D05-C58E8410C3F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EAA55720-E858-41BF-93AA-A2725E735764}"/>
            </a:ext>
            <a:ext uri="{147F2762-F138-4A5C-976F-8EAC2B608ADB}">
              <a16:predDERef xmlns:a16="http://schemas.microsoft.com/office/drawing/2014/main" pred="{62B73D04-4AA8-4D2D-848F-809547BB067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4727116B-1C4E-4680-9552-71FC07E639E6}"/>
            </a:ext>
            <a:ext uri="{147F2762-F138-4A5C-976F-8EAC2B608ADB}">
              <a16:predDERef xmlns:a16="http://schemas.microsoft.com/office/drawing/2014/main" pred="{153750EA-D6C9-4FE3-93BE-1EEA0BFD0F0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9D030F03-3289-4F2D-A533-1937BB21CD18}"/>
            </a:ext>
            <a:ext uri="{147F2762-F138-4A5C-976F-8EAC2B608ADB}">
              <a16:predDERef xmlns:a16="http://schemas.microsoft.com/office/drawing/2014/main" pred="{CE092D38-23B8-4698-AD40-12A30322EAF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A3D55B62-BE69-435B-A29A-DE9BD86A4E5E}"/>
            </a:ext>
            <a:ext uri="{147F2762-F138-4A5C-976F-8EAC2B608ADB}">
              <a16:predDERef xmlns:a16="http://schemas.microsoft.com/office/drawing/2014/main" pred="{597DAEE6-8E76-40F0-95DC-66FC4B0590A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0AFBB3FB-ADE1-4697-AA5E-822BD80447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CF8EAD04-9DCF-41F3-B347-8F22A06CD71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035F4BC9-5EF2-424F-B2AD-D6FD4EBB6C9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A2B0E975-42C2-414E-8008-25CC81C301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20688DA3-FFD0-4E97-8C9B-A577A14833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EB826D85-48B8-4775-82ED-10E4B8F519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CD4BF878-35C5-4207-A2B1-07670FE097C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5ACE2B1C-B5C4-4D09-A34F-C22904F770E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AF7BA799-1E9F-4229-BC5F-F823124450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A25C8F6-C076-4D9B-9D13-7B6404A6B05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2A45F90F-9F7E-4E6F-B370-5A80D9C871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5232B3C4-4898-4E0A-9FB9-5D595AA89B9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24184805-F256-4818-895B-1F3ABCD813D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61E36850-7193-4474-ADC6-6D53B773676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07913DCE-762A-4F79-8AE0-38412F5C880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4">
          <a:extLst>
            <a:ext uri="{FF2B5EF4-FFF2-40B4-BE49-F238E27FC236}">
              <a16:creationId xmlns:a16="http://schemas.microsoft.com/office/drawing/2014/main" id="{753ECBE5-09EC-4D67-A96D-3216309A844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">
          <a:extLst>
            <a:ext uri="{FF2B5EF4-FFF2-40B4-BE49-F238E27FC236}">
              <a16:creationId xmlns:a16="http://schemas.microsoft.com/office/drawing/2014/main" id="{54716795-2429-43C8-9223-3546C6C8988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8">
          <a:extLst>
            <a:ext uri="{FF2B5EF4-FFF2-40B4-BE49-F238E27FC236}">
              <a16:creationId xmlns:a16="http://schemas.microsoft.com/office/drawing/2014/main" id="{77516B76-0504-4531-8414-AE967F4B532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4">
          <a:extLst>
            <a:ext uri="{FF2B5EF4-FFF2-40B4-BE49-F238E27FC236}">
              <a16:creationId xmlns:a16="http://schemas.microsoft.com/office/drawing/2014/main" id="{EEB2278E-BB4E-4F87-BAA0-C96F1143752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">
          <a:extLst>
            <a:ext uri="{FF2B5EF4-FFF2-40B4-BE49-F238E27FC236}">
              <a16:creationId xmlns:a16="http://schemas.microsoft.com/office/drawing/2014/main" id="{70F45F0C-CE29-43B9-A433-57A9656BDBD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8">
          <a:extLst>
            <a:ext uri="{FF2B5EF4-FFF2-40B4-BE49-F238E27FC236}">
              <a16:creationId xmlns:a16="http://schemas.microsoft.com/office/drawing/2014/main" id="{9573C77D-946C-43E7-8C16-29B5A9C305D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CFFAB130-4B6F-4BB0-89DA-059A583A2F1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79D1742A-106D-42CA-814F-1F4F6DCF51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393BBB72-C5AF-40D3-81B3-41CA146633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4">
          <a:extLst>
            <a:ext uri="{FF2B5EF4-FFF2-40B4-BE49-F238E27FC236}">
              <a16:creationId xmlns:a16="http://schemas.microsoft.com/office/drawing/2014/main" id="{A6093AFE-AAEC-4344-A6E8-6B208DDAB3E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CB2E7939-ED56-45D5-8409-28B156854E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47777038-AF10-4EB3-9C24-D6FCEAEB74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5AAA731D-5A40-4839-98FF-D1A94437A7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B3EFD13C-4F87-4341-939D-0B3CFC90047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A06A5401-57C4-40D1-A534-F0D3A77103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4">
          <a:extLst>
            <a:ext uri="{FF2B5EF4-FFF2-40B4-BE49-F238E27FC236}">
              <a16:creationId xmlns:a16="http://schemas.microsoft.com/office/drawing/2014/main" id="{DC802E19-AE53-4B4F-BF96-FF160407956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7">
          <a:extLst>
            <a:ext uri="{FF2B5EF4-FFF2-40B4-BE49-F238E27FC236}">
              <a16:creationId xmlns:a16="http://schemas.microsoft.com/office/drawing/2014/main" id="{1CFA7221-A111-49BA-B8C0-4C96AA00D3A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">
          <a:extLst>
            <a:ext uri="{FF2B5EF4-FFF2-40B4-BE49-F238E27FC236}">
              <a16:creationId xmlns:a16="http://schemas.microsoft.com/office/drawing/2014/main" id="{8216370F-9B1A-4CCA-B624-E07CD24145E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3206B6F7-207F-4B11-9616-C767C3569FB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8B708F40-B0E3-43AC-94B1-97CFEC394A1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74D0F3F7-74FF-4E0E-8D44-B0C071095A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4">
          <a:extLst>
            <a:ext uri="{FF2B5EF4-FFF2-40B4-BE49-F238E27FC236}">
              <a16:creationId xmlns:a16="http://schemas.microsoft.com/office/drawing/2014/main" id="{A9E138F3-7141-498B-9A11-DCA9E77E82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7">
          <a:extLst>
            <a:ext uri="{FF2B5EF4-FFF2-40B4-BE49-F238E27FC236}">
              <a16:creationId xmlns:a16="http://schemas.microsoft.com/office/drawing/2014/main" id="{2302628D-A420-4C1F-BC6B-015A191D31D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8">
          <a:extLst>
            <a:ext uri="{FF2B5EF4-FFF2-40B4-BE49-F238E27FC236}">
              <a16:creationId xmlns:a16="http://schemas.microsoft.com/office/drawing/2014/main" id="{08F8F6EB-1957-41A3-BC53-6B08052CF0D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4">
          <a:extLst>
            <a:ext uri="{FF2B5EF4-FFF2-40B4-BE49-F238E27FC236}">
              <a16:creationId xmlns:a16="http://schemas.microsoft.com/office/drawing/2014/main" id="{D6D03C59-AE2E-43A3-A5EC-ABAE302A83C6}"/>
            </a:ext>
            <a:ext uri="{147F2762-F138-4A5C-976F-8EAC2B608ADB}">
              <a16:predDERef xmlns:a16="http://schemas.microsoft.com/office/drawing/2014/main" pred="{4334BFCA-CB12-48DA-8E2A-FD22A82567F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7">
          <a:extLst>
            <a:ext uri="{FF2B5EF4-FFF2-40B4-BE49-F238E27FC236}">
              <a16:creationId xmlns:a16="http://schemas.microsoft.com/office/drawing/2014/main" id="{0D4B2B83-258A-4492-8FDF-69C0B0C15D80}"/>
            </a:ext>
            <a:ext uri="{147F2762-F138-4A5C-976F-8EAC2B608ADB}">
              <a16:predDERef xmlns:a16="http://schemas.microsoft.com/office/drawing/2014/main" pred="{395A4EF6-0825-4E96-BB01-8169083AD90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8">
          <a:extLst>
            <a:ext uri="{FF2B5EF4-FFF2-40B4-BE49-F238E27FC236}">
              <a16:creationId xmlns:a16="http://schemas.microsoft.com/office/drawing/2014/main" id="{507E3DB7-67EC-4DAF-B708-17BFABEDE151}"/>
            </a:ext>
            <a:ext uri="{147F2762-F138-4A5C-976F-8EAC2B608ADB}">
              <a16:predDERef xmlns:a16="http://schemas.microsoft.com/office/drawing/2014/main" pred="{FE862702-B850-4EAC-904A-2EDEEBF5616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id="{4185B446-7D3D-49A5-B62A-44D93F07592E}"/>
            </a:ext>
            <a:ext uri="{147F2762-F138-4A5C-976F-8EAC2B608ADB}">
              <a16:predDERef xmlns:a16="http://schemas.microsoft.com/office/drawing/2014/main" pred="{0CD3100D-7587-42FE-BF92-3E421A0716F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7">
          <a:extLst>
            <a:ext uri="{FF2B5EF4-FFF2-40B4-BE49-F238E27FC236}">
              <a16:creationId xmlns:a16="http://schemas.microsoft.com/office/drawing/2014/main" id="{9F57AD06-5A2D-41E9-BE24-D526D41CBAE8}"/>
            </a:ext>
            <a:ext uri="{147F2762-F138-4A5C-976F-8EAC2B608ADB}">
              <a16:predDERef xmlns:a16="http://schemas.microsoft.com/office/drawing/2014/main" pred="{368A06AD-7AAC-49C2-BE44-54CD4B12282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8">
          <a:extLst>
            <a:ext uri="{FF2B5EF4-FFF2-40B4-BE49-F238E27FC236}">
              <a16:creationId xmlns:a16="http://schemas.microsoft.com/office/drawing/2014/main" id="{25D12693-4AF0-41D0-975E-27C068CC5F69}"/>
            </a:ext>
            <a:ext uri="{147F2762-F138-4A5C-976F-8EAC2B608ADB}">
              <a16:predDERef xmlns:a16="http://schemas.microsoft.com/office/drawing/2014/main" pred="{73889B8D-323F-4DE1-A8A8-70694F9D6A6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4">
          <a:extLst>
            <a:ext uri="{FF2B5EF4-FFF2-40B4-BE49-F238E27FC236}">
              <a16:creationId xmlns:a16="http://schemas.microsoft.com/office/drawing/2014/main" id="{C436273D-3F0D-48E2-B5B6-58C460EAA5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7">
          <a:extLst>
            <a:ext uri="{FF2B5EF4-FFF2-40B4-BE49-F238E27FC236}">
              <a16:creationId xmlns:a16="http://schemas.microsoft.com/office/drawing/2014/main" id="{8B2ECC9F-2B62-4057-A979-0A8D5810CD3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8">
          <a:extLst>
            <a:ext uri="{FF2B5EF4-FFF2-40B4-BE49-F238E27FC236}">
              <a16:creationId xmlns:a16="http://schemas.microsoft.com/office/drawing/2014/main" id="{6CDC19C6-774D-4EED-956D-A81E08F864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4">
          <a:extLst>
            <a:ext uri="{FF2B5EF4-FFF2-40B4-BE49-F238E27FC236}">
              <a16:creationId xmlns:a16="http://schemas.microsoft.com/office/drawing/2014/main" id="{58171046-42B1-4F6A-A2F1-F27FE6B7F4F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7">
          <a:extLst>
            <a:ext uri="{FF2B5EF4-FFF2-40B4-BE49-F238E27FC236}">
              <a16:creationId xmlns:a16="http://schemas.microsoft.com/office/drawing/2014/main" id="{54CA240C-08CD-47DB-B3BE-1844C4C033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8">
          <a:extLst>
            <a:ext uri="{FF2B5EF4-FFF2-40B4-BE49-F238E27FC236}">
              <a16:creationId xmlns:a16="http://schemas.microsoft.com/office/drawing/2014/main" id="{99055DB3-B9DB-42AD-9032-52362844070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4">
          <a:extLst>
            <a:ext uri="{FF2B5EF4-FFF2-40B4-BE49-F238E27FC236}">
              <a16:creationId xmlns:a16="http://schemas.microsoft.com/office/drawing/2014/main" id="{CA4C3BEF-06F5-42C4-8DC4-6BB6F2B34BC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7">
          <a:extLst>
            <a:ext uri="{FF2B5EF4-FFF2-40B4-BE49-F238E27FC236}">
              <a16:creationId xmlns:a16="http://schemas.microsoft.com/office/drawing/2014/main" id="{E6F49823-6547-48D1-9D1E-32FD5DA5B8C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8">
          <a:extLst>
            <a:ext uri="{FF2B5EF4-FFF2-40B4-BE49-F238E27FC236}">
              <a16:creationId xmlns:a16="http://schemas.microsoft.com/office/drawing/2014/main" id="{A631F0FA-EDC9-4C22-B5B4-BB171234391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DC9FD2A5-A53A-41F1-9FF2-9AE2BAB4242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7">
          <a:extLst>
            <a:ext uri="{FF2B5EF4-FFF2-40B4-BE49-F238E27FC236}">
              <a16:creationId xmlns:a16="http://schemas.microsoft.com/office/drawing/2014/main" id="{42E5D984-F629-4CED-9E07-524B781A3F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8">
          <a:extLst>
            <a:ext uri="{FF2B5EF4-FFF2-40B4-BE49-F238E27FC236}">
              <a16:creationId xmlns:a16="http://schemas.microsoft.com/office/drawing/2014/main" id="{F57C3CA6-679F-47D2-8949-928E7432786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4">
          <a:extLst>
            <a:ext uri="{FF2B5EF4-FFF2-40B4-BE49-F238E27FC236}">
              <a16:creationId xmlns:a16="http://schemas.microsoft.com/office/drawing/2014/main" id="{04F9A002-9B97-4099-9DE9-23605A4B9E0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7">
          <a:extLst>
            <a:ext uri="{FF2B5EF4-FFF2-40B4-BE49-F238E27FC236}">
              <a16:creationId xmlns:a16="http://schemas.microsoft.com/office/drawing/2014/main" id="{EB0F8855-0CDB-470C-B183-98A6BCB509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8">
          <a:extLst>
            <a:ext uri="{FF2B5EF4-FFF2-40B4-BE49-F238E27FC236}">
              <a16:creationId xmlns:a16="http://schemas.microsoft.com/office/drawing/2014/main" id="{87AC9EF1-0B0C-49D8-B24B-D852252E96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4">
          <a:extLst>
            <a:ext uri="{FF2B5EF4-FFF2-40B4-BE49-F238E27FC236}">
              <a16:creationId xmlns:a16="http://schemas.microsoft.com/office/drawing/2014/main" id="{19558948-2417-45D1-AEF9-8BEE503CAE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7">
          <a:extLst>
            <a:ext uri="{FF2B5EF4-FFF2-40B4-BE49-F238E27FC236}">
              <a16:creationId xmlns:a16="http://schemas.microsoft.com/office/drawing/2014/main" id="{7BDE9DF8-EECB-4634-846A-534338E0D15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8">
          <a:extLst>
            <a:ext uri="{FF2B5EF4-FFF2-40B4-BE49-F238E27FC236}">
              <a16:creationId xmlns:a16="http://schemas.microsoft.com/office/drawing/2014/main" id="{4BC6D3CA-AAB5-443A-BA0D-B0509C6C4A1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4">
          <a:extLst>
            <a:ext uri="{FF2B5EF4-FFF2-40B4-BE49-F238E27FC236}">
              <a16:creationId xmlns:a16="http://schemas.microsoft.com/office/drawing/2014/main" id="{40BDFB4C-13D7-4F8E-B6A8-78765A7CB9E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7">
          <a:extLst>
            <a:ext uri="{FF2B5EF4-FFF2-40B4-BE49-F238E27FC236}">
              <a16:creationId xmlns:a16="http://schemas.microsoft.com/office/drawing/2014/main" id="{D79A91F4-F97C-49B7-9752-7F3D9838208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8">
          <a:extLst>
            <a:ext uri="{FF2B5EF4-FFF2-40B4-BE49-F238E27FC236}">
              <a16:creationId xmlns:a16="http://schemas.microsoft.com/office/drawing/2014/main" id="{E1402F07-B1AA-42E7-AC69-65CB539EE2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997FFE2-FF35-45BA-9B68-20F898E2858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ED1DE52F-0A46-42CD-946E-DD035116456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D82F15C-AE1E-41B0-9EFD-D125F645A3A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4">
          <a:extLst>
            <a:ext uri="{FF2B5EF4-FFF2-40B4-BE49-F238E27FC236}">
              <a16:creationId xmlns:a16="http://schemas.microsoft.com/office/drawing/2014/main" id="{3454CC0A-8E78-4CEC-BFAB-FE0CC9AB7BA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7">
          <a:extLst>
            <a:ext uri="{FF2B5EF4-FFF2-40B4-BE49-F238E27FC236}">
              <a16:creationId xmlns:a16="http://schemas.microsoft.com/office/drawing/2014/main" id="{ED2AD6B3-5F62-46D4-89C7-25D49C12E3D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8">
          <a:extLst>
            <a:ext uri="{FF2B5EF4-FFF2-40B4-BE49-F238E27FC236}">
              <a16:creationId xmlns:a16="http://schemas.microsoft.com/office/drawing/2014/main" id="{2C0AA821-8350-48CF-B83F-2797BD8B80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4">
          <a:extLst>
            <a:ext uri="{FF2B5EF4-FFF2-40B4-BE49-F238E27FC236}">
              <a16:creationId xmlns:a16="http://schemas.microsoft.com/office/drawing/2014/main" id="{0068CFEE-3664-4581-AFD9-9680D9D1949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7">
          <a:extLst>
            <a:ext uri="{FF2B5EF4-FFF2-40B4-BE49-F238E27FC236}">
              <a16:creationId xmlns:a16="http://schemas.microsoft.com/office/drawing/2014/main" id="{4E0F8CC0-205E-470A-8311-38A09D23FF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8">
          <a:extLst>
            <a:ext uri="{FF2B5EF4-FFF2-40B4-BE49-F238E27FC236}">
              <a16:creationId xmlns:a16="http://schemas.microsoft.com/office/drawing/2014/main" id="{3E744F2B-96ED-4F33-966E-28FD8531177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4">
          <a:extLst>
            <a:ext uri="{FF2B5EF4-FFF2-40B4-BE49-F238E27FC236}">
              <a16:creationId xmlns:a16="http://schemas.microsoft.com/office/drawing/2014/main" id="{2F0B482C-BE9B-4FED-A75A-0E01539EB5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7">
          <a:extLst>
            <a:ext uri="{FF2B5EF4-FFF2-40B4-BE49-F238E27FC236}">
              <a16:creationId xmlns:a16="http://schemas.microsoft.com/office/drawing/2014/main" id="{CEBFE8C0-7A64-4E15-8441-3585E052A91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8">
          <a:extLst>
            <a:ext uri="{FF2B5EF4-FFF2-40B4-BE49-F238E27FC236}">
              <a16:creationId xmlns:a16="http://schemas.microsoft.com/office/drawing/2014/main" id="{33ED5530-23F9-4C13-80B6-31FA692E03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12908781-5F77-4223-B1FA-BFA759C6E2B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D1632A74-9019-498C-80AB-C79956454A0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2FA82BFD-FE58-4BF9-99AB-1BE39D6824E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4">
          <a:extLst>
            <a:ext uri="{FF2B5EF4-FFF2-40B4-BE49-F238E27FC236}">
              <a16:creationId xmlns:a16="http://schemas.microsoft.com/office/drawing/2014/main" id="{9FE65DB4-9081-4249-812F-5F62279A77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7">
          <a:extLst>
            <a:ext uri="{FF2B5EF4-FFF2-40B4-BE49-F238E27FC236}">
              <a16:creationId xmlns:a16="http://schemas.microsoft.com/office/drawing/2014/main" id="{C0DFB9F3-9A89-400A-8132-A320E9E3500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8">
          <a:extLst>
            <a:ext uri="{FF2B5EF4-FFF2-40B4-BE49-F238E27FC236}">
              <a16:creationId xmlns:a16="http://schemas.microsoft.com/office/drawing/2014/main" id="{186BEC43-5A0B-4206-BA25-907C54A95B8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4">
          <a:extLst>
            <a:ext uri="{FF2B5EF4-FFF2-40B4-BE49-F238E27FC236}">
              <a16:creationId xmlns:a16="http://schemas.microsoft.com/office/drawing/2014/main" id="{4378569B-815F-4DE3-9F0E-1E69DDCE166A}"/>
            </a:ext>
            <a:ext uri="{147F2762-F138-4A5C-976F-8EAC2B608ADB}">
              <a16:predDERef xmlns:a16="http://schemas.microsoft.com/office/drawing/2014/main" pred="{A852D57F-4849-463E-B328-8EB8FB8F3DC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7">
          <a:extLst>
            <a:ext uri="{FF2B5EF4-FFF2-40B4-BE49-F238E27FC236}">
              <a16:creationId xmlns:a16="http://schemas.microsoft.com/office/drawing/2014/main" id="{C11CD0B2-2E8E-4896-9FAA-1C937709CDBD}"/>
            </a:ext>
            <a:ext uri="{147F2762-F138-4A5C-976F-8EAC2B608ADB}">
              <a16:predDERef xmlns:a16="http://schemas.microsoft.com/office/drawing/2014/main" pred="{4AFB51E7-94B0-4ED5-8992-ADF90910189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8">
          <a:extLst>
            <a:ext uri="{FF2B5EF4-FFF2-40B4-BE49-F238E27FC236}">
              <a16:creationId xmlns:a16="http://schemas.microsoft.com/office/drawing/2014/main" id="{83BD2C6C-BFEF-493A-8A1B-E6E3AC15F963}"/>
            </a:ext>
            <a:ext uri="{147F2762-F138-4A5C-976F-8EAC2B608ADB}">
              <a16:predDERef xmlns:a16="http://schemas.microsoft.com/office/drawing/2014/main" pred="{90CFED20-0863-4D99-9D40-CFAE8E9D133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4">
          <a:extLst>
            <a:ext uri="{FF2B5EF4-FFF2-40B4-BE49-F238E27FC236}">
              <a16:creationId xmlns:a16="http://schemas.microsoft.com/office/drawing/2014/main" id="{DC34D721-AA75-4A4F-9F82-CC9634AE377B}"/>
            </a:ext>
            <a:ext uri="{147F2762-F138-4A5C-976F-8EAC2B608ADB}">
              <a16:predDERef xmlns:a16="http://schemas.microsoft.com/office/drawing/2014/main" pred="{B584139A-2B88-49D7-8814-E153EFA90A8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7">
          <a:extLst>
            <a:ext uri="{FF2B5EF4-FFF2-40B4-BE49-F238E27FC236}">
              <a16:creationId xmlns:a16="http://schemas.microsoft.com/office/drawing/2014/main" id="{1B97DECC-FCEC-419B-A6A6-F1ADC83F478C}"/>
            </a:ext>
            <a:ext uri="{147F2762-F138-4A5C-976F-8EAC2B608ADB}">
              <a16:predDERef xmlns:a16="http://schemas.microsoft.com/office/drawing/2014/main" pred="{CA315F30-6113-485F-B762-9AAA86D675C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8">
          <a:extLst>
            <a:ext uri="{FF2B5EF4-FFF2-40B4-BE49-F238E27FC236}">
              <a16:creationId xmlns:a16="http://schemas.microsoft.com/office/drawing/2014/main" id="{50A50F6D-D29C-4072-90B1-51CD0782C58D}"/>
            </a:ext>
            <a:ext uri="{147F2762-F138-4A5C-976F-8EAC2B608ADB}">
              <a16:predDERef xmlns:a16="http://schemas.microsoft.com/office/drawing/2014/main" pred="{21A690C8-6392-44B2-9FF0-69B9DEE822C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4">
          <a:extLst>
            <a:ext uri="{FF2B5EF4-FFF2-40B4-BE49-F238E27FC236}">
              <a16:creationId xmlns:a16="http://schemas.microsoft.com/office/drawing/2014/main" id="{9E3858BE-BE31-41B6-9084-553ECFC68CF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7">
          <a:extLst>
            <a:ext uri="{FF2B5EF4-FFF2-40B4-BE49-F238E27FC236}">
              <a16:creationId xmlns:a16="http://schemas.microsoft.com/office/drawing/2014/main" id="{573F73F1-F961-4BCD-9950-988D56B24F8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8">
          <a:extLst>
            <a:ext uri="{FF2B5EF4-FFF2-40B4-BE49-F238E27FC236}">
              <a16:creationId xmlns:a16="http://schemas.microsoft.com/office/drawing/2014/main" id="{2EE10599-1B4B-4E4F-9C0B-350E7C6E6AA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4">
          <a:extLst>
            <a:ext uri="{FF2B5EF4-FFF2-40B4-BE49-F238E27FC236}">
              <a16:creationId xmlns:a16="http://schemas.microsoft.com/office/drawing/2014/main" id="{9FEB910C-E3B6-4F1C-AF2C-044B8F96B4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7">
          <a:extLst>
            <a:ext uri="{FF2B5EF4-FFF2-40B4-BE49-F238E27FC236}">
              <a16:creationId xmlns:a16="http://schemas.microsoft.com/office/drawing/2014/main" id="{B590470F-B9AE-4A08-8CCC-41F0E992C2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3" name="TextBox 8">
          <a:extLst>
            <a:ext uri="{FF2B5EF4-FFF2-40B4-BE49-F238E27FC236}">
              <a16:creationId xmlns:a16="http://schemas.microsoft.com/office/drawing/2014/main" id="{28B463DF-68D4-4FC2-99C4-48B8B5278C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4" name="TextBox 4">
          <a:extLst>
            <a:ext uri="{FF2B5EF4-FFF2-40B4-BE49-F238E27FC236}">
              <a16:creationId xmlns:a16="http://schemas.microsoft.com/office/drawing/2014/main" id="{40DF885F-1671-40E9-9942-DB1F442883E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5" name="TextBox 7">
          <a:extLst>
            <a:ext uri="{FF2B5EF4-FFF2-40B4-BE49-F238E27FC236}">
              <a16:creationId xmlns:a16="http://schemas.microsoft.com/office/drawing/2014/main" id="{5F941FEC-CF81-4640-8D0F-1D7DFB86EC5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6" name="TextBox 8">
          <a:extLst>
            <a:ext uri="{FF2B5EF4-FFF2-40B4-BE49-F238E27FC236}">
              <a16:creationId xmlns:a16="http://schemas.microsoft.com/office/drawing/2014/main" id="{3C12B3E4-CE5B-4D9E-A677-2397FD46E21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6EE89FAA-A57C-4AD5-8C47-C4E8E651411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8" name="TextBox 7">
          <a:extLst>
            <a:ext uri="{FF2B5EF4-FFF2-40B4-BE49-F238E27FC236}">
              <a16:creationId xmlns:a16="http://schemas.microsoft.com/office/drawing/2014/main" id="{E3567215-72DE-4074-AE35-4EB288EE25B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9" name="TextBox 8">
          <a:extLst>
            <a:ext uri="{FF2B5EF4-FFF2-40B4-BE49-F238E27FC236}">
              <a16:creationId xmlns:a16="http://schemas.microsoft.com/office/drawing/2014/main" id="{B27B1524-3FC8-4C20-B0BE-6F828489C46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0" name="TextBox 4">
          <a:extLst>
            <a:ext uri="{FF2B5EF4-FFF2-40B4-BE49-F238E27FC236}">
              <a16:creationId xmlns:a16="http://schemas.microsoft.com/office/drawing/2014/main" id="{B45E1B21-A49B-489E-9023-B92EE1DB1CF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1" name="TextBox 7">
          <a:extLst>
            <a:ext uri="{FF2B5EF4-FFF2-40B4-BE49-F238E27FC236}">
              <a16:creationId xmlns:a16="http://schemas.microsoft.com/office/drawing/2014/main" id="{F7ABC316-C4BD-42DB-ACBF-5B5F870185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2" name="TextBox 8">
          <a:extLst>
            <a:ext uri="{FF2B5EF4-FFF2-40B4-BE49-F238E27FC236}">
              <a16:creationId xmlns:a16="http://schemas.microsoft.com/office/drawing/2014/main" id="{C98BE32F-D99C-416C-A704-2712D439C52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3" name="TextBox 4">
          <a:extLst>
            <a:ext uri="{FF2B5EF4-FFF2-40B4-BE49-F238E27FC236}">
              <a16:creationId xmlns:a16="http://schemas.microsoft.com/office/drawing/2014/main" id="{752FE272-88AF-455C-BE54-47DC87106B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4" name="TextBox 7">
          <a:extLst>
            <a:ext uri="{FF2B5EF4-FFF2-40B4-BE49-F238E27FC236}">
              <a16:creationId xmlns:a16="http://schemas.microsoft.com/office/drawing/2014/main" id="{CE5AE114-F31C-4E83-815B-71D4AC6FAF7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5" name="TextBox 8">
          <a:extLst>
            <a:ext uri="{FF2B5EF4-FFF2-40B4-BE49-F238E27FC236}">
              <a16:creationId xmlns:a16="http://schemas.microsoft.com/office/drawing/2014/main" id="{B098DDEE-BAE0-47DB-83FD-D1F19D33E6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6" name="TextBox 4">
          <a:extLst>
            <a:ext uri="{FF2B5EF4-FFF2-40B4-BE49-F238E27FC236}">
              <a16:creationId xmlns:a16="http://schemas.microsoft.com/office/drawing/2014/main" id="{0074DB94-09BE-494F-A468-F4F0DE63031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7" name="TextBox 7">
          <a:extLst>
            <a:ext uri="{FF2B5EF4-FFF2-40B4-BE49-F238E27FC236}">
              <a16:creationId xmlns:a16="http://schemas.microsoft.com/office/drawing/2014/main" id="{9797257B-1E75-427E-A6CF-683D418934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8" name="TextBox 8">
          <a:extLst>
            <a:ext uri="{FF2B5EF4-FFF2-40B4-BE49-F238E27FC236}">
              <a16:creationId xmlns:a16="http://schemas.microsoft.com/office/drawing/2014/main" id="{C68EC798-D451-4C86-96B9-65650A105A0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937DC617-479D-4D53-B248-FA09CECEF81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578B3997-4255-4847-9E0F-FC07834D479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2E405631-6EC4-4B1F-A907-63BCBD77AF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2" name="TextBox 4">
          <a:extLst>
            <a:ext uri="{FF2B5EF4-FFF2-40B4-BE49-F238E27FC236}">
              <a16:creationId xmlns:a16="http://schemas.microsoft.com/office/drawing/2014/main" id="{9C0180C8-933D-48E1-9A54-C6AF480C30D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3" name="TextBox 7">
          <a:extLst>
            <a:ext uri="{FF2B5EF4-FFF2-40B4-BE49-F238E27FC236}">
              <a16:creationId xmlns:a16="http://schemas.microsoft.com/office/drawing/2014/main" id="{F14D8A9C-65A8-4AF6-A503-726AE0F53D7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4" name="TextBox 8">
          <a:extLst>
            <a:ext uri="{FF2B5EF4-FFF2-40B4-BE49-F238E27FC236}">
              <a16:creationId xmlns:a16="http://schemas.microsoft.com/office/drawing/2014/main" id="{6CE6E5D2-5D8C-486A-ACC7-E37B5C58CC5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5" name="TextBox 4">
          <a:extLst>
            <a:ext uri="{FF2B5EF4-FFF2-40B4-BE49-F238E27FC236}">
              <a16:creationId xmlns:a16="http://schemas.microsoft.com/office/drawing/2014/main" id="{C004D4C9-329D-4E97-8B3F-973895C48E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6" name="TextBox 7">
          <a:extLst>
            <a:ext uri="{FF2B5EF4-FFF2-40B4-BE49-F238E27FC236}">
              <a16:creationId xmlns:a16="http://schemas.microsoft.com/office/drawing/2014/main" id="{3DEDDC82-1D6F-4CA4-A16F-6AD61A05848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7" name="TextBox 8">
          <a:extLst>
            <a:ext uri="{FF2B5EF4-FFF2-40B4-BE49-F238E27FC236}">
              <a16:creationId xmlns:a16="http://schemas.microsoft.com/office/drawing/2014/main" id="{2D502A28-338B-4587-A617-58F897D4DA5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8" name="TextBox 4">
          <a:extLst>
            <a:ext uri="{FF2B5EF4-FFF2-40B4-BE49-F238E27FC236}">
              <a16:creationId xmlns:a16="http://schemas.microsoft.com/office/drawing/2014/main" id="{CE957584-56B7-40F3-BCFD-B59DE570E64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9" name="TextBox 7">
          <a:extLst>
            <a:ext uri="{FF2B5EF4-FFF2-40B4-BE49-F238E27FC236}">
              <a16:creationId xmlns:a16="http://schemas.microsoft.com/office/drawing/2014/main" id="{5BD43376-BEF2-4A2B-AA8D-95694D4B4A8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0" name="TextBox 8">
          <a:extLst>
            <a:ext uri="{FF2B5EF4-FFF2-40B4-BE49-F238E27FC236}">
              <a16:creationId xmlns:a16="http://schemas.microsoft.com/office/drawing/2014/main" id="{E5E604AA-FD47-442A-A27E-78F10749CA2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2E921087-64EE-4D1D-9825-5CD903752B2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1C59B64B-B182-427B-8136-3ACEBA15633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D3DE9137-F8B9-412A-9698-7643E3B5C13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4" name="TextBox 4">
          <a:extLst>
            <a:ext uri="{FF2B5EF4-FFF2-40B4-BE49-F238E27FC236}">
              <a16:creationId xmlns:a16="http://schemas.microsoft.com/office/drawing/2014/main" id="{D59E99FB-51AE-4D54-A997-5B6C8EAD75E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5" name="TextBox 7">
          <a:extLst>
            <a:ext uri="{FF2B5EF4-FFF2-40B4-BE49-F238E27FC236}">
              <a16:creationId xmlns:a16="http://schemas.microsoft.com/office/drawing/2014/main" id="{45E87B66-48B5-4659-94AF-B7B42B37547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6" name="TextBox 8">
          <a:extLst>
            <a:ext uri="{FF2B5EF4-FFF2-40B4-BE49-F238E27FC236}">
              <a16:creationId xmlns:a16="http://schemas.microsoft.com/office/drawing/2014/main" id="{5DF6A619-1EDC-47FB-A5BD-528B1B99C8F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7" name="TextBox 4">
          <a:extLst>
            <a:ext uri="{FF2B5EF4-FFF2-40B4-BE49-F238E27FC236}">
              <a16:creationId xmlns:a16="http://schemas.microsoft.com/office/drawing/2014/main" id="{BEB8F9E9-CA24-446E-A23A-5D9D74BF6C22}"/>
            </a:ext>
            <a:ext uri="{147F2762-F138-4A5C-976F-8EAC2B608ADB}">
              <a16:predDERef xmlns:a16="http://schemas.microsoft.com/office/drawing/2014/main" pred="{B8A3880D-5BC8-4EEF-9EFB-0C6838120D2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8" name="TextBox 7">
          <a:extLst>
            <a:ext uri="{FF2B5EF4-FFF2-40B4-BE49-F238E27FC236}">
              <a16:creationId xmlns:a16="http://schemas.microsoft.com/office/drawing/2014/main" id="{898B1984-A8A7-4465-91AC-7920DEAB8E1F}"/>
            </a:ext>
            <a:ext uri="{147F2762-F138-4A5C-976F-8EAC2B608ADB}">
              <a16:predDERef xmlns:a16="http://schemas.microsoft.com/office/drawing/2014/main" pred="{17285612-0D98-4389-92E6-9D68B13325C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9" name="TextBox 8">
          <a:extLst>
            <a:ext uri="{FF2B5EF4-FFF2-40B4-BE49-F238E27FC236}">
              <a16:creationId xmlns:a16="http://schemas.microsoft.com/office/drawing/2014/main" id="{C790353C-F839-490E-B754-D8EFC86F758B}"/>
            </a:ext>
            <a:ext uri="{147F2762-F138-4A5C-976F-8EAC2B608ADB}">
              <a16:predDERef xmlns:a16="http://schemas.microsoft.com/office/drawing/2014/main" pred="{99A87C9D-D133-41BA-97C9-7C491C88E29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0" name="TextBox 4">
          <a:extLst>
            <a:ext uri="{FF2B5EF4-FFF2-40B4-BE49-F238E27FC236}">
              <a16:creationId xmlns:a16="http://schemas.microsoft.com/office/drawing/2014/main" id="{2B4F10AC-6F71-4805-A02E-F92EE2208517}"/>
            </a:ext>
            <a:ext uri="{147F2762-F138-4A5C-976F-8EAC2B608ADB}">
              <a16:predDERef xmlns:a16="http://schemas.microsoft.com/office/drawing/2014/main" pred="{B6DF5992-D63F-4052-A6BD-8FD27E98654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1" name="TextBox 7">
          <a:extLst>
            <a:ext uri="{FF2B5EF4-FFF2-40B4-BE49-F238E27FC236}">
              <a16:creationId xmlns:a16="http://schemas.microsoft.com/office/drawing/2014/main" id="{4A490C0E-7A00-47DD-BB3D-4A88EB02C142}"/>
            </a:ext>
            <a:ext uri="{147F2762-F138-4A5C-976F-8EAC2B608ADB}">
              <a16:predDERef xmlns:a16="http://schemas.microsoft.com/office/drawing/2014/main" pred="{5E79FBD3-C415-4D0E-A6AF-5E1B157F6C6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2" name="TextBox 8">
          <a:extLst>
            <a:ext uri="{FF2B5EF4-FFF2-40B4-BE49-F238E27FC236}">
              <a16:creationId xmlns:a16="http://schemas.microsoft.com/office/drawing/2014/main" id="{F2C27B8E-1E91-447F-AF6F-DDD6C31F1887}"/>
            </a:ext>
            <a:ext uri="{147F2762-F138-4A5C-976F-8EAC2B608ADB}">
              <a16:predDERef xmlns:a16="http://schemas.microsoft.com/office/drawing/2014/main" pred="{8C368587-1122-4F17-B56A-8914260491F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3" name="TextBox 4">
          <a:extLst>
            <a:ext uri="{FF2B5EF4-FFF2-40B4-BE49-F238E27FC236}">
              <a16:creationId xmlns:a16="http://schemas.microsoft.com/office/drawing/2014/main" id="{14A07C19-4421-4222-9E36-3AACE63D64E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4" name="TextBox 7">
          <a:extLst>
            <a:ext uri="{FF2B5EF4-FFF2-40B4-BE49-F238E27FC236}">
              <a16:creationId xmlns:a16="http://schemas.microsoft.com/office/drawing/2014/main" id="{D056F3F0-0A11-49DE-8892-52AE39288BD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5" name="TextBox 8">
          <a:extLst>
            <a:ext uri="{FF2B5EF4-FFF2-40B4-BE49-F238E27FC236}">
              <a16:creationId xmlns:a16="http://schemas.microsoft.com/office/drawing/2014/main" id="{32ED9955-EA0F-44A7-85BE-9AEDC4707A9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6" name="TextBox 4">
          <a:extLst>
            <a:ext uri="{FF2B5EF4-FFF2-40B4-BE49-F238E27FC236}">
              <a16:creationId xmlns:a16="http://schemas.microsoft.com/office/drawing/2014/main" id="{75E89FBB-0AD6-4D5C-9D2E-102019C66EB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7" name="TextBox 7">
          <a:extLst>
            <a:ext uri="{FF2B5EF4-FFF2-40B4-BE49-F238E27FC236}">
              <a16:creationId xmlns:a16="http://schemas.microsoft.com/office/drawing/2014/main" id="{3FF8AD5C-0E0D-4186-A9B0-3B95F832AA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8" name="TextBox 8">
          <a:extLst>
            <a:ext uri="{FF2B5EF4-FFF2-40B4-BE49-F238E27FC236}">
              <a16:creationId xmlns:a16="http://schemas.microsoft.com/office/drawing/2014/main" id="{9D18ED32-9C58-45AA-AF0E-A36DA91723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9" name="TextBox 4">
          <a:extLst>
            <a:ext uri="{FF2B5EF4-FFF2-40B4-BE49-F238E27FC236}">
              <a16:creationId xmlns:a16="http://schemas.microsoft.com/office/drawing/2014/main" id="{629D4469-D8AB-4B5F-9BCA-D1D749DE21E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0" name="TextBox 7">
          <a:extLst>
            <a:ext uri="{FF2B5EF4-FFF2-40B4-BE49-F238E27FC236}">
              <a16:creationId xmlns:a16="http://schemas.microsoft.com/office/drawing/2014/main" id="{DA4176AE-DA51-4A6A-9426-98D6467EF2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1" name="TextBox 8">
          <a:extLst>
            <a:ext uri="{FF2B5EF4-FFF2-40B4-BE49-F238E27FC236}">
              <a16:creationId xmlns:a16="http://schemas.microsoft.com/office/drawing/2014/main" id="{060189FE-756F-4EE2-99CC-F9230871FBF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5CFBE426-8A72-454A-8F0C-9D8064B452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3" name="TextBox 7">
          <a:extLst>
            <a:ext uri="{FF2B5EF4-FFF2-40B4-BE49-F238E27FC236}">
              <a16:creationId xmlns:a16="http://schemas.microsoft.com/office/drawing/2014/main" id="{8017E8EC-F9EC-4069-BABF-90CB46C5EC8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4" name="TextBox 8">
          <a:extLst>
            <a:ext uri="{FF2B5EF4-FFF2-40B4-BE49-F238E27FC236}">
              <a16:creationId xmlns:a16="http://schemas.microsoft.com/office/drawing/2014/main" id="{A7B587D7-C5DD-41C8-9268-94C5AC6B02C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5" name="TextBox 4">
          <a:extLst>
            <a:ext uri="{FF2B5EF4-FFF2-40B4-BE49-F238E27FC236}">
              <a16:creationId xmlns:a16="http://schemas.microsoft.com/office/drawing/2014/main" id="{9E09AC91-7CD5-4A30-9B6D-0C4BEAE8DF0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6" name="TextBox 7">
          <a:extLst>
            <a:ext uri="{FF2B5EF4-FFF2-40B4-BE49-F238E27FC236}">
              <a16:creationId xmlns:a16="http://schemas.microsoft.com/office/drawing/2014/main" id="{348C45DB-B357-4E23-880A-1D97BBBB0EA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7" name="TextBox 8">
          <a:extLst>
            <a:ext uri="{FF2B5EF4-FFF2-40B4-BE49-F238E27FC236}">
              <a16:creationId xmlns:a16="http://schemas.microsoft.com/office/drawing/2014/main" id="{A8BEC170-1A24-489D-A460-47849978587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8" name="TextBox 4">
          <a:extLst>
            <a:ext uri="{FF2B5EF4-FFF2-40B4-BE49-F238E27FC236}">
              <a16:creationId xmlns:a16="http://schemas.microsoft.com/office/drawing/2014/main" id="{CF5D7E21-996F-473C-930F-C145F4F1B8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9" name="TextBox 7">
          <a:extLst>
            <a:ext uri="{FF2B5EF4-FFF2-40B4-BE49-F238E27FC236}">
              <a16:creationId xmlns:a16="http://schemas.microsoft.com/office/drawing/2014/main" id="{7696215D-DE11-44F2-8E4F-276C4E5C54C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0" name="TextBox 8">
          <a:extLst>
            <a:ext uri="{FF2B5EF4-FFF2-40B4-BE49-F238E27FC236}">
              <a16:creationId xmlns:a16="http://schemas.microsoft.com/office/drawing/2014/main" id="{14DBBE50-3026-495A-94FC-BA78F5E9311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1" name="TextBox 4">
          <a:extLst>
            <a:ext uri="{FF2B5EF4-FFF2-40B4-BE49-F238E27FC236}">
              <a16:creationId xmlns:a16="http://schemas.microsoft.com/office/drawing/2014/main" id="{59B5CCD3-18A3-4A16-87F3-D2015552050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2" name="TextBox 7">
          <a:extLst>
            <a:ext uri="{FF2B5EF4-FFF2-40B4-BE49-F238E27FC236}">
              <a16:creationId xmlns:a16="http://schemas.microsoft.com/office/drawing/2014/main" id="{6A665A8F-0D37-4875-B92A-E8D798808E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3" name="TextBox 8">
          <a:extLst>
            <a:ext uri="{FF2B5EF4-FFF2-40B4-BE49-F238E27FC236}">
              <a16:creationId xmlns:a16="http://schemas.microsoft.com/office/drawing/2014/main" id="{2946212C-8CDE-468D-8EBD-E3AD6A20497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1ABC3FE0-3701-4E73-9961-254630C5121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6464FCE2-9ADF-493F-9625-F271B1FF7B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16E3241B-BBAE-4D91-AE10-01B809FD6A4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7" name="TextBox 4">
          <a:extLst>
            <a:ext uri="{FF2B5EF4-FFF2-40B4-BE49-F238E27FC236}">
              <a16:creationId xmlns:a16="http://schemas.microsoft.com/office/drawing/2014/main" id="{66C52E2C-3C7D-4843-8F6E-A99EA5AD540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8" name="TextBox 7">
          <a:extLst>
            <a:ext uri="{FF2B5EF4-FFF2-40B4-BE49-F238E27FC236}">
              <a16:creationId xmlns:a16="http://schemas.microsoft.com/office/drawing/2014/main" id="{9F57D48E-C6DD-4A4E-AB12-4F98550ABE7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9" name="TextBox 8">
          <a:extLst>
            <a:ext uri="{FF2B5EF4-FFF2-40B4-BE49-F238E27FC236}">
              <a16:creationId xmlns:a16="http://schemas.microsoft.com/office/drawing/2014/main" id="{FEB28EC6-FED9-4DB0-9B24-1858054B73A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0" name="TextBox 4">
          <a:extLst>
            <a:ext uri="{FF2B5EF4-FFF2-40B4-BE49-F238E27FC236}">
              <a16:creationId xmlns:a16="http://schemas.microsoft.com/office/drawing/2014/main" id="{2692FA27-36D3-42E6-9CDE-93E365FAC1F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1" name="TextBox 7">
          <a:extLst>
            <a:ext uri="{FF2B5EF4-FFF2-40B4-BE49-F238E27FC236}">
              <a16:creationId xmlns:a16="http://schemas.microsoft.com/office/drawing/2014/main" id="{0CB0ADB1-38BA-4DF1-A8A8-78E91FEDC3A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2" name="TextBox 8">
          <a:extLst>
            <a:ext uri="{FF2B5EF4-FFF2-40B4-BE49-F238E27FC236}">
              <a16:creationId xmlns:a16="http://schemas.microsoft.com/office/drawing/2014/main" id="{7FD6981F-3FFB-4683-A44D-482DB8FBD6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3" name="TextBox 4">
          <a:extLst>
            <a:ext uri="{FF2B5EF4-FFF2-40B4-BE49-F238E27FC236}">
              <a16:creationId xmlns:a16="http://schemas.microsoft.com/office/drawing/2014/main" id="{F067FF12-DE96-4AFB-B2B0-13E15A2E79F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4" name="TextBox 7">
          <a:extLst>
            <a:ext uri="{FF2B5EF4-FFF2-40B4-BE49-F238E27FC236}">
              <a16:creationId xmlns:a16="http://schemas.microsoft.com/office/drawing/2014/main" id="{4CEF191F-F733-47F2-B66F-DA2C785111E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5" name="TextBox 8">
          <a:extLst>
            <a:ext uri="{FF2B5EF4-FFF2-40B4-BE49-F238E27FC236}">
              <a16:creationId xmlns:a16="http://schemas.microsoft.com/office/drawing/2014/main" id="{C7FC1CB9-65D3-4A89-AB9C-FA741DA71D1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8E641FB2-E56F-4EE7-964F-398258883B7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C1EFD227-833D-414F-A213-1069FB59E6A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D3CFCCF2-A5E0-4EB8-A817-2A229C2E9A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9" name="TextBox 4">
          <a:extLst>
            <a:ext uri="{FF2B5EF4-FFF2-40B4-BE49-F238E27FC236}">
              <a16:creationId xmlns:a16="http://schemas.microsoft.com/office/drawing/2014/main" id="{4107EA17-4271-49C5-8CC3-DA5BFA1FF5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0" name="TextBox 7">
          <a:extLst>
            <a:ext uri="{FF2B5EF4-FFF2-40B4-BE49-F238E27FC236}">
              <a16:creationId xmlns:a16="http://schemas.microsoft.com/office/drawing/2014/main" id="{E7655D25-29DE-4140-A191-6BD6A5085B1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1" name="TextBox 8">
          <a:extLst>
            <a:ext uri="{FF2B5EF4-FFF2-40B4-BE49-F238E27FC236}">
              <a16:creationId xmlns:a16="http://schemas.microsoft.com/office/drawing/2014/main" id="{C693F175-D7C4-4F8E-A15F-13CF3B474A8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2" name="TextBox 4">
          <a:extLst>
            <a:ext uri="{FF2B5EF4-FFF2-40B4-BE49-F238E27FC236}">
              <a16:creationId xmlns:a16="http://schemas.microsoft.com/office/drawing/2014/main" id="{74D40031-FD2D-4957-82AA-E2ACF7129657}"/>
            </a:ext>
            <a:ext uri="{147F2762-F138-4A5C-976F-8EAC2B608ADB}">
              <a16:predDERef xmlns:a16="http://schemas.microsoft.com/office/drawing/2014/main" pred="{26D8A035-1F7F-46E3-AFE6-96813BB6DB6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3" name="TextBox 7">
          <a:extLst>
            <a:ext uri="{FF2B5EF4-FFF2-40B4-BE49-F238E27FC236}">
              <a16:creationId xmlns:a16="http://schemas.microsoft.com/office/drawing/2014/main" id="{B62AC527-7E44-443B-B494-942C1AE31DF3}"/>
            </a:ext>
            <a:ext uri="{147F2762-F138-4A5C-976F-8EAC2B608ADB}">
              <a16:predDERef xmlns:a16="http://schemas.microsoft.com/office/drawing/2014/main" pred="{9D01B51E-E3EE-40CA-9DCF-19FCAE66761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4" name="TextBox 8">
          <a:extLst>
            <a:ext uri="{FF2B5EF4-FFF2-40B4-BE49-F238E27FC236}">
              <a16:creationId xmlns:a16="http://schemas.microsoft.com/office/drawing/2014/main" id="{A03CFF82-83E6-4E71-9636-3A95A1EA8453}"/>
            </a:ext>
            <a:ext uri="{147F2762-F138-4A5C-976F-8EAC2B608ADB}">
              <a16:predDERef xmlns:a16="http://schemas.microsoft.com/office/drawing/2014/main" pred="{43DCE1B5-1635-4006-B473-CD4CA713535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5" name="TextBox 4">
          <a:extLst>
            <a:ext uri="{FF2B5EF4-FFF2-40B4-BE49-F238E27FC236}">
              <a16:creationId xmlns:a16="http://schemas.microsoft.com/office/drawing/2014/main" id="{5C21E51B-9EC2-4A95-9695-4272A0CFF67C}"/>
            </a:ext>
            <a:ext uri="{147F2762-F138-4A5C-976F-8EAC2B608ADB}">
              <a16:predDERef xmlns:a16="http://schemas.microsoft.com/office/drawing/2014/main" pred="{60EB5263-9008-44AF-8640-24B244340B8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6" name="TextBox 7">
          <a:extLst>
            <a:ext uri="{FF2B5EF4-FFF2-40B4-BE49-F238E27FC236}">
              <a16:creationId xmlns:a16="http://schemas.microsoft.com/office/drawing/2014/main" id="{A232F36B-2B8C-47BB-A118-2DA3BBAFD1FD}"/>
            </a:ext>
            <a:ext uri="{147F2762-F138-4A5C-976F-8EAC2B608ADB}">
              <a16:predDERef xmlns:a16="http://schemas.microsoft.com/office/drawing/2014/main" pred="{86ADC7D7-D675-41A5-A18F-81E9DE643A5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7" name="TextBox 8">
          <a:extLst>
            <a:ext uri="{FF2B5EF4-FFF2-40B4-BE49-F238E27FC236}">
              <a16:creationId xmlns:a16="http://schemas.microsoft.com/office/drawing/2014/main" id="{1C900612-20F7-4BB6-BD30-A18CBB49815D}"/>
            </a:ext>
            <a:ext uri="{147F2762-F138-4A5C-976F-8EAC2B608ADB}">
              <a16:predDERef xmlns:a16="http://schemas.microsoft.com/office/drawing/2014/main" pred="{48AD7D56-62A3-41AA-B7B8-10361A18E65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8" name="TextBox 4">
          <a:extLst>
            <a:ext uri="{FF2B5EF4-FFF2-40B4-BE49-F238E27FC236}">
              <a16:creationId xmlns:a16="http://schemas.microsoft.com/office/drawing/2014/main" id="{BD4423B8-7570-4F5D-A7A7-191B0E81553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9" name="TextBox 7">
          <a:extLst>
            <a:ext uri="{FF2B5EF4-FFF2-40B4-BE49-F238E27FC236}">
              <a16:creationId xmlns:a16="http://schemas.microsoft.com/office/drawing/2014/main" id="{52DA727F-2F83-46F0-B040-F2D8CBFA5EF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0" name="TextBox 8">
          <a:extLst>
            <a:ext uri="{FF2B5EF4-FFF2-40B4-BE49-F238E27FC236}">
              <a16:creationId xmlns:a16="http://schemas.microsoft.com/office/drawing/2014/main" id="{37727F5D-0176-447F-938C-96325890A3F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1" name="TextBox 4">
          <a:extLst>
            <a:ext uri="{FF2B5EF4-FFF2-40B4-BE49-F238E27FC236}">
              <a16:creationId xmlns:a16="http://schemas.microsoft.com/office/drawing/2014/main" id="{590B5ECA-4ADC-4710-869B-CC49FDE99DF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2" name="TextBox 7">
          <a:extLst>
            <a:ext uri="{FF2B5EF4-FFF2-40B4-BE49-F238E27FC236}">
              <a16:creationId xmlns:a16="http://schemas.microsoft.com/office/drawing/2014/main" id="{96A308F4-29E8-4774-ADE5-8EF749BEA9C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3" name="TextBox 8">
          <a:extLst>
            <a:ext uri="{FF2B5EF4-FFF2-40B4-BE49-F238E27FC236}">
              <a16:creationId xmlns:a16="http://schemas.microsoft.com/office/drawing/2014/main" id="{AA2DB50F-D1B6-43EF-97B3-1BBF8948867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4" name="TextBox 4">
          <a:extLst>
            <a:ext uri="{FF2B5EF4-FFF2-40B4-BE49-F238E27FC236}">
              <a16:creationId xmlns:a16="http://schemas.microsoft.com/office/drawing/2014/main" id="{C6E14646-9F94-4F0F-95CB-58EC440B71B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5" name="TextBox 7">
          <a:extLst>
            <a:ext uri="{FF2B5EF4-FFF2-40B4-BE49-F238E27FC236}">
              <a16:creationId xmlns:a16="http://schemas.microsoft.com/office/drawing/2014/main" id="{E398FFF0-D5DB-44E1-9F47-104D53A3C3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6" name="TextBox 8">
          <a:extLst>
            <a:ext uri="{FF2B5EF4-FFF2-40B4-BE49-F238E27FC236}">
              <a16:creationId xmlns:a16="http://schemas.microsoft.com/office/drawing/2014/main" id="{315AC6E5-CD71-46C8-925B-8C6683E2B72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A56BC268-333F-401E-B587-1353761107B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8" name="TextBox 7">
          <a:extLst>
            <a:ext uri="{FF2B5EF4-FFF2-40B4-BE49-F238E27FC236}">
              <a16:creationId xmlns:a16="http://schemas.microsoft.com/office/drawing/2014/main" id="{AFE2F2CD-9855-4397-8EED-2AB456ACD4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9" name="TextBox 8">
          <a:extLst>
            <a:ext uri="{FF2B5EF4-FFF2-40B4-BE49-F238E27FC236}">
              <a16:creationId xmlns:a16="http://schemas.microsoft.com/office/drawing/2014/main" id="{3F270B88-775C-43E5-A5E2-687D8C04971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0" name="TextBox 4">
          <a:extLst>
            <a:ext uri="{FF2B5EF4-FFF2-40B4-BE49-F238E27FC236}">
              <a16:creationId xmlns:a16="http://schemas.microsoft.com/office/drawing/2014/main" id="{A47C2CB1-7ABC-4F4C-8E9A-4C6DE7E53D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1" name="TextBox 7">
          <a:extLst>
            <a:ext uri="{FF2B5EF4-FFF2-40B4-BE49-F238E27FC236}">
              <a16:creationId xmlns:a16="http://schemas.microsoft.com/office/drawing/2014/main" id="{99CDDCD7-4B59-4464-BAB7-EE08DBFE45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2" name="TextBox 8">
          <a:extLst>
            <a:ext uri="{FF2B5EF4-FFF2-40B4-BE49-F238E27FC236}">
              <a16:creationId xmlns:a16="http://schemas.microsoft.com/office/drawing/2014/main" id="{A364DD05-4AC3-4716-B7BA-AC2CB2335ED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3" name="TextBox 4">
          <a:extLst>
            <a:ext uri="{FF2B5EF4-FFF2-40B4-BE49-F238E27FC236}">
              <a16:creationId xmlns:a16="http://schemas.microsoft.com/office/drawing/2014/main" id="{BD94E17D-374A-440C-A6EF-53D5536FB5C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4" name="TextBox 7">
          <a:extLst>
            <a:ext uri="{FF2B5EF4-FFF2-40B4-BE49-F238E27FC236}">
              <a16:creationId xmlns:a16="http://schemas.microsoft.com/office/drawing/2014/main" id="{0B9E6E5C-D7D4-4952-8C63-D5DA3620F1A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5" name="TextBox 8">
          <a:extLst>
            <a:ext uri="{FF2B5EF4-FFF2-40B4-BE49-F238E27FC236}">
              <a16:creationId xmlns:a16="http://schemas.microsoft.com/office/drawing/2014/main" id="{17B69135-D04C-4649-9F89-241420C9A71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6" name="TextBox 4">
          <a:extLst>
            <a:ext uri="{FF2B5EF4-FFF2-40B4-BE49-F238E27FC236}">
              <a16:creationId xmlns:a16="http://schemas.microsoft.com/office/drawing/2014/main" id="{D1D42A51-6D10-4323-9A22-DFC700FC008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7" name="TextBox 7">
          <a:extLst>
            <a:ext uri="{FF2B5EF4-FFF2-40B4-BE49-F238E27FC236}">
              <a16:creationId xmlns:a16="http://schemas.microsoft.com/office/drawing/2014/main" id="{BB04BC75-9237-4074-93CF-B579687CEE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8" name="TextBox 8">
          <a:extLst>
            <a:ext uri="{FF2B5EF4-FFF2-40B4-BE49-F238E27FC236}">
              <a16:creationId xmlns:a16="http://schemas.microsoft.com/office/drawing/2014/main" id="{606DE420-DECB-48C5-B689-6FE7D7D6072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2C1BC0E3-22EC-4CD9-9DC6-F83AFB50E02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A2E1D77E-F4AF-4784-9F53-1A7A4BA676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FDA64BE1-7335-4039-8CD1-3B2BB561A6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2" name="TextBox 4">
          <a:extLst>
            <a:ext uri="{FF2B5EF4-FFF2-40B4-BE49-F238E27FC236}">
              <a16:creationId xmlns:a16="http://schemas.microsoft.com/office/drawing/2014/main" id="{A2325651-60D9-4B2F-AD67-B8C5B70A85F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3" name="TextBox 7">
          <a:extLst>
            <a:ext uri="{FF2B5EF4-FFF2-40B4-BE49-F238E27FC236}">
              <a16:creationId xmlns:a16="http://schemas.microsoft.com/office/drawing/2014/main" id="{E5A65FD0-31B6-437C-803B-E9977941EF5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4" name="TextBox 8">
          <a:extLst>
            <a:ext uri="{FF2B5EF4-FFF2-40B4-BE49-F238E27FC236}">
              <a16:creationId xmlns:a16="http://schemas.microsoft.com/office/drawing/2014/main" id="{54D8A5BB-D4CE-48B6-A3B3-3BAF2ACAC41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5" name="TextBox 4">
          <a:extLst>
            <a:ext uri="{FF2B5EF4-FFF2-40B4-BE49-F238E27FC236}">
              <a16:creationId xmlns:a16="http://schemas.microsoft.com/office/drawing/2014/main" id="{3F3D19EA-A58D-4229-BAB3-ACC57661133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6" name="TextBox 7">
          <a:extLst>
            <a:ext uri="{FF2B5EF4-FFF2-40B4-BE49-F238E27FC236}">
              <a16:creationId xmlns:a16="http://schemas.microsoft.com/office/drawing/2014/main" id="{B9E2F00B-99D2-4169-BBE9-1F3AF5477D2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7" name="TextBox 8">
          <a:extLst>
            <a:ext uri="{FF2B5EF4-FFF2-40B4-BE49-F238E27FC236}">
              <a16:creationId xmlns:a16="http://schemas.microsoft.com/office/drawing/2014/main" id="{2F19ED50-C651-48D0-8E21-72F01D41D9D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8" name="TextBox 4">
          <a:extLst>
            <a:ext uri="{FF2B5EF4-FFF2-40B4-BE49-F238E27FC236}">
              <a16:creationId xmlns:a16="http://schemas.microsoft.com/office/drawing/2014/main" id="{CF26A140-5EC4-4AE1-AFFC-B06A294D7EB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9" name="TextBox 7">
          <a:extLst>
            <a:ext uri="{FF2B5EF4-FFF2-40B4-BE49-F238E27FC236}">
              <a16:creationId xmlns:a16="http://schemas.microsoft.com/office/drawing/2014/main" id="{82C49219-A98B-42F1-97E0-EAC32E4FB32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0" name="TextBox 8">
          <a:extLst>
            <a:ext uri="{FF2B5EF4-FFF2-40B4-BE49-F238E27FC236}">
              <a16:creationId xmlns:a16="http://schemas.microsoft.com/office/drawing/2014/main" id="{21CA4F18-09FA-4E66-9253-E3164D3731F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C4B8E981-5F00-4C95-A0E8-91EF5C9DBAD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A06BFA55-DCA8-4CB2-98B9-94DF5E271D8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AA8459A7-4272-42BF-950B-33B11697A8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4" name="TextBox 4">
          <a:extLst>
            <a:ext uri="{FF2B5EF4-FFF2-40B4-BE49-F238E27FC236}">
              <a16:creationId xmlns:a16="http://schemas.microsoft.com/office/drawing/2014/main" id="{2BD14AC1-56F6-4B82-BEAB-820CAECAD1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5" name="TextBox 7">
          <a:extLst>
            <a:ext uri="{FF2B5EF4-FFF2-40B4-BE49-F238E27FC236}">
              <a16:creationId xmlns:a16="http://schemas.microsoft.com/office/drawing/2014/main" id="{1C8DD050-5ECC-4200-BEDE-B7D97395ED7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6" name="TextBox 8">
          <a:extLst>
            <a:ext uri="{FF2B5EF4-FFF2-40B4-BE49-F238E27FC236}">
              <a16:creationId xmlns:a16="http://schemas.microsoft.com/office/drawing/2014/main" id="{F6183A78-2C18-40B4-9536-7AFAFB9CAB0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7" name="TextBox 4">
          <a:extLst>
            <a:ext uri="{FF2B5EF4-FFF2-40B4-BE49-F238E27FC236}">
              <a16:creationId xmlns:a16="http://schemas.microsoft.com/office/drawing/2014/main" id="{F523489E-F504-4539-962B-8DED67C4183F}"/>
            </a:ext>
            <a:ext uri="{147F2762-F138-4A5C-976F-8EAC2B608ADB}">
              <a16:predDERef xmlns:a16="http://schemas.microsoft.com/office/drawing/2014/main" pred="{B8A3880D-5BC8-4EEF-9EFB-0C6838120D2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8" name="TextBox 7">
          <a:extLst>
            <a:ext uri="{FF2B5EF4-FFF2-40B4-BE49-F238E27FC236}">
              <a16:creationId xmlns:a16="http://schemas.microsoft.com/office/drawing/2014/main" id="{C0A190B3-AD7A-4C8F-A51C-986AE57C4BB6}"/>
            </a:ext>
            <a:ext uri="{147F2762-F138-4A5C-976F-8EAC2B608ADB}">
              <a16:predDERef xmlns:a16="http://schemas.microsoft.com/office/drawing/2014/main" pred="{17285612-0D98-4389-92E6-9D68B13325C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9" name="TextBox 8">
          <a:extLst>
            <a:ext uri="{FF2B5EF4-FFF2-40B4-BE49-F238E27FC236}">
              <a16:creationId xmlns:a16="http://schemas.microsoft.com/office/drawing/2014/main" id="{4B58E06C-4BB6-4BA4-B85C-FA2991DF60B5}"/>
            </a:ext>
            <a:ext uri="{147F2762-F138-4A5C-976F-8EAC2B608ADB}">
              <a16:predDERef xmlns:a16="http://schemas.microsoft.com/office/drawing/2014/main" pred="{99A87C9D-D133-41BA-97C9-7C491C88E29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0" name="TextBox 4">
          <a:extLst>
            <a:ext uri="{FF2B5EF4-FFF2-40B4-BE49-F238E27FC236}">
              <a16:creationId xmlns:a16="http://schemas.microsoft.com/office/drawing/2014/main" id="{B561247A-F202-43FE-9324-8FEB79FDD93D}"/>
            </a:ext>
            <a:ext uri="{147F2762-F138-4A5C-976F-8EAC2B608ADB}">
              <a16:predDERef xmlns:a16="http://schemas.microsoft.com/office/drawing/2014/main" pred="{B6DF5992-D63F-4052-A6BD-8FD27E98654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1" name="TextBox 7">
          <a:extLst>
            <a:ext uri="{FF2B5EF4-FFF2-40B4-BE49-F238E27FC236}">
              <a16:creationId xmlns:a16="http://schemas.microsoft.com/office/drawing/2014/main" id="{6246B62C-3C49-414E-AFF2-0D63F19BD44F}"/>
            </a:ext>
            <a:ext uri="{147F2762-F138-4A5C-976F-8EAC2B608ADB}">
              <a16:predDERef xmlns:a16="http://schemas.microsoft.com/office/drawing/2014/main" pred="{5E79FBD3-C415-4D0E-A6AF-5E1B157F6C6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2" name="TextBox 8">
          <a:extLst>
            <a:ext uri="{FF2B5EF4-FFF2-40B4-BE49-F238E27FC236}">
              <a16:creationId xmlns:a16="http://schemas.microsoft.com/office/drawing/2014/main" id="{9B50A5D3-2843-4BAC-8194-422595D3FFF9}"/>
            </a:ext>
            <a:ext uri="{147F2762-F138-4A5C-976F-8EAC2B608ADB}">
              <a16:predDERef xmlns:a16="http://schemas.microsoft.com/office/drawing/2014/main" pred="{8C368587-1122-4F17-B56A-8914260491F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3" name="TextBox 4">
          <a:extLst>
            <a:ext uri="{FF2B5EF4-FFF2-40B4-BE49-F238E27FC236}">
              <a16:creationId xmlns:a16="http://schemas.microsoft.com/office/drawing/2014/main" id="{9AEEDFFB-E49D-41BF-810F-2D3300F34D2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4" name="TextBox 7">
          <a:extLst>
            <a:ext uri="{FF2B5EF4-FFF2-40B4-BE49-F238E27FC236}">
              <a16:creationId xmlns:a16="http://schemas.microsoft.com/office/drawing/2014/main" id="{896B7B42-AAB1-4DBB-94C5-0A98834675A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5" name="TextBox 8">
          <a:extLst>
            <a:ext uri="{FF2B5EF4-FFF2-40B4-BE49-F238E27FC236}">
              <a16:creationId xmlns:a16="http://schemas.microsoft.com/office/drawing/2014/main" id="{8991A0C4-DE45-472B-B015-4CE8C313D48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6" name="TextBox 4">
          <a:extLst>
            <a:ext uri="{FF2B5EF4-FFF2-40B4-BE49-F238E27FC236}">
              <a16:creationId xmlns:a16="http://schemas.microsoft.com/office/drawing/2014/main" id="{C9355182-AC21-4B62-A262-A21BDFE18BC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7" name="TextBox 7">
          <a:extLst>
            <a:ext uri="{FF2B5EF4-FFF2-40B4-BE49-F238E27FC236}">
              <a16:creationId xmlns:a16="http://schemas.microsoft.com/office/drawing/2014/main" id="{305A4D6A-796E-4F6E-B2DF-5C93A94746A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8" name="TextBox 8">
          <a:extLst>
            <a:ext uri="{FF2B5EF4-FFF2-40B4-BE49-F238E27FC236}">
              <a16:creationId xmlns:a16="http://schemas.microsoft.com/office/drawing/2014/main" id="{B659DEA0-A8AE-456F-A1AF-2BCCEBC189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9" name="TextBox 4">
          <a:extLst>
            <a:ext uri="{FF2B5EF4-FFF2-40B4-BE49-F238E27FC236}">
              <a16:creationId xmlns:a16="http://schemas.microsoft.com/office/drawing/2014/main" id="{DA1432A1-FF5D-4F09-B3B4-8DC6F9028C0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0" name="TextBox 7">
          <a:extLst>
            <a:ext uri="{FF2B5EF4-FFF2-40B4-BE49-F238E27FC236}">
              <a16:creationId xmlns:a16="http://schemas.microsoft.com/office/drawing/2014/main" id="{E6C8C2A2-7EEE-4B44-9F5F-564101CA9D6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1" name="TextBox 8">
          <a:extLst>
            <a:ext uri="{FF2B5EF4-FFF2-40B4-BE49-F238E27FC236}">
              <a16:creationId xmlns:a16="http://schemas.microsoft.com/office/drawing/2014/main" id="{5C0D091D-0C17-4DA6-A79F-0E712CA75E6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B2047995-D755-4770-B69D-290C169A9FD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3" name="TextBox 7">
          <a:extLst>
            <a:ext uri="{FF2B5EF4-FFF2-40B4-BE49-F238E27FC236}">
              <a16:creationId xmlns:a16="http://schemas.microsoft.com/office/drawing/2014/main" id="{4FCB7E8F-0B9A-41CA-9AA6-F28E7B98B0B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4" name="TextBox 8">
          <a:extLst>
            <a:ext uri="{FF2B5EF4-FFF2-40B4-BE49-F238E27FC236}">
              <a16:creationId xmlns:a16="http://schemas.microsoft.com/office/drawing/2014/main" id="{2DA95733-AA1B-46E7-9FAD-EAED282B4AC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5" name="TextBox 4">
          <a:extLst>
            <a:ext uri="{FF2B5EF4-FFF2-40B4-BE49-F238E27FC236}">
              <a16:creationId xmlns:a16="http://schemas.microsoft.com/office/drawing/2014/main" id="{1CDCEE03-77D5-4C4D-AE06-9168F36DB0F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6" name="TextBox 7">
          <a:extLst>
            <a:ext uri="{FF2B5EF4-FFF2-40B4-BE49-F238E27FC236}">
              <a16:creationId xmlns:a16="http://schemas.microsoft.com/office/drawing/2014/main" id="{7F546401-2081-4B67-AE58-62D8F619448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7" name="TextBox 8">
          <a:extLst>
            <a:ext uri="{FF2B5EF4-FFF2-40B4-BE49-F238E27FC236}">
              <a16:creationId xmlns:a16="http://schemas.microsoft.com/office/drawing/2014/main" id="{3CED53F2-D0F8-4AF5-BD6A-281086695AF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8" name="TextBox 4">
          <a:extLst>
            <a:ext uri="{FF2B5EF4-FFF2-40B4-BE49-F238E27FC236}">
              <a16:creationId xmlns:a16="http://schemas.microsoft.com/office/drawing/2014/main" id="{25000404-E14B-4C5A-AFA1-47C1E04DEBE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9" name="TextBox 7">
          <a:extLst>
            <a:ext uri="{FF2B5EF4-FFF2-40B4-BE49-F238E27FC236}">
              <a16:creationId xmlns:a16="http://schemas.microsoft.com/office/drawing/2014/main" id="{5F9B7CD1-F4BD-4D0B-9B84-843275FB122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0" name="TextBox 8">
          <a:extLst>
            <a:ext uri="{FF2B5EF4-FFF2-40B4-BE49-F238E27FC236}">
              <a16:creationId xmlns:a16="http://schemas.microsoft.com/office/drawing/2014/main" id="{A9EFB116-1E2C-40BD-A311-29CC8630FF8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1" name="TextBox 4">
          <a:extLst>
            <a:ext uri="{FF2B5EF4-FFF2-40B4-BE49-F238E27FC236}">
              <a16:creationId xmlns:a16="http://schemas.microsoft.com/office/drawing/2014/main" id="{08B7931A-DE50-48B5-AE65-A4491E513FA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2" name="TextBox 7">
          <a:extLst>
            <a:ext uri="{FF2B5EF4-FFF2-40B4-BE49-F238E27FC236}">
              <a16:creationId xmlns:a16="http://schemas.microsoft.com/office/drawing/2014/main" id="{4B2B042F-C5DB-4182-9670-9A1527F944C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3" name="TextBox 8">
          <a:extLst>
            <a:ext uri="{FF2B5EF4-FFF2-40B4-BE49-F238E27FC236}">
              <a16:creationId xmlns:a16="http://schemas.microsoft.com/office/drawing/2014/main" id="{D5A76CA3-1FF4-4D4E-A7C5-A82E1C8CF84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680CCAD5-1420-4406-A04D-48A2521F26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F15EB728-3BDA-46BE-9D12-1227F5940A1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348083F8-8B78-443B-937D-D1561CC765B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7" name="TextBox 4">
          <a:extLst>
            <a:ext uri="{FF2B5EF4-FFF2-40B4-BE49-F238E27FC236}">
              <a16:creationId xmlns:a16="http://schemas.microsoft.com/office/drawing/2014/main" id="{DB2A6AC7-6DAF-4179-928A-F23B3946CF8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8" name="TextBox 7">
          <a:extLst>
            <a:ext uri="{FF2B5EF4-FFF2-40B4-BE49-F238E27FC236}">
              <a16:creationId xmlns:a16="http://schemas.microsoft.com/office/drawing/2014/main" id="{8C6A1366-1996-4215-94B0-B4DA7A10D1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9" name="TextBox 8">
          <a:extLst>
            <a:ext uri="{FF2B5EF4-FFF2-40B4-BE49-F238E27FC236}">
              <a16:creationId xmlns:a16="http://schemas.microsoft.com/office/drawing/2014/main" id="{82B071C8-0E5A-401B-8CCB-A17E632389E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0" name="TextBox 4">
          <a:extLst>
            <a:ext uri="{FF2B5EF4-FFF2-40B4-BE49-F238E27FC236}">
              <a16:creationId xmlns:a16="http://schemas.microsoft.com/office/drawing/2014/main" id="{918BCCB7-56CB-4C21-A512-CF77362E09A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1" name="TextBox 7">
          <a:extLst>
            <a:ext uri="{FF2B5EF4-FFF2-40B4-BE49-F238E27FC236}">
              <a16:creationId xmlns:a16="http://schemas.microsoft.com/office/drawing/2014/main" id="{7EA6A512-067D-46C3-8831-1628ED3D773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2" name="TextBox 8">
          <a:extLst>
            <a:ext uri="{FF2B5EF4-FFF2-40B4-BE49-F238E27FC236}">
              <a16:creationId xmlns:a16="http://schemas.microsoft.com/office/drawing/2014/main" id="{054933BA-2768-44C4-8FA9-73E3DC2923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3" name="TextBox 4">
          <a:extLst>
            <a:ext uri="{FF2B5EF4-FFF2-40B4-BE49-F238E27FC236}">
              <a16:creationId xmlns:a16="http://schemas.microsoft.com/office/drawing/2014/main" id="{0F3A6859-6B64-4D31-8FEF-239E2ED48C3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4" name="TextBox 7">
          <a:extLst>
            <a:ext uri="{FF2B5EF4-FFF2-40B4-BE49-F238E27FC236}">
              <a16:creationId xmlns:a16="http://schemas.microsoft.com/office/drawing/2014/main" id="{12E84B44-44D1-48E6-BAB6-3123BCCD6EC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5" name="TextBox 8">
          <a:extLst>
            <a:ext uri="{FF2B5EF4-FFF2-40B4-BE49-F238E27FC236}">
              <a16:creationId xmlns:a16="http://schemas.microsoft.com/office/drawing/2014/main" id="{AC4D11DE-BD09-4F65-A5C0-E406132B59A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2BF7B6D3-7107-48ED-8420-DA8A47E818F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B3D82739-EDBC-4974-B75B-7CE2D696DF6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8BF6E1EB-63AF-4991-AC53-2F850BD385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2400-00000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2400-00000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00000000-0008-0000-2400-00000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7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257095-745F-4202-A1F9-295523BF1B2D}"/>
            </a:ext>
            <a:ext uri="{147F2762-F138-4A5C-976F-8EAC2B608ADB}">
              <a16:predDERef xmlns:a16="http://schemas.microsoft.com/office/drawing/2014/main" pred="{00000000-0008-0000-2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112987</xdr:colOff>
      <xdr:row>1</xdr:row>
      <xdr:rowOff>143420</xdr:rowOff>
    </xdr:from>
    <xdr:to>
      <xdr:col>8</xdr:col>
      <xdr:colOff>958349</xdr:colOff>
      <xdr:row>4</xdr:row>
      <xdr:rowOff>44360</xdr:rowOff>
    </xdr:to>
    <xdr:pic>
      <xdr:nvPicPr>
        <xdr:cNvPr id="8" name="Picture 4" descr="VIAGS xanh">
          <a:extLst>
            <a:ext uri="{FF2B5EF4-FFF2-40B4-BE49-F238E27FC236}">
              <a16:creationId xmlns:a16="http://schemas.microsoft.com/office/drawing/2014/main" id="{AA61EBBD-1898-4EAC-AEA8-212ADC930ABF}"/>
            </a:ext>
            <a:ext uri="{147F2762-F138-4A5C-976F-8EAC2B608ADB}">
              <a16:predDERef xmlns:a16="http://schemas.microsoft.com/office/drawing/2014/main" pred="{2B257095-745F-4202-A1F9-295523BF1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2422" y="250996"/>
          <a:ext cx="1939056" cy="6001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E3F373A5-59D2-428B-9124-C981F5191B39}"/>
            </a:ext>
            <a:ext uri="{147F2762-F138-4A5C-976F-8EAC2B608ADB}">
              <a16:predDERef xmlns:a16="http://schemas.microsoft.com/office/drawing/2014/main" pred="{DB587304-7A18-4F9C-B1D6-C0E8A0E808A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695283CA-5B9D-4423-9B51-027A29AD3DEE}"/>
            </a:ext>
            <a:ext uri="{147F2762-F138-4A5C-976F-8EAC2B608ADB}">
              <a16:predDERef xmlns:a16="http://schemas.microsoft.com/office/drawing/2014/main" pred="{E3F373A5-59D2-428B-9124-C981F5191B3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78394430-1367-4B41-AB9A-50F7C9F5381F}"/>
            </a:ext>
            <a:ext uri="{147F2762-F138-4A5C-976F-8EAC2B608ADB}">
              <a16:predDERef xmlns:a16="http://schemas.microsoft.com/office/drawing/2014/main" pred="{695283CA-5B9D-4423-9B51-027A29AD3DE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F0CAC723-913A-43C9-861D-4C01C0C20B98}"/>
            </a:ext>
            <a:ext uri="{147F2762-F138-4A5C-976F-8EAC2B608ADB}">
              <a16:predDERef xmlns:a16="http://schemas.microsoft.com/office/drawing/2014/main" pred="{78394430-1367-4B41-AB9A-50F7C9F5381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89F181BD-712C-4CEE-9927-F4BB6E0C780C}"/>
            </a:ext>
            <a:ext uri="{147F2762-F138-4A5C-976F-8EAC2B608ADB}">
              <a16:predDERef xmlns:a16="http://schemas.microsoft.com/office/drawing/2014/main" pred="{F0CAC723-913A-43C9-861D-4C01C0C20B9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AD3BDF0A-E796-45BB-B290-1FE8988F422C}"/>
            </a:ext>
            <a:ext uri="{147F2762-F138-4A5C-976F-8EAC2B608ADB}">
              <a16:predDERef xmlns:a16="http://schemas.microsoft.com/office/drawing/2014/main" pred="{89F181BD-712C-4CEE-9927-F4BB6E0C780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EB53CFD2-3CAB-4339-8CCB-3F6AE03EDFA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703A6460-D0D5-4D0F-A21E-E98F7D56EAE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819F40F6-8DD4-4724-AD05-AC8558E9560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F5CD35BA-CE94-4A8E-9A01-EB86148812D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66B28C8F-F317-4050-8EAF-BFAF053F680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CECA6B33-EA9B-461C-89CD-EA844C3BBF5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BDAD8D5E-BD7D-4A80-B4EE-1D244BBB93E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08FFB005-0DA7-410D-AA5B-A0036EC5D8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30154C0D-7122-4BBC-A6B8-058C1B2EAAF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6BB3A8D-7C1C-45C2-AE6E-D26A5326577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3391C49B-8428-42DE-BFFB-0E69818CC28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BEFD5A1A-BA97-4D6E-BD88-9931EFBA0B9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2BAE3C57-856C-4071-B2CB-F9D10F44730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2D9F088F-C36A-4A51-A129-C3BD52ED75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E6888099-ADCB-49E0-99F6-9A5447555A6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56D830EA-2CF8-4C12-AC79-031C88A908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91801CEF-3448-4A71-B9ED-A9141E5304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B68A1001-E383-43E3-AEC3-C3D3B863ED3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62A94F1A-932D-43BF-BEEC-6FB7E3A5574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9737A6CC-5A32-4AB0-AEAB-770EDC95D24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F676D177-F24B-43C9-B581-69EE43E64E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669DFF3-93F1-48E9-9AEC-431E4BBF05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81CECB4-A9E3-451A-82E2-EF7E2408E13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624AE4A-F115-40AF-9793-F8BBAAB4BB5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22E39C34-8138-4AC5-A6D0-22810AB006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3C1A0AE4-146B-4477-8F87-6145B407B4D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4A469117-2A5A-4AA0-86E8-0A00F011C3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B73FBFC9-7C38-4A11-AEF1-A2EC1406D9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C6DA708F-3E7E-48A6-BCAE-DF7DCA954AA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BAFDE892-D5C0-4F0A-A298-BA7F80B38F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01114B17-D321-4AEF-BBFE-8B2BE1FA237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5F684C36-CF85-450B-8409-DC04803B16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6FCDF896-9509-43FB-A7FF-7B27E513015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8AF4990E-2F68-4A54-8FC7-5A0F89B6E8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DE384F14-AABF-4331-9795-2B509E68EC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E6538E6-988F-4A31-8A93-06AF7909A53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6FBB78AC-ADF4-4F83-B0D0-2D8295D94C7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B4EC079A-D6CB-4D3C-AC38-581C1881A10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6750870-5CF0-4CAF-A0DD-F636A79DB17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89EDCEBA-C53A-43E9-A907-0E5BE3ED48FE}"/>
            </a:ext>
            <a:ext uri="{147F2762-F138-4A5C-976F-8EAC2B608ADB}">
              <a16:predDERef xmlns:a16="http://schemas.microsoft.com/office/drawing/2014/main" pred="{D6337174-87AC-4D68-B437-41DC1C8E815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2C1D2253-9880-4523-A106-C02ACF677776}"/>
            </a:ext>
            <a:ext uri="{147F2762-F138-4A5C-976F-8EAC2B608ADB}">
              <a16:predDERef xmlns:a16="http://schemas.microsoft.com/office/drawing/2014/main" pred="{9D22D163-966A-474D-985C-37E29C74F8D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529C39F1-91F2-4FD7-A872-34B013DBA09B}"/>
            </a:ext>
            <a:ext uri="{147F2762-F138-4A5C-976F-8EAC2B608ADB}">
              <a16:predDERef xmlns:a16="http://schemas.microsoft.com/office/drawing/2014/main" pred="{7521DF97-5B1E-423C-910F-716FDCD553B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CE79A42B-7A70-4B7A-AD05-EBE0DACAB971}"/>
            </a:ext>
            <a:ext uri="{147F2762-F138-4A5C-976F-8EAC2B608ADB}">
              <a16:predDERef xmlns:a16="http://schemas.microsoft.com/office/drawing/2014/main" pred="{036A0AAC-6402-420F-90E3-9C539D5E790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55B67CE7-0278-48F7-BA20-FBD713C3D1BE}"/>
            </a:ext>
            <a:ext uri="{147F2762-F138-4A5C-976F-8EAC2B608ADB}">
              <a16:predDERef xmlns:a16="http://schemas.microsoft.com/office/drawing/2014/main" pred="{98CC3EF8-558C-4498-9272-2128BF3A520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B4A43E90-B623-4D73-96BB-ACC913C1D310}"/>
            </a:ext>
            <a:ext uri="{147F2762-F138-4A5C-976F-8EAC2B608ADB}">
              <a16:predDERef xmlns:a16="http://schemas.microsoft.com/office/drawing/2014/main" pred="{182D3678-1A8A-4FE6-A03B-646F120EBAD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4F6E21F4-F924-49C6-8E12-801BD8F84EA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6B34FF18-8B27-4E54-A30B-E0EE7B8980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913E970D-E1A4-430A-BE21-736881C61BE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B8C0B664-2EE6-4892-8C12-2787AFA48EF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CA8F6844-AAAC-4BDE-BF5F-961BA810AD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0D8B23D4-2008-462A-BC11-F59C90FE7D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00120002-9DFE-4671-9960-B0C8E994E3F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8E47EB98-9222-4128-9D2A-CF15017D827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B590C46E-625E-4188-8F79-CEB080F7A86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ADE0CC4-8C0F-44FF-A672-7E6828A6B1C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8AF88113-DADC-4B43-8C8A-C78288281F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6B2FB1FF-8A1F-48B4-8F8A-B3A921172ED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80AFEC9E-AACE-4A1F-98BF-C9791291CE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8E2CF426-802F-44CD-B97B-6D9C4FE3186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9BDBE574-25C9-42DF-ACCE-2AD3C7EABC3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4">
          <a:extLst>
            <a:ext uri="{FF2B5EF4-FFF2-40B4-BE49-F238E27FC236}">
              <a16:creationId xmlns:a16="http://schemas.microsoft.com/office/drawing/2014/main" id="{A1368742-8681-4A51-A4E7-81746897585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">
          <a:extLst>
            <a:ext uri="{FF2B5EF4-FFF2-40B4-BE49-F238E27FC236}">
              <a16:creationId xmlns:a16="http://schemas.microsoft.com/office/drawing/2014/main" id="{84BBAE8C-E959-4FF4-BE38-0F38C335B84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8">
          <a:extLst>
            <a:ext uri="{FF2B5EF4-FFF2-40B4-BE49-F238E27FC236}">
              <a16:creationId xmlns:a16="http://schemas.microsoft.com/office/drawing/2014/main" id="{FB016C09-3726-434E-BA8C-9E09C4322A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4">
          <a:extLst>
            <a:ext uri="{FF2B5EF4-FFF2-40B4-BE49-F238E27FC236}">
              <a16:creationId xmlns:a16="http://schemas.microsoft.com/office/drawing/2014/main" id="{4E06E97B-6971-4460-A2AA-545A8213E2D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">
          <a:extLst>
            <a:ext uri="{FF2B5EF4-FFF2-40B4-BE49-F238E27FC236}">
              <a16:creationId xmlns:a16="http://schemas.microsoft.com/office/drawing/2014/main" id="{DF86E2AE-DA6E-4707-8637-07ACF147A93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8">
          <a:extLst>
            <a:ext uri="{FF2B5EF4-FFF2-40B4-BE49-F238E27FC236}">
              <a16:creationId xmlns:a16="http://schemas.microsoft.com/office/drawing/2014/main" id="{EFE02ABD-E750-4B7B-8265-BC7A561AE9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3094F43D-83EE-440C-B0D9-511A403A959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9B5F3F1-CBE5-4A60-8A19-B468E50B54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3BF408C6-A5D3-49AC-B995-BC26F360FB0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4">
          <a:extLst>
            <a:ext uri="{FF2B5EF4-FFF2-40B4-BE49-F238E27FC236}">
              <a16:creationId xmlns:a16="http://schemas.microsoft.com/office/drawing/2014/main" id="{DF335D46-558C-4730-998A-DBEC1E4985D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DA2845F9-5194-4FB4-88C9-4F159F42C03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D95EB554-EBB6-42B7-916C-4B37EB45CE0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57686599-D36C-4439-9302-97A6DED03F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76CABEB3-CF30-4163-9BE2-53CB753AB78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63EEE844-9583-4185-B8BC-FEF1BDD3775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4">
          <a:extLst>
            <a:ext uri="{FF2B5EF4-FFF2-40B4-BE49-F238E27FC236}">
              <a16:creationId xmlns:a16="http://schemas.microsoft.com/office/drawing/2014/main" id="{63F0952C-53AB-432C-837B-1218710C897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7">
          <a:extLst>
            <a:ext uri="{FF2B5EF4-FFF2-40B4-BE49-F238E27FC236}">
              <a16:creationId xmlns:a16="http://schemas.microsoft.com/office/drawing/2014/main" id="{510BCE4A-AD65-44CD-8C5B-D35F175C892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">
          <a:extLst>
            <a:ext uri="{FF2B5EF4-FFF2-40B4-BE49-F238E27FC236}">
              <a16:creationId xmlns:a16="http://schemas.microsoft.com/office/drawing/2014/main" id="{328478A2-59AE-4FFE-8353-56E3BD948F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ACA9F86F-4142-4280-8D0B-358BB3392F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D6A58BF7-6087-41B5-ACC8-4D20FD4EF03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6EF0B742-0B7E-4178-88E4-03088A7D49C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4">
          <a:extLst>
            <a:ext uri="{FF2B5EF4-FFF2-40B4-BE49-F238E27FC236}">
              <a16:creationId xmlns:a16="http://schemas.microsoft.com/office/drawing/2014/main" id="{E438CCD8-6A21-497F-B5C7-3B702D0799E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7">
          <a:extLst>
            <a:ext uri="{FF2B5EF4-FFF2-40B4-BE49-F238E27FC236}">
              <a16:creationId xmlns:a16="http://schemas.microsoft.com/office/drawing/2014/main" id="{5DAC9CDA-CE8E-43C7-BE9E-CAB867E0685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8">
          <a:extLst>
            <a:ext uri="{FF2B5EF4-FFF2-40B4-BE49-F238E27FC236}">
              <a16:creationId xmlns:a16="http://schemas.microsoft.com/office/drawing/2014/main" id="{90C909DF-DCB8-4FD4-B22C-C7CC11221B8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4">
          <a:extLst>
            <a:ext uri="{FF2B5EF4-FFF2-40B4-BE49-F238E27FC236}">
              <a16:creationId xmlns:a16="http://schemas.microsoft.com/office/drawing/2014/main" id="{F65C1CDA-ABCF-4739-9BD5-C4B61D65EB0C}"/>
            </a:ext>
            <a:ext uri="{147F2762-F138-4A5C-976F-8EAC2B608ADB}">
              <a16:predDERef xmlns:a16="http://schemas.microsoft.com/office/drawing/2014/main" pred="{169505AA-065E-41A6-A7E5-081A2C92924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7">
          <a:extLst>
            <a:ext uri="{FF2B5EF4-FFF2-40B4-BE49-F238E27FC236}">
              <a16:creationId xmlns:a16="http://schemas.microsoft.com/office/drawing/2014/main" id="{4E2A89AD-7F95-4C14-9286-AD33870C4424}"/>
            </a:ext>
            <a:ext uri="{147F2762-F138-4A5C-976F-8EAC2B608ADB}">
              <a16:predDERef xmlns:a16="http://schemas.microsoft.com/office/drawing/2014/main" pred="{47F51DB8-8DC7-435F-9D05-C58E8410C3F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8">
          <a:extLst>
            <a:ext uri="{FF2B5EF4-FFF2-40B4-BE49-F238E27FC236}">
              <a16:creationId xmlns:a16="http://schemas.microsoft.com/office/drawing/2014/main" id="{5C73EB52-862C-4F02-951E-9F986A512CAF}"/>
            </a:ext>
            <a:ext uri="{147F2762-F138-4A5C-976F-8EAC2B608ADB}">
              <a16:predDERef xmlns:a16="http://schemas.microsoft.com/office/drawing/2014/main" pred="{62B73D04-4AA8-4D2D-848F-809547BB067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id="{169B125D-7409-4011-8FA0-C5A7008E4864}"/>
            </a:ext>
            <a:ext uri="{147F2762-F138-4A5C-976F-8EAC2B608ADB}">
              <a16:predDERef xmlns:a16="http://schemas.microsoft.com/office/drawing/2014/main" pred="{153750EA-D6C9-4FE3-93BE-1EEA0BFD0F0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7">
          <a:extLst>
            <a:ext uri="{FF2B5EF4-FFF2-40B4-BE49-F238E27FC236}">
              <a16:creationId xmlns:a16="http://schemas.microsoft.com/office/drawing/2014/main" id="{9DFD2F61-FF3E-411C-B092-8ACE647B3B62}"/>
            </a:ext>
            <a:ext uri="{147F2762-F138-4A5C-976F-8EAC2B608ADB}">
              <a16:predDERef xmlns:a16="http://schemas.microsoft.com/office/drawing/2014/main" pred="{CE092D38-23B8-4698-AD40-12A30322EAF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8">
          <a:extLst>
            <a:ext uri="{FF2B5EF4-FFF2-40B4-BE49-F238E27FC236}">
              <a16:creationId xmlns:a16="http://schemas.microsoft.com/office/drawing/2014/main" id="{EBD159EF-4444-4BF2-9E60-587128D941CC}"/>
            </a:ext>
            <a:ext uri="{147F2762-F138-4A5C-976F-8EAC2B608ADB}">
              <a16:predDERef xmlns:a16="http://schemas.microsoft.com/office/drawing/2014/main" pred="{597DAEE6-8E76-40F0-95DC-66FC4B0590A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4">
          <a:extLst>
            <a:ext uri="{FF2B5EF4-FFF2-40B4-BE49-F238E27FC236}">
              <a16:creationId xmlns:a16="http://schemas.microsoft.com/office/drawing/2014/main" id="{46FA53FD-0241-4023-9233-7000AE1FCDA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7">
          <a:extLst>
            <a:ext uri="{FF2B5EF4-FFF2-40B4-BE49-F238E27FC236}">
              <a16:creationId xmlns:a16="http://schemas.microsoft.com/office/drawing/2014/main" id="{DFCE10D2-A9D3-4AA7-A602-6F5AD08F8B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8">
          <a:extLst>
            <a:ext uri="{FF2B5EF4-FFF2-40B4-BE49-F238E27FC236}">
              <a16:creationId xmlns:a16="http://schemas.microsoft.com/office/drawing/2014/main" id="{E8FE4311-F99F-4444-A186-96C6AE0AE13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4">
          <a:extLst>
            <a:ext uri="{FF2B5EF4-FFF2-40B4-BE49-F238E27FC236}">
              <a16:creationId xmlns:a16="http://schemas.microsoft.com/office/drawing/2014/main" id="{EE162465-EFBC-49CC-A248-3926A7B440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7">
          <a:extLst>
            <a:ext uri="{FF2B5EF4-FFF2-40B4-BE49-F238E27FC236}">
              <a16:creationId xmlns:a16="http://schemas.microsoft.com/office/drawing/2014/main" id="{46D70CB4-362F-41C8-8776-A7D29DA3C0F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8">
          <a:extLst>
            <a:ext uri="{FF2B5EF4-FFF2-40B4-BE49-F238E27FC236}">
              <a16:creationId xmlns:a16="http://schemas.microsoft.com/office/drawing/2014/main" id="{AD9AC00A-93FD-4887-870D-1F2F22074D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4">
          <a:extLst>
            <a:ext uri="{FF2B5EF4-FFF2-40B4-BE49-F238E27FC236}">
              <a16:creationId xmlns:a16="http://schemas.microsoft.com/office/drawing/2014/main" id="{8ECF772A-F698-44FB-99BF-A046C92362A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7">
          <a:extLst>
            <a:ext uri="{FF2B5EF4-FFF2-40B4-BE49-F238E27FC236}">
              <a16:creationId xmlns:a16="http://schemas.microsoft.com/office/drawing/2014/main" id="{D2A5F59C-792B-4075-B788-DB9BC64F740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8">
          <a:extLst>
            <a:ext uri="{FF2B5EF4-FFF2-40B4-BE49-F238E27FC236}">
              <a16:creationId xmlns:a16="http://schemas.microsoft.com/office/drawing/2014/main" id="{2B858D98-E3FC-4A96-B088-4AE597C73D9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6B10B8A6-CCEB-4AC3-A94E-9355514F4EF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7">
          <a:extLst>
            <a:ext uri="{FF2B5EF4-FFF2-40B4-BE49-F238E27FC236}">
              <a16:creationId xmlns:a16="http://schemas.microsoft.com/office/drawing/2014/main" id="{01AA1DBC-4D98-426F-A6BF-B02105E3869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8">
          <a:extLst>
            <a:ext uri="{FF2B5EF4-FFF2-40B4-BE49-F238E27FC236}">
              <a16:creationId xmlns:a16="http://schemas.microsoft.com/office/drawing/2014/main" id="{EA0AF490-C486-44FA-AF08-1C3EC0FCC89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4">
          <a:extLst>
            <a:ext uri="{FF2B5EF4-FFF2-40B4-BE49-F238E27FC236}">
              <a16:creationId xmlns:a16="http://schemas.microsoft.com/office/drawing/2014/main" id="{D88A39AF-63C9-421E-B3D2-B86847C2EDD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7">
          <a:extLst>
            <a:ext uri="{FF2B5EF4-FFF2-40B4-BE49-F238E27FC236}">
              <a16:creationId xmlns:a16="http://schemas.microsoft.com/office/drawing/2014/main" id="{F276E948-A1EA-44B6-9BA9-60B448535EC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8">
          <a:extLst>
            <a:ext uri="{FF2B5EF4-FFF2-40B4-BE49-F238E27FC236}">
              <a16:creationId xmlns:a16="http://schemas.microsoft.com/office/drawing/2014/main" id="{8D7A1F9A-9F7F-4B7E-801F-6324A2DDF36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4">
          <a:extLst>
            <a:ext uri="{FF2B5EF4-FFF2-40B4-BE49-F238E27FC236}">
              <a16:creationId xmlns:a16="http://schemas.microsoft.com/office/drawing/2014/main" id="{3C1962E7-3D88-4F05-8756-E787083D6A3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7">
          <a:extLst>
            <a:ext uri="{FF2B5EF4-FFF2-40B4-BE49-F238E27FC236}">
              <a16:creationId xmlns:a16="http://schemas.microsoft.com/office/drawing/2014/main" id="{192EC162-7405-4FC7-AE77-69AA9E05970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8">
          <a:extLst>
            <a:ext uri="{FF2B5EF4-FFF2-40B4-BE49-F238E27FC236}">
              <a16:creationId xmlns:a16="http://schemas.microsoft.com/office/drawing/2014/main" id="{4C02E0DC-D0DB-4B8C-A1F9-9380602B139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4">
          <a:extLst>
            <a:ext uri="{FF2B5EF4-FFF2-40B4-BE49-F238E27FC236}">
              <a16:creationId xmlns:a16="http://schemas.microsoft.com/office/drawing/2014/main" id="{935FD6C7-5A76-484A-9265-5DAAE1C2CF6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7">
          <a:extLst>
            <a:ext uri="{FF2B5EF4-FFF2-40B4-BE49-F238E27FC236}">
              <a16:creationId xmlns:a16="http://schemas.microsoft.com/office/drawing/2014/main" id="{D7C598D1-E9C8-4D3B-BDB5-18ED1D2BCC7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8">
          <a:extLst>
            <a:ext uri="{FF2B5EF4-FFF2-40B4-BE49-F238E27FC236}">
              <a16:creationId xmlns:a16="http://schemas.microsoft.com/office/drawing/2014/main" id="{59FFB785-FE36-47BC-AEF5-0C743DD0A5D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9BE0A160-6B78-4008-A523-4723FE566F8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FA75D431-64A8-4F44-A950-5FFD91979B0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F4257D30-AEEB-47EA-B5C9-250B86E8459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4">
          <a:extLst>
            <a:ext uri="{FF2B5EF4-FFF2-40B4-BE49-F238E27FC236}">
              <a16:creationId xmlns:a16="http://schemas.microsoft.com/office/drawing/2014/main" id="{E4EBB7F5-A727-4A7A-BE6C-E1104DF16B5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7">
          <a:extLst>
            <a:ext uri="{FF2B5EF4-FFF2-40B4-BE49-F238E27FC236}">
              <a16:creationId xmlns:a16="http://schemas.microsoft.com/office/drawing/2014/main" id="{41FA1A51-5E96-47A5-8180-8F46EFF0DE6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8">
          <a:extLst>
            <a:ext uri="{FF2B5EF4-FFF2-40B4-BE49-F238E27FC236}">
              <a16:creationId xmlns:a16="http://schemas.microsoft.com/office/drawing/2014/main" id="{F0A1E3A6-C2CC-4ADE-BFEB-CAE69752C89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4">
          <a:extLst>
            <a:ext uri="{FF2B5EF4-FFF2-40B4-BE49-F238E27FC236}">
              <a16:creationId xmlns:a16="http://schemas.microsoft.com/office/drawing/2014/main" id="{9861DAC4-CFDC-4AEB-A0C4-6B1E9549C58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7">
          <a:extLst>
            <a:ext uri="{FF2B5EF4-FFF2-40B4-BE49-F238E27FC236}">
              <a16:creationId xmlns:a16="http://schemas.microsoft.com/office/drawing/2014/main" id="{750628A5-07AF-42E5-A5CA-BEFEDF7A2BD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8">
          <a:extLst>
            <a:ext uri="{FF2B5EF4-FFF2-40B4-BE49-F238E27FC236}">
              <a16:creationId xmlns:a16="http://schemas.microsoft.com/office/drawing/2014/main" id="{E50B20C2-4A5D-4FAB-9CC4-F005A20693E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4">
          <a:extLst>
            <a:ext uri="{FF2B5EF4-FFF2-40B4-BE49-F238E27FC236}">
              <a16:creationId xmlns:a16="http://schemas.microsoft.com/office/drawing/2014/main" id="{B8940C36-0270-4CAD-A0FB-DACB11442A5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7">
          <a:extLst>
            <a:ext uri="{FF2B5EF4-FFF2-40B4-BE49-F238E27FC236}">
              <a16:creationId xmlns:a16="http://schemas.microsoft.com/office/drawing/2014/main" id="{203773DC-7E25-4E70-B45D-F5650ED6BD9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8">
          <a:extLst>
            <a:ext uri="{FF2B5EF4-FFF2-40B4-BE49-F238E27FC236}">
              <a16:creationId xmlns:a16="http://schemas.microsoft.com/office/drawing/2014/main" id="{77F74FE9-FC40-448C-9DC3-2F8DE5FD249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E3DB00A7-7DF4-4F3B-B8DE-8C28A12FAD2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8B63FA66-CF52-4DC1-9A25-5918C49267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FAFECF62-1524-4576-B711-0D7C7CC244F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4">
          <a:extLst>
            <a:ext uri="{FF2B5EF4-FFF2-40B4-BE49-F238E27FC236}">
              <a16:creationId xmlns:a16="http://schemas.microsoft.com/office/drawing/2014/main" id="{6959A3D0-30DC-48A8-BF1D-47E36B28A9E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7">
          <a:extLst>
            <a:ext uri="{FF2B5EF4-FFF2-40B4-BE49-F238E27FC236}">
              <a16:creationId xmlns:a16="http://schemas.microsoft.com/office/drawing/2014/main" id="{FEBFF9A2-F5C1-4D53-A6D6-A7BB7755C86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8">
          <a:extLst>
            <a:ext uri="{FF2B5EF4-FFF2-40B4-BE49-F238E27FC236}">
              <a16:creationId xmlns:a16="http://schemas.microsoft.com/office/drawing/2014/main" id="{3A9CB230-6BEA-40AF-8E94-BE661D20A5F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4">
          <a:extLst>
            <a:ext uri="{FF2B5EF4-FFF2-40B4-BE49-F238E27FC236}">
              <a16:creationId xmlns:a16="http://schemas.microsoft.com/office/drawing/2014/main" id="{5A19B876-215E-4108-A209-9C27AF04DBF2}"/>
            </a:ext>
            <a:ext uri="{147F2762-F138-4A5C-976F-8EAC2B608ADB}">
              <a16:predDERef xmlns:a16="http://schemas.microsoft.com/office/drawing/2014/main" pred="{4334BFCA-CB12-48DA-8E2A-FD22A82567F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7">
          <a:extLst>
            <a:ext uri="{FF2B5EF4-FFF2-40B4-BE49-F238E27FC236}">
              <a16:creationId xmlns:a16="http://schemas.microsoft.com/office/drawing/2014/main" id="{41CAAB28-768F-4285-B7FF-1398A1846CB2}"/>
            </a:ext>
            <a:ext uri="{147F2762-F138-4A5C-976F-8EAC2B608ADB}">
              <a16:predDERef xmlns:a16="http://schemas.microsoft.com/office/drawing/2014/main" pred="{395A4EF6-0825-4E96-BB01-8169083AD90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8">
          <a:extLst>
            <a:ext uri="{FF2B5EF4-FFF2-40B4-BE49-F238E27FC236}">
              <a16:creationId xmlns:a16="http://schemas.microsoft.com/office/drawing/2014/main" id="{8F6D7CFF-301E-4E5F-8416-F603521BC553}"/>
            </a:ext>
            <a:ext uri="{147F2762-F138-4A5C-976F-8EAC2B608ADB}">
              <a16:predDERef xmlns:a16="http://schemas.microsoft.com/office/drawing/2014/main" pred="{FE862702-B850-4EAC-904A-2EDEEBF5616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4">
          <a:extLst>
            <a:ext uri="{FF2B5EF4-FFF2-40B4-BE49-F238E27FC236}">
              <a16:creationId xmlns:a16="http://schemas.microsoft.com/office/drawing/2014/main" id="{BD7A95E6-7768-42DC-A6C3-FC434FCAF6ED}"/>
            </a:ext>
            <a:ext uri="{147F2762-F138-4A5C-976F-8EAC2B608ADB}">
              <a16:predDERef xmlns:a16="http://schemas.microsoft.com/office/drawing/2014/main" pred="{0CD3100D-7587-42FE-BF92-3E421A0716F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7">
          <a:extLst>
            <a:ext uri="{FF2B5EF4-FFF2-40B4-BE49-F238E27FC236}">
              <a16:creationId xmlns:a16="http://schemas.microsoft.com/office/drawing/2014/main" id="{BAE75611-4F32-4639-8C67-676842E43750}"/>
            </a:ext>
            <a:ext uri="{147F2762-F138-4A5C-976F-8EAC2B608ADB}">
              <a16:predDERef xmlns:a16="http://schemas.microsoft.com/office/drawing/2014/main" pred="{368A06AD-7AAC-49C2-BE44-54CD4B12282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8">
          <a:extLst>
            <a:ext uri="{FF2B5EF4-FFF2-40B4-BE49-F238E27FC236}">
              <a16:creationId xmlns:a16="http://schemas.microsoft.com/office/drawing/2014/main" id="{B8205882-9E5D-4073-AED9-DAEEB4CA8EA0}"/>
            </a:ext>
            <a:ext uri="{147F2762-F138-4A5C-976F-8EAC2B608ADB}">
              <a16:predDERef xmlns:a16="http://schemas.microsoft.com/office/drawing/2014/main" pred="{73889B8D-323F-4DE1-A8A8-70694F9D6A6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4">
          <a:extLst>
            <a:ext uri="{FF2B5EF4-FFF2-40B4-BE49-F238E27FC236}">
              <a16:creationId xmlns:a16="http://schemas.microsoft.com/office/drawing/2014/main" id="{2A95E049-2C07-442B-AF10-82D6F1DD73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7">
          <a:extLst>
            <a:ext uri="{FF2B5EF4-FFF2-40B4-BE49-F238E27FC236}">
              <a16:creationId xmlns:a16="http://schemas.microsoft.com/office/drawing/2014/main" id="{92E4CAB3-7E52-48FC-A1E7-E8F6CF9C60A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8">
          <a:extLst>
            <a:ext uri="{FF2B5EF4-FFF2-40B4-BE49-F238E27FC236}">
              <a16:creationId xmlns:a16="http://schemas.microsoft.com/office/drawing/2014/main" id="{57770FB1-3B5E-4DD3-9678-A64D687D1CE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4">
          <a:extLst>
            <a:ext uri="{FF2B5EF4-FFF2-40B4-BE49-F238E27FC236}">
              <a16:creationId xmlns:a16="http://schemas.microsoft.com/office/drawing/2014/main" id="{DF67350C-AFD4-4DDC-8106-5F84EF500E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7">
          <a:extLst>
            <a:ext uri="{FF2B5EF4-FFF2-40B4-BE49-F238E27FC236}">
              <a16:creationId xmlns:a16="http://schemas.microsoft.com/office/drawing/2014/main" id="{D06F3EC1-EC47-43BF-8B6E-BD6DA3B78D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3" name="TextBox 8">
          <a:extLst>
            <a:ext uri="{FF2B5EF4-FFF2-40B4-BE49-F238E27FC236}">
              <a16:creationId xmlns:a16="http://schemas.microsoft.com/office/drawing/2014/main" id="{275DECB0-07EC-4DA0-8D8E-87AB9192EC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4" name="TextBox 4">
          <a:extLst>
            <a:ext uri="{FF2B5EF4-FFF2-40B4-BE49-F238E27FC236}">
              <a16:creationId xmlns:a16="http://schemas.microsoft.com/office/drawing/2014/main" id="{F766F314-516D-4481-86EC-C23EAE7ED05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5" name="TextBox 7">
          <a:extLst>
            <a:ext uri="{FF2B5EF4-FFF2-40B4-BE49-F238E27FC236}">
              <a16:creationId xmlns:a16="http://schemas.microsoft.com/office/drawing/2014/main" id="{B4EA0054-4E5E-4E25-B38A-ADF24EF21E0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6" name="TextBox 8">
          <a:extLst>
            <a:ext uri="{FF2B5EF4-FFF2-40B4-BE49-F238E27FC236}">
              <a16:creationId xmlns:a16="http://schemas.microsoft.com/office/drawing/2014/main" id="{95848431-2B6E-4F2D-B3AE-490A0F75D1B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24B34886-FF7B-4405-9B2D-F297DFC8E74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8" name="TextBox 7">
          <a:extLst>
            <a:ext uri="{FF2B5EF4-FFF2-40B4-BE49-F238E27FC236}">
              <a16:creationId xmlns:a16="http://schemas.microsoft.com/office/drawing/2014/main" id="{25F04A5D-2DC9-4113-A031-2CF0B1DCC63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9" name="TextBox 8">
          <a:extLst>
            <a:ext uri="{FF2B5EF4-FFF2-40B4-BE49-F238E27FC236}">
              <a16:creationId xmlns:a16="http://schemas.microsoft.com/office/drawing/2014/main" id="{4C2EA4B4-ED07-4126-A72F-B426CBC8565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0" name="TextBox 4">
          <a:extLst>
            <a:ext uri="{FF2B5EF4-FFF2-40B4-BE49-F238E27FC236}">
              <a16:creationId xmlns:a16="http://schemas.microsoft.com/office/drawing/2014/main" id="{939F7D2F-D75D-4B4F-AAF4-91BD12F8879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1" name="TextBox 7">
          <a:extLst>
            <a:ext uri="{FF2B5EF4-FFF2-40B4-BE49-F238E27FC236}">
              <a16:creationId xmlns:a16="http://schemas.microsoft.com/office/drawing/2014/main" id="{B7E854A4-99C6-4627-ADEB-50AF1F9D5E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2" name="TextBox 8">
          <a:extLst>
            <a:ext uri="{FF2B5EF4-FFF2-40B4-BE49-F238E27FC236}">
              <a16:creationId xmlns:a16="http://schemas.microsoft.com/office/drawing/2014/main" id="{9C2B1D1C-F4D9-4D3E-A112-98F7D334360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3" name="TextBox 4">
          <a:extLst>
            <a:ext uri="{FF2B5EF4-FFF2-40B4-BE49-F238E27FC236}">
              <a16:creationId xmlns:a16="http://schemas.microsoft.com/office/drawing/2014/main" id="{EEE4AF7C-3E77-4D08-9098-76E372AF492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4" name="TextBox 7">
          <a:extLst>
            <a:ext uri="{FF2B5EF4-FFF2-40B4-BE49-F238E27FC236}">
              <a16:creationId xmlns:a16="http://schemas.microsoft.com/office/drawing/2014/main" id="{DF0DB7D9-6AF5-434C-8761-B4C412FE51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5" name="TextBox 8">
          <a:extLst>
            <a:ext uri="{FF2B5EF4-FFF2-40B4-BE49-F238E27FC236}">
              <a16:creationId xmlns:a16="http://schemas.microsoft.com/office/drawing/2014/main" id="{7685C43C-D07C-4273-8659-C92A261BC0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6" name="TextBox 4">
          <a:extLst>
            <a:ext uri="{FF2B5EF4-FFF2-40B4-BE49-F238E27FC236}">
              <a16:creationId xmlns:a16="http://schemas.microsoft.com/office/drawing/2014/main" id="{4C6D5E5E-455B-4718-882A-32B9D4607B6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7" name="TextBox 7">
          <a:extLst>
            <a:ext uri="{FF2B5EF4-FFF2-40B4-BE49-F238E27FC236}">
              <a16:creationId xmlns:a16="http://schemas.microsoft.com/office/drawing/2014/main" id="{D1B66688-FD91-4A4B-84D2-D1EEBC1E895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8" name="TextBox 8">
          <a:extLst>
            <a:ext uri="{FF2B5EF4-FFF2-40B4-BE49-F238E27FC236}">
              <a16:creationId xmlns:a16="http://schemas.microsoft.com/office/drawing/2014/main" id="{63663F67-6F65-424F-A9BB-8DBB79D4E59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D3A48A59-B577-46CA-9B7C-0C732789CF8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25A6019A-EE35-4DF2-AFDC-F791E4F88F7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35AB2516-3CB8-4291-BA13-422C330CE02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2" name="TextBox 4">
          <a:extLst>
            <a:ext uri="{FF2B5EF4-FFF2-40B4-BE49-F238E27FC236}">
              <a16:creationId xmlns:a16="http://schemas.microsoft.com/office/drawing/2014/main" id="{56C0C118-F385-49E0-8979-80BF9515A28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3" name="TextBox 7">
          <a:extLst>
            <a:ext uri="{FF2B5EF4-FFF2-40B4-BE49-F238E27FC236}">
              <a16:creationId xmlns:a16="http://schemas.microsoft.com/office/drawing/2014/main" id="{68F55CAC-50B6-4EF6-852B-DF4099247C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4" name="TextBox 8">
          <a:extLst>
            <a:ext uri="{FF2B5EF4-FFF2-40B4-BE49-F238E27FC236}">
              <a16:creationId xmlns:a16="http://schemas.microsoft.com/office/drawing/2014/main" id="{23880F53-1999-44F0-9F58-6654F1325ED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5" name="TextBox 4">
          <a:extLst>
            <a:ext uri="{FF2B5EF4-FFF2-40B4-BE49-F238E27FC236}">
              <a16:creationId xmlns:a16="http://schemas.microsoft.com/office/drawing/2014/main" id="{D9B5B2A4-8525-456B-AD14-3AB7ADB7591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6" name="TextBox 7">
          <a:extLst>
            <a:ext uri="{FF2B5EF4-FFF2-40B4-BE49-F238E27FC236}">
              <a16:creationId xmlns:a16="http://schemas.microsoft.com/office/drawing/2014/main" id="{BAB030D8-71E4-43CC-B920-9767F6F2F2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7" name="TextBox 8">
          <a:extLst>
            <a:ext uri="{FF2B5EF4-FFF2-40B4-BE49-F238E27FC236}">
              <a16:creationId xmlns:a16="http://schemas.microsoft.com/office/drawing/2014/main" id="{41B76263-23E0-4880-8FC6-E00103E807B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8" name="TextBox 4">
          <a:extLst>
            <a:ext uri="{FF2B5EF4-FFF2-40B4-BE49-F238E27FC236}">
              <a16:creationId xmlns:a16="http://schemas.microsoft.com/office/drawing/2014/main" id="{FA063050-B879-4684-9F9B-598D0E593E4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9" name="TextBox 7">
          <a:extLst>
            <a:ext uri="{FF2B5EF4-FFF2-40B4-BE49-F238E27FC236}">
              <a16:creationId xmlns:a16="http://schemas.microsoft.com/office/drawing/2014/main" id="{669DCC6E-1FBD-4325-87FD-A88157E8ADC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0" name="TextBox 8">
          <a:extLst>
            <a:ext uri="{FF2B5EF4-FFF2-40B4-BE49-F238E27FC236}">
              <a16:creationId xmlns:a16="http://schemas.microsoft.com/office/drawing/2014/main" id="{99BFD4F1-56B4-45D1-9437-EA4DBA42C7C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A5B9ED16-6A70-416D-A54A-0CA7A6D30D3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2FD37CF7-9F35-48AD-872B-AFF64DEF26E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2D254260-811C-4425-832F-4F2D7EDB89F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4" name="TextBox 4">
          <a:extLst>
            <a:ext uri="{FF2B5EF4-FFF2-40B4-BE49-F238E27FC236}">
              <a16:creationId xmlns:a16="http://schemas.microsoft.com/office/drawing/2014/main" id="{A233715C-17A3-433D-882C-856C9511475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5" name="TextBox 7">
          <a:extLst>
            <a:ext uri="{FF2B5EF4-FFF2-40B4-BE49-F238E27FC236}">
              <a16:creationId xmlns:a16="http://schemas.microsoft.com/office/drawing/2014/main" id="{26DDDC4F-EFC9-44D3-B848-95E4DD31F30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6" name="TextBox 8">
          <a:extLst>
            <a:ext uri="{FF2B5EF4-FFF2-40B4-BE49-F238E27FC236}">
              <a16:creationId xmlns:a16="http://schemas.microsoft.com/office/drawing/2014/main" id="{56AE9D85-F858-4C5F-B401-B5CCEC848E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7" name="TextBox 4">
          <a:extLst>
            <a:ext uri="{FF2B5EF4-FFF2-40B4-BE49-F238E27FC236}">
              <a16:creationId xmlns:a16="http://schemas.microsoft.com/office/drawing/2014/main" id="{0462FF79-CED2-4F6E-B7BD-8B6EF2E08D31}"/>
            </a:ext>
            <a:ext uri="{147F2762-F138-4A5C-976F-8EAC2B608ADB}">
              <a16:predDERef xmlns:a16="http://schemas.microsoft.com/office/drawing/2014/main" pred="{A852D57F-4849-463E-B328-8EB8FB8F3DC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8" name="TextBox 7">
          <a:extLst>
            <a:ext uri="{FF2B5EF4-FFF2-40B4-BE49-F238E27FC236}">
              <a16:creationId xmlns:a16="http://schemas.microsoft.com/office/drawing/2014/main" id="{52A2B582-F9A1-45A9-87DB-CF0D1C5295D0}"/>
            </a:ext>
            <a:ext uri="{147F2762-F138-4A5C-976F-8EAC2B608ADB}">
              <a16:predDERef xmlns:a16="http://schemas.microsoft.com/office/drawing/2014/main" pred="{4AFB51E7-94B0-4ED5-8992-ADF90910189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9" name="TextBox 8">
          <a:extLst>
            <a:ext uri="{FF2B5EF4-FFF2-40B4-BE49-F238E27FC236}">
              <a16:creationId xmlns:a16="http://schemas.microsoft.com/office/drawing/2014/main" id="{20CA4054-76E9-4256-A01E-8C07009C38A3}"/>
            </a:ext>
            <a:ext uri="{147F2762-F138-4A5C-976F-8EAC2B608ADB}">
              <a16:predDERef xmlns:a16="http://schemas.microsoft.com/office/drawing/2014/main" pred="{90CFED20-0863-4D99-9D40-CFAE8E9D133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0" name="TextBox 4">
          <a:extLst>
            <a:ext uri="{FF2B5EF4-FFF2-40B4-BE49-F238E27FC236}">
              <a16:creationId xmlns:a16="http://schemas.microsoft.com/office/drawing/2014/main" id="{4F986D86-0137-4C34-AE6B-AAE83EA8D570}"/>
            </a:ext>
            <a:ext uri="{147F2762-F138-4A5C-976F-8EAC2B608ADB}">
              <a16:predDERef xmlns:a16="http://schemas.microsoft.com/office/drawing/2014/main" pred="{B584139A-2B88-49D7-8814-E153EFA90A8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1" name="TextBox 7">
          <a:extLst>
            <a:ext uri="{FF2B5EF4-FFF2-40B4-BE49-F238E27FC236}">
              <a16:creationId xmlns:a16="http://schemas.microsoft.com/office/drawing/2014/main" id="{D1AF6934-9384-441D-B54C-FFA4E86693E4}"/>
            </a:ext>
            <a:ext uri="{147F2762-F138-4A5C-976F-8EAC2B608ADB}">
              <a16:predDERef xmlns:a16="http://schemas.microsoft.com/office/drawing/2014/main" pred="{CA315F30-6113-485F-B762-9AAA86D675C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2" name="TextBox 8">
          <a:extLst>
            <a:ext uri="{FF2B5EF4-FFF2-40B4-BE49-F238E27FC236}">
              <a16:creationId xmlns:a16="http://schemas.microsoft.com/office/drawing/2014/main" id="{CA0623BC-95BB-4308-87A3-23CA36D710FA}"/>
            </a:ext>
            <a:ext uri="{147F2762-F138-4A5C-976F-8EAC2B608ADB}">
              <a16:predDERef xmlns:a16="http://schemas.microsoft.com/office/drawing/2014/main" pred="{21A690C8-6392-44B2-9FF0-69B9DEE822C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3" name="TextBox 4">
          <a:extLst>
            <a:ext uri="{FF2B5EF4-FFF2-40B4-BE49-F238E27FC236}">
              <a16:creationId xmlns:a16="http://schemas.microsoft.com/office/drawing/2014/main" id="{65AD169F-6E78-48F2-AA17-51884BF4536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4" name="TextBox 7">
          <a:extLst>
            <a:ext uri="{FF2B5EF4-FFF2-40B4-BE49-F238E27FC236}">
              <a16:creationId xmlns:a16="http://schemas.microsoft.com/office/drawing/2014/main" id="{AD6C9CF0-384A-47A9-B2CC-8424A12285F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5" name="TextBox 8">
          <a:extLst>
            <a:ext uri="{FF2B5EF4-FFF2-40B4-BE49-F238E27FC236}">
              <a16:creationId xmlns:a16="http://schemas.microsoft.com/office/drawing/2014/main" id="{8C40C5F9-020A-4A61-ADED-3A0006F59A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6" name="TextBox 4">
          <a:extLst>
            <a:ext uri="{FF2B5EF4-FFF2-40B4-BE49-F238E27FC236}">
              <a16:creationId xmlns:a16="http://schemas.microsoft.com/office/drawing/2014/main" id="{F3CBF535-A384-4FA0-862B-1706C6B095A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7" name="TextBox 7">
          <a:extLst>
            <a:ext uri="{FF2B5EF4-FFF2-40B4-BE49-F238E27FC236}">
              <a16:creationId xmlns:a16="http://schemas.microsoft.com/office/drawing/2014/main" id="{60FF110D-F7DA-45A1-9F0B-EBB6D9528E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8" name="TextBox 8">
          <a:extLst>
            <a:ext uri="{FF2B5EF4-FFF2-40B4-BE49-F238E27FC236}">
              <a16:creationId xmlns:a16="http://schemas.microsoft.com/office/drawing/2014/main" id="{DB857019-26F2-4B36-9CEB-244E35F618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9" name="TextBox 4">
          <a:extLst>
            <a:ext uri="{FF2B5EF4-FFF2-40B4-BE49-F238E27FC236}">
              <a16:creationId xmlns:a16="http://schemas.microsoft.com/office/drawing/2014/main" id="{25F5B396-52C1-4A10-81E2-12A46CD1DF1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0" name="TextBox 7">
          <a:extLst>
            <a:ext uri="{FF2B5EF4-FFF2-40B4-BE49-F238E27FC236}">
              <a16:creationId xmlns:a16="http://schemas.microsoft.com/office/drawing/2014/main" id="{FFF3491D-2176-4EEA-83B1-5B9CB58475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1" name="TextBox 8">
          <a:extLst>
            <a:ext uri="{FF2B5EF4-FFF2-40B4-BE49-F238E27FC236}">
              <a16:creationId xmlns:a16="http://schemas.microsoft.com/office/drawing/2014/main" id="{E8940BAC-6A0C-4780-81AA-CB3F415D2A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48AC0840-9F15-4237-A6C5-A177BB9A7D8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3" name="TextBox 7">
          <a:extLst>
            <a:ext uri="{FF2B5EF4-FFF2-40B4-BE49-F238E27FC236}">
              <a16:creationId xmlns:a16="http://schemas.microsoft.com/office/drawing/2014/main" id="{E10E48C0-8CB6-473B-98E5-77B9B99291A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4" name="TextBox 8">
          <a:extLst>
            <a:ext uri="{FF2B5EF4-FFF2-40B4-BE49-F238E27FC236}">
              <a16:creationId xmlns:a16="http://schemas.microsoft.com/office/drawing/2014/main" id="{232BEB4D-B085-4A97-8C19-B9773B8E740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5" name="TextBox 4">
          <a:extLst>
            <a:ext uri="{FF2B5EF4-FFF2-40B4-BE49-F238E27FC236}">
              <a16:creationId xmlns:a16="http://schemas.microsoft.com/office/drawing/2014/main" id="{176A583F-60A0-4E2A-A6F3-338FDFF552A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6" name="TextBox 7">
          <a:extLst>
            <a:ext uri="{FF2B5EF4-FFF2-40B4-BE49-F238E27FC236}">
              <a16:creationId xmlns:a16="http://schemas.microsoft.com/office/drawing/2014/main" id="{EAB3AC9B-F411-44F3-9E5E-AEFFED22C16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7" name="TextBox 8">
          <a:extLst>
            <a:ext uri="{FF2B5EF4-FFF2-40B4-BE49-F238E27FC236}">
              <a16:creationId xmlns:a16="http://schemas.microsoft.com/office/drawing/2014/main" id="{A3A9AD6B-90E1-4D89-A039-9FFF7D2EA16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8" name="TextBox 4">
          <a:extLst>
            <a:ext uri="{FF2B5EF4-FFF2-40B4-BE49-F238E27FC236}">
              <a16:creationId xmlns:a16="http://schemas.microsoft.com/office/drawing/2014/main" id="{D7E74574-4413-4ABF-8067-E185C32EDE4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9" name="TextBox 7">
          <a:extLst>
            <a:ext uri="{FF2B5EF4-FFF2-40B4-BE49-F238E27FC236}">
              <a16:creationId xmlns:a16="http://schemas.microsoft.com/office/drawing/2014/main" id="{8DB12C6C-3974-4D12-8FA4-9B16CAF1156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0" name="TextBox 8">
          <a:extLst>
            <a:ext uri="{FF2B5EF4-FFF2-40B4-BE49-F238E27FC236}">
              <a16:creationId xmlns:a16="http://schemas.microsoft.com/office/drawing/2014/main" id="{ECEE6020-C6F4-402C-8304-8A120F968B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1" name="TextBox 4">
          <a:extLst>
            <a:ext uri="{FF2B5EF4-FFF2-40B4-BE49-F238E27FC236}">
              <a16:creationId xmlns:a16="http://schemas.microsoft.com/office/drawing/2014/main" id="{FB9B93C9-2CF5-41C2-8272-E534CB827B0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2" name="TextBox 7">
          <a:extLst>
            <a:ext uri="{FF2B5EF4-FFF2-40B4-BE49-F238E27FC236}">
              <a16:creationId xmlns:a16="http://schemas.microsoft.com/office/drawing/2014/main" id="{E1BCE1CE-2C7C-4AE0-8E70-4A1BE0A0E11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3" name="TextBox 8">
          <a:extLst>
            <a:ext uri="{FF2B5EF4-FFF2-40B4-BE49-F238E27FC236}">
              <a16:creationId xmlns:a16="http://schemas.microsoft.com/office/drawing/2014/main" id="{7CCB9007-B149-4D0F-ADC8-3D0AE0ECED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56114067-AAF5-4A17-BEDC-AE782D27511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278083D0-12E7-4E4B-8194-F2F8E5805C5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834EDF13-8205-439C-9F6C-A0678678C3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7" name="TextBox 4">
          <a:extLst>
            <a:ext uri="{FF2B5EF4-FFF2-40B4-BE49-F238E27FC236}">
              <a16:creationId xmlns:a16="http://schemas.microsoft.com/office/drawing/2014/main" id="{D8E8AB43-B62A-4557-8BC0-0F61DF16FD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8" name="TextBox 7">
          <a:extLst>
            <a:ext uri="{FF2B5EF4-FFF2-40B4-BE49-F238E27FC236}">
              <a16:creationId xmlns:a16="http://schemas.microsoft.com/office/drawing/2014/main" id="{6FDC4ADA-A2F5-4C99-B88A-3309C94EC67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9" name="TextBox 8">
          <a:extLst>
            <a:ext uri="{FF2B5EF4-FFF2-40B4-BE49-F238E27FC236}">
              <a16:creationId xmlns:a16="http://schemas.microsoft.com/office/drawing/2014/main" id="{9A53DB9C-8F39-4AA5-9FC0-B437A47DA62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0" name="TextBox 4">
          <a:extLst>
            <a:ext uri="{FF2B5EF4-FFF2-40B4-BE49-F238E27FC236}">
              <a16:creationId xmlns:a16="http://schemas.microsoft.com/office/drawing/2014/main" id="{107D4830-D328-48DA-8E54-D0F59B3203D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1" name="TextBox 7">
          <a:extLst>
            <a:ext uri="{FF2B5EF4-FFF2-40B4-BE49-F238E27FC236}">
              <a16:creationId xmlns:a16="http://schemas.microsoft.com/office/drawing/2014/main" id="{B93D61C7-67B7-4A1E-AD94-05843D82C26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2" name="TextBox 8">
          <a:extLst>
            <a:ext uri="{FF2B5EF4-FFF2-40B4-BE49-F238E27FC236}">
              <a16:creationId xmlns:a16="http://schemas.microsoft.com/office/drawing/2014/main" id="{205B8D35-19B0-4622-A4BF-E22E7D97B0E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3" name="TextBox 4">
          <a:extLst>
            <a:ext uri="{FF2B5EF4-FFF2-40B4-BE49-F238E27FC236}">
              <a16:creationId xmlns:a16="http://schemas.microsoft.com/office/drawing/2014/main" id="{A5558EFE-784D-453D-9382-9F38A3C15C6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4" name="TextBox 7">
          <a:extLst>
            <a:ext uri="{FF2B5EF4-FFF2-40B4-BE49-F238E27FC236}">
              <a16:creationId xmlns:a16="http://schemas.microsoft.com/office/drawing/2014/main" id="{C94CD2F3-8C2B-4DDF-A0C1-12CD887748D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5" name="TextBox 8">
          <a:extLst>
            <a:ext uri="{FF2B5EF4-FFF2-40B4-BE49-F238E27FC236}">
              <a16:creationId xmlns:a16="http://schemas.microsoft.com/office/drawing/2014/main" id="{E6198D84-E0D3-4342-9C8C-2A5C96D0DBF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132A651F-C34C-45D3-9942-F35ECC011F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FC1DEC87-F89C-42D9-ABCA-F6C97F2C4E3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EC3C7EF8-8BF8-4FA9-A98A-D2FC167C91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9" name="TextBox 4">
          <a:extLst>
            <a:ext uri="{FF2B5EF4-FFF2-40B4-BE49-F238E27FC236}">
              <a16:creationId xmlns:a16="http://schemas.microsoft.com/office/drawing/2014/main" id="{15DFD4DA-FF09-4CBB-9DA7-B842709509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0" name="TextBox 7">
          <a:extLst>
            <a:ext uri="{FF2B5EF4-FFF2-40B4-BE49-F238E27FC236}">
              <a16:creationId xmlns:a16="http://schemas.microsoft.com/office/drawing/2014/main" id="{52F1EFF8-67DF-43B3-895D-7F91C46FB42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1" name="TextBox 8">
          <a:extLst>
            <a:ext uri="{FF2B5EF4-FFF2-40B4-BE49-F238E27FC236}">
              <a16:creationId xmlns:a16="http://schemas.microsoft.com/office/drawing/2014/main" id="{5F8C2D7B-1AC9-41A8-A9B2-CB797B5821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2" name="TextBox 4">
          <a:extLst>
            <a:ext uri="{FF2B5EF4-FFF2-40B4-BE49-F238E27FC236}">
              <a16:creationId xmlns:a16="http://schemas.microsoft.com/office/drawing/2014/main" id="{5F1B9EA1-6D1D-4C59-8578-63E870388E4A}"/>
            </a:ext>
            <a:ext uri="{147F2762-F138-4A5C-976F-8EAC2B608ADB}">
              <a16:predDERef xmlns:a16="http://schemas.microsoft.com/office/drawing/2014/main" pred="{B8A3880D-5BC8-4EEF-9EFB-0C6838120D2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3" name="TextBox 7">
          <a:extLst>
            <a:ext uri="{FF2B5EF4-FFF2-40B4-BE49-F238E27FC236}">
              <a16:creationId xmlns:a16="http://schemas.microsoft.com/office/drawing/2014/main" id="{329A3206-51AB-492B-BD73-5F23306AB674}"/>
            </a:ext>
            <a:ext uri="{147F2762-F138-4A5C-976F-8EAC2B608ADB}">
              <a16:predDERef xmlns:a16="http://schemas.microsoft.com/office/drawing/2014/main" pred="{17285612-0D98-4389-92E6-9D68B13325C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4" name="TextBox 8">
          <a:extLst>
            <a:ext uri="{FF2B5EF4-FFF2-40B4-BE49-F238E27FC236}">
              <a16:creationId xmlns:a16="http://schemas.microsoft.com/office/drawing/2014/main" id="{6F4CB962-F878-4A4F-9A46-FA20E6F000E7}"/>
            </a:ext>
            <a:ext uri="{147F2762-F138-4A5C-976F-8EAC2B608ADB}">
              <a16:predDERef xmlns:a16="http://schemas.microsoft.com/office/drawing/2014/main" pred="{99A87C9D-D133-41BA-97C9-7C491C88E29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5" name="TextBox 4">
          <a:extLst>
            <a:ext uri="{FF2B5EF4-FFF2-40B4-BE49-F238E27FC236}">
              <a16:creationId xmlns:a16="http://schemas.microsoft.com/office/drawing/2014/main" id="{9CC6FFB7-9853-4E66-B78F-F36F1D898352}"/>
            </a:ext>
            <a:ext uri="{147F2762-F138-4A5C-976F-8EAC2B608ADB}">
              <a16:predDERef xmlns:a16="http://schemas.microsoft.com/office/drawing/2014/main" pred="{B6DF5992-D63F-4052-A6BD-8FD27E98654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6" name="TextBox 7">
          <a:extLst>
            <a:ext uri="{FF2B5EF4-FFF2-40B4-BE49-F238E27FC236}">
              <a16:creationId xmlns:a16="http://schemas.microsoft.com/office/drawing/2014/main" id="{9A88C12D-1E94-4011-BFD0-2206B36211CE}"/>
            </a:ext>
            <a:ext uri="{147F2762-F138-4A5C-976F-8EAC2B608ADB}">
              <a16:predDERef xmlns:a16="http://schemas.microsoft.com/office/drawing/2014/main" pred="{5E79FBD3-C415-4D0E-A6AF-5E1B157F6C6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7" name="TextBox 8">
          <a:extLst>
            <a:ext uri="{FF2B5EF4-FFF2-40B4-BE49-F238E27FC236}">
              <a16:creationId xmlns:a16="http://schemas.microsoft.com/office/drawing/2014/main" id="{64034E64-53A5-4971-BE16-E693EAF59318}"/>
            </a:ext>
            <a:ext uri="{147F2762-F138-4A5C-976F-8EAC2B608ADB}">
              <a16:predDERef xmlns:a16="http://schemas.microsoft.com/office/drawing/2014/main" pred="{8C368587-1122-4F17-B56A-8914260491F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8" name="TextBox 4">
          <a:extLst>
            <a:ext uri="{FF2B5EF4-FFF2-40B4-BE49-F238E27FC236}">
              <a16:creationId xmlns:a16="http://schemas.microsoft.com/office/drawing/2014/main" id="{99D8864A-7CBD-4568-9312-6E400328761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9" name="TextBox 7">
          <a:extLst>
            <a:ext uri="{FF2B5EF4-FFF2-40B4-BE49-F238E27FC236}">
              <a16:creationId xmlns:a16="http://schemas.microsoft.com/office/drawing/2014/main" id="{5CCD43FB-514A-4ED7-800E-92CCB88E8E5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0" name="TextBox 8">
          <a:extLst>
            <a:ext uri="{FF2B5EF4-FFF2-40B4-BE49-F238E27FC236}">
              <a16:creationId xmlns:a16="http://schemas.microsoft.com/office/drawing/2014/main" id="{806E01BF-CF02-4DE9-875A-466A3D4792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1" name="TextBox 4">
          <a:extLst>
            <a:ext uri="{FF2B5EF4-FFF2-40B4-BE49-F238E27FC236}">
              <a16:creationId xmlns:a16="http://schemas.microsoft.com/office/drawing/2014/main" id="{7A126AD6-C723-409A-8180-DB6D3868665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2" name="TextBox 7">
          <a:extLst>
            <a:ext uri="{FF2B5EF4-FFF2-40B4-BE49-F238E27FC236}">
              <a16:creationId xmlns:a16="http://schemas.microsoft.com/office/drawing/2014/main" id="{781F83D2-FAD9-4946-B626-A15AB3057CF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3" name="TextBox 8">
          <a:extLst>
            <a:ext uri="{FF2B5EF4-FFF2-40B4-BE49-F238E27FC236}">
              <a16:creationId xmlns:a16="http://schemas.microsoft.com/office/drawing/2014/main" id="{1B55F05E-B829-4D2A-AAA1-D241A769422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4" name="TextBox 4">
          <a:extLst>
            <a:ext uri="{FF2B5EF4-FFF2-40B4-BE49-F238E27FC236}">
              <a16:creationId xmlns:a16="http://schemas.microsoft.com/office/drawing/2014/main" id="{71E27852-29F4-4ED3-98D2-B5D68FEB3F7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5" name="TextBox 7">
          <a:extLst>
            <a:ext uri="{FF2B5EF4-FFF2-40B4-BE49-F238E27FC236}">
              <a16:creationId xmlns:a16="http://schemas.microsoft.com/office/drawing/2014/main" id="{0C99892D-F7D8-4E93-A52F-AE7041CD339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6" name="TextBox 8">
          <a:extLst>
            <a:ext uri="{FF2B5EF4-FFF2-40B4-BE49-F238E27FC236}">
              <a16:creationId xmlns:a16="http://schemas.microsoft.com/office/drawing/2014/main" id="{1C0D6597-D2D8-4D96-AA41-4AE7B9CA523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725DA9C4-96AB-421C-9F74-C92205B69A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8" name="TextBox 7">
          <a:extLst>
            <a:ext uri="{FF2B5EF4-FFF2-40B4-BE49-F238E27FC236}">
              <a16:creationId xmlns:a16="http://schemas.microsoft.com/office/drawing/2014/main" id="{424F6476-6B80-423F-890B-13E42EE605F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9" name="TextBox 8">
          <a:extLst>
            <a:ext uri="{FF2B5EF4-FFF2-40B4-BE49-F238E27FC236}">
              <a16:creationId xmlns:a16="http://schemas.microsoft.com/office/drawing/2014/main" id="{C4CAFDE0-40A6-426D-9C26-ADB9EBB76E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0" name="TextBox 4">
          <a:extLst>
            <a:ext uri="{FF2B5EF4-FFF2-40B4-BE49-F238E27FC236}">
              <a16:creationId xmlns:a16="http://schemas.microsoft.com/office/drawing/2014/main" id="{4E47871A-277C-420D-884C-B26B45DF70B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1" name="TextBox 7">
          <a:extLst>
            <a:ext uri="{FF2B5EF4-FFF2-40B4-BE49-F238E27FC236}">
              <a16:creationId xmlns:a16="http://schemas.microsoft.com/office/drawing/2014/main" id="{E3BDFC8F-D72A-484F-83FE-85709214F76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2" name="TextBox 8">
          <a:extLst>
            <a:ext uri="{FF2B5EF4-FFF2-40B4-BE49-F238E27FC236}">
              <a16:creationId xmlns:a16="http://schemas.microsoft.com/office/drawing/2014/main" id="{961240A4-228F-4C27-868D-6A3F3956318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3" name="TextBox 4">
          <a:extLst>
            <a:ext uri="{FF2B5EF4-FFF2-40B4-BE49-F238E27FC236}">
              <a16:creationId xmlns:a16="http://schemas.microsoft.com/office/drawing/2014/main" id="{AF1E03FD-4EAC-4ECD-BF20-D2ECF6D841F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4" name="TextBox 7">
          <a:extLst>
            <a:ext uri="{FF2B5EF4-FFF2-40B4-BE49-F238E27FC236}">
              <a16:creationId xmlns:a16="http://schemas.microsoft.com/office/drawing/2014/main" id="{EAA9162C-9D08-4E15-8895-8AE652EB2EB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5" name="TextBox 8">
          <a:extLst>
            <a:ext uri="{FF2B5EF4-FFF2-40B4-BE49-F238E27FC236}">
              <a16:creationId xmlns:a16="http://schemas.microsoft.com/office/drawing/2014/main" id="{6C195A98-7A19-49D0-A0CF-9FF5FBC2C50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6" name="TextBox 4">
          <a:extLst>
            <a:ext uri="{FF2B5EF4-FFF2-40B4-BE49-F238E27FC236}">
              <a16:creationId xmlns:a16="http://schemas.microsoft.com/office/drawing/2014/main" id="{849B5302-23D6-42EA-B965-6FEC9C00A0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7" name="TextBox 7">
          <a:extLst>
            <a:ext uri="{FF2B5EF4-FFF2-40B4-BE49-F238E27FC236}">
              <a16:creationId xmlns:a16="http://schemas.microsoft.com/office/drawing/2014/main" id="{10589A4F-455F-499A-9F60-1E2E50E63B5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8" name="TextBox 8">
          <a:extLst>
            <a:ext uri="{FF2B5EF4-FFF2-40B4-BE49-F238E27FC236}">
              <a16:creationId xmlns:a16="http://schemas.microsoft.com/office/drawing/2014/main" id="{7B81B603-6473-4554-89C8-C956C0055E6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64AF86FD-24EC-4B9E-9102-B31B041CBE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21655920-597F-44BC-9980-53B26587E68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3B4EA09E-7012-492D-9125-07864DD2D6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2" name="TextBox 4">
          <a:extLst>
            <a:ext uri="{FF2B5EF4-FFF2-40B4-BE49-F238E27FC236}">
              <a16:creationId xmlns:a16="http://schemas.microsoft.com/office/drawing/2014/main" id="{102DD5C4-109A-484E-8ADB-07833FAD01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3" name="TextBox 7">
          <a:extLst>
            <a:ext uri="{FF2B5EF4-FFF2-40B4-BE49-F238E27FC236}">
              <a16:creationId xmlns:a16="http://schemas.microsoft.com/office/drawing/2014/main" id="{177F02F9-8868-4743-97B3-BB57EF509AF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4" name="TextBox 8">
          <a:extLst>
            <a:ext uri="{FF2B5EF4-FFF2-40B4-BE49-F238E27FC236}">
              <a16:creationId xmlns:a16="http://schemas.microsoft.com/office/drawing/2014/main" id="{7EC072EA-7D70-40E4-AAC5-745C392C0C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5" name="TextBox 4">
          <a:extLst>
            <a:ext uri="{FF2B5EF4-FFF2-40B4-BE49-F238E27FC236}">
              <a16:creationId xmlns:a16="http://schemas.microsoft.com/office/drawing/2014/main" id="{7522B78B-9856-4E35-86FB-9CC3B94A35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6" name="TextBox 7">
          <a:extLst>
            <a:ext uri="{FF2B5EF4-FFF2-40B4-BE49-F238E27FC236}">
              <a16:creationId xmlns:a16="http://schemas.microsoft.com/office/drawing/2014/main" id="{845866E3-7BBD-4483-A16C-3E17CCDEA2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7" name="TextBox 8">
          <a:extLst>
            <a:ext uri="{FF2B5EF4-FFF2-40B4-BE49-F238E27FC236}">
              <a16:creationId xmlns:a16="http://schemas.microsoft.com/office/drawing/2014/main" id="{7C1F6CF4-6663-4AC0-AC06-1360E79431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8" name="TextBox 4">
          <a:extLst>
            <a:ext uri="{FF2B5EF4-FFF2-40B4-BE49-F238E27FC236}">
              <a16:creationId xmlns:a16="http://schemas.microsoft.com/office/drawing/2014/main" id="{DAD40279-B309-4B37-8899-DCB9A6653B9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9" name="TextBox 7">
          <a:extLst>
            <a:ext uri="{FF2B5EF4-FFF2-40B4-BE49-F238E27FC236}">
              <a16:creationId xmlns:a16="http://schemas.microsoft.com/office/drawing/2014/main" id="{C5CB9A50-8A1F-40D2-A48B-ED71461F486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0" name="TextBox 8">
          <a:extLst>
            <a:ext uri="{FF2B5EF4-FFF2-40B4-BE49-F238E27FC236}">
              <a16:creationId xmlns:a16="http://schemas.microsoft.com/office/drawing/2014/main" id="{B9D83857-6C06-4B36-BC0F-7056A1416EB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3B7E2C2B-ADD0-40C5-A5AE-C77258DA3D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F290D8B5-F253-4DFD-B909-ED90DD7941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E3F590E8-0A62-4E3F-A743-C2BD0B30327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4" name="TextBox 4">
          <a:extLst>
            <a:ext uri="{FF2B5EF4-FFF2-40B4-BE49-F238E27FC236}">
              <a16:creationId xmlns:a16="http://schemas.microsoft.com/office/drawing/2014/main" id="{149564A0-88EF-4A26-84D5-1885EDDFC4B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5" name="TextBox 7">
          <a:extLst>
            <a:ext uri="{FF2B5EF4-FFF2-40B4-BE49-F238E27FC236}">
              <a16:creationId xmlns:a16="http://schemas.microsoft.com/office/drawing/2014/main" id="{4A553413-32E2-48E4-A23D-C3379AAE285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6" name="TextBox 8">
          <a:extLst>
            <a:ext uri="{FF2B5EF4-FFF2-40B4-BE49-F238E27FC236}">
              <a16:creationId xmlns:a16="http://schemas.microsoft.com/office/drawing/2014/main" id="{1490C3D3-8EB9-4E2E-9B80-F0E7EE8DF0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7" name="TextBox 4">
          <a:extLst>
            <a:ext uri="{FF2B5EF4-FFF2-40B4-BE49-F238E27FC236}">
              <a16:creationId xmlns:a16="http://schemas.microsoft.com/office/drawing/2014/main" id="{41CD5237-C716-4873-BB3B-18F1B4C8058C}"/>
            </a:ext>
            <a:ext uri="{147F2762-F138-4A5C-976F-8EAC2B608ADB}">
              <a16:predDERef xmlns:a16="http://schemas.microsoft.com/office/drawing/2014/main" pred="{26D8A035-1F7F-46E3-AFE6-96813BB6DB6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8" name="TextBox 7">
          <a:extLst>
            <a:ext uri="{FF2B5EF4-FFF2-40B4-BE49-F238E27FC236}">
              <a16:creationId xmlns:a16="http://schemas.microsoft.com/office/drawing/2014/main" id="{4237B7F0-81A6-4D11-9F15-E7444C24D411}"/>
            </a:ext>
            <a:ext uri="{147F2762-F138-4A5C-976F-8EAC2B608ADB}">
              <a16:predDERef xmlns:a16="http://schemas.microsoft.com/office/drawing/2014/main" pred="{9D01B51E-E3EE-40CA-9DCF-19FCAE66761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9" name="TextBox 8">
          <a:extLst>
            <a:ext uri="{FF2B5EF4-FFF2-40B4-BE49-F238E27FC236}">
              <a16:creationId xmlns:a16="http://schemas.microsoft.com/office/drawing/2014/main" id="{F4F9D2DA-AE7E-4BA2-9043-AEB2D0BABE8A}"/>
            </a:ext>
            <a:ext uri="{147F2762-F138-4A5C-976F-8EAC2B608ADB}">
              <a16:predDERef xmlns:a16="http://schemas.microsoft.com/office/drawing/2014/main" pred="{43DCE1B5-1635-4006-B473-CD4CA713535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0" name="TextBox 4">
          <a:extLst>
            <a:ext uri="{FF2B5EF4-FFF2-40B4-BE49-F238E27FC236}">
              <a16:creationId xmlns:a16="http://schemas.microsoft.com/office/drawing/2014/main" id="{D3804ED1-4FCA-49FE-91EA-49F69A692D3E}"/>
            </a:ext>
            <a:ext uri="{147F2762-F138-4A5C-976F-8EAC2B608ADB}">
              <a16:predDERef xmlns:a16="http://schemas.microsoft.com/office/drawing/2014/main" pred="{60EB5263-9008-44AF-8640-24B244340B8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1" name="TextBox 7">
          <a:extLst>
            <a:ext uri="{FF2B5EF4-FFF2-40B4-BE49-F238E27FC236}">
              <a16:creationId xmlns:a16="http://schemas.microsoft.com/office/drawing/2014/main" id="{41D05740-00FE-4788-ADAE-42BF99A972ED}"/>
            </a:ext>
            <a:ext uri="{147F2762-F138-4A5C-976F-8EAC2B608ADB}">
              <a16:predDERef xmlns:a16="http://schemas.microsoft.com/office/drawing/2014/main" pred="{86ADC7D7-D675-41A5-A18F-81E9DE643A5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2" name="TextBox 8">
          <a:extLst>
            <a:ext uri="{FF2B5EF4-FFF2-40B4-BE49-F238E27FC236}">
              <a16:creationId xmlns:a16="http://schemas.microsoft.com/office/drawing/2014/main" id="{65B369A9-6BC4-411F-BE1A-9AE1E20A891D}"/>
            </a:ext>
            <a:ext uri="{147F2762-F138-4A5C-976F-8EAC2B608ADB}">
              <a16:predDERef xmlns:a16="http://schemas.microsoft.com/office/drawing/2014/main" pred="{48AD7D56-62A3-41AA-B7B8-10361A18E65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3" name="TextBox 4">
          <a:extLst>
            <a:ext uri="{FF2B5EF4-FFF2-40B4-BE49-F238E27FC236}">
              <a16:creationId xmlns:a16="http://schemas.microsoft.com/office/drawing/2014/main" id="{6BEDD793-3562-4C4F-BA96-A3CE9A3F52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4" name="TextBox 7">
          <a:extLst>
            <a:ext uri="{FF2B5EF4-FFF2-40B4-BE49-F238E27FC236}">
              <a16:creationId xmlns:a16="http://schemas.microsoft.com/office/drawing/2014/main" id="{7CCBA52E-BF8B-4CD5-B515-4EFFB36B55F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5" name="TextBox 8">
          <a:extLst>
            <a:ext uri="{FF2B5EF4-FFF2-40B4-BE49-F238E27FC236}">
              <a16:creationId xmlns:a16="http://schemas.microsoft.com/office/drawing/2014/main" id="{85E62518-2CF9-4F49-B712-5ADCB596135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6" name="TextBox 4">
          <a:extLst>
            <a:ext uri="{FF2B5EF4-FFF2-40B4-BE49-F238E27FC236}">
              <a16:creationId xmlns:a16="http://schemas.microsoft.com/office/drawing/2014/main" id="{1DEE1FBC-3465-4B62-AA67-15261DE56FC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7" name="TextBox 7">
          <a:extLst>
            <a:ext uri="{FF2B5EF4-FFF2-40B4-BE49-F238E27FC236}">
              <a16:creationId xmlns:a16="http://schemas.microsoft.com/office/drawing/2014/main" id="{E411FBB1-BC7C-4DA2-AC33-1383AE5C674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8" name="TextBox 8">
          <a:extLst>
            <a:ext uri="{FF2B5EF4-FFF2-40B4-BE49-F238E27FC236}">
              <a16:creationId xmlns:a16="http://schemas.microsoft.com/office/drawing/2014/main" id="{D5EFCC76-DDCF-484A-A5D6-6D7B91E9644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9" name="TextBox 4">
          <a:extLst>
            <a:ext uri="{FF2B5EF4-FFF2-40B4-BE49-F238E27FC236}">
              <a16:creationId xmlns:a16="http://schemas.microsoft.com/office/drawing/2014/main" id="{57250B7F-63BE-4CB2-809D-DEFE678199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0" name="TextBox 7">
          <a:extLst>
            <a:ext uri="{FF2B5EF4-FFF2-40B4-BE49-F238E27FC236}">
              <a16:creationId xmlns:a16="http://schemas.microsoft.com/office/drawing/2014/main" id="{76A201BD-F881-4E33-9175-AFCB49C49B3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1" name="TextBox 8">
          <a:extLst>
            <a:ext uri="{FF2B5EF4-FFF2-40B4-BE49-F238E27FC236}">
              <a16:creationId xmlns:a16="http://schemas.microsoft.com/office/drawing/2014/main" id="{B1D5AEA4-4B90-4943-9E86-81E1F3C725D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23676234-CEEE-4886-B4AA-3B0BF45CF7E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3" name="TextBox 7">
          <a:extLst>
            <a:ext uri="{FF2B5EF4-FFF2-40B4-BE49-F238E27FC236}">
              <a16:creationId xmlns:a16="http://schemas.microsoft.com/office/drawing/2014/main" id="{299D6070-E7A4-458F-AD90-7268A6A02E9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4" name="TextBox 8">
          <a:extLst>
            <a:ext uri="{FF2B5EF4-FFF2-40B4-BE49-F238E27FC236}">
              <a16:creationId xmlns:a16="http://schemas.microsoft.com/office/drawing/2014/main" id="{1CFE90AC-0B74-4BC9-B0BC-C634AB635C9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5" name="TextBox 4">
          <a:extLst>
            <a:ext uri="{FF2B5EF4-FFF2-40B4-BE49-F238E27FC236}">
              <a16:creationId xmlns:a16="http://schemas.microsoft.com/office/drawing/2014/main" id="{3233173E-538A-4774-B110-7DA4410F0E2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6" name="TextBox 7">
          <a:extLst>
            <a:ext uri="{FF2B5EF4-FFF2-40B4-BE49-F238E27FC236}">
              <a16:creationId xmlns:a16="http://schemas.microsoft.com/office/drawing/2014/main" id="{2F8C74F7-31D8-487A-BA27-3DCE668E23A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7" name="TextBox 8">
          <a:extLst>
            <a:ext uri="{FF2B5EF4-FFF2-40B4-BE49-F238E27FC236}">
              <a16:creationId xmlns:a16="http://schemas.microsoft.com/office/drawing/2014/main" id="{60F8FD40-2C4E-4980-BB4B-8FEAF1AE474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8" name="TextBox 4">
          <a:extLst>
            <a:ext uri="{FF2B5EF4-FFF2-40B4-BE49-F238E27FC236}">
              <a16:creationId xmlns:a16="http://schemas.microsoft.com/office/drawing/2014/main" id="{58D51C7A-03E3-4919-84C1-6984561DDED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9" name="TextBox 7">
          <a:extLst>
            <a:ext uri="{FF2B5EF4-FFF2-40B4-BE49-F238E27FC236}">
              <a16:creationId xmlns:a16="http://schemas.microsoft.com/office/drawing/2014/main" id="{76B909D4-AA4F-4688-977D-BD0A18BE9AD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0" name="TextBox 8">
          <a:extLst>
            <a:ext uri="{FF2B5EF4-FFF2-40B4-BE49-F238E27FC236}">
              <a16:creationId xmlns:a16="http://schemas.microsoft.com/office/drawing/2014/main" id="{85737C23-9201-496C-8D8C-D80FE37692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1" name="TextBox 4">
          <a:extLst>
            <a:ext uri="{FF2B5EF4-FFF2-40B4-BE49-F238E27FC236}">
              <a16:creationId xmlns:a16="http://schemas.microsoft.com/office/drawing/2014/main" id="{8340B6C5-28AD-4107-9FF5-3F0B50A644F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2" name="TextBox 7">
          <a:extLst>
            <a:ext uri="{FF2B5EF4-FFF2-40B4-BE49-F238E27FC236}">
              <a16:creationId xmlns:a16="http://schemas.microsoft.com/office/drawing/2014/main" id="{09E11A95-D1CE-4FBE-9948-B0E6CE9934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3" name="TextBox 8">
          <a:extLst>
            <a:ext uri="{FF2B5EF4-FFF2-40B4-BE49-F238E27FC236}">
              <a16:creationId xmlns:a16="http://schemas.microsoft.com/office/drawing/2014/main" id="{86B7A1D7-35AE-46FD-A917-1082407F591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97911358-9B84-4934-AF25-0CECE3AB03E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A8B5DD0D-9BED-4DC1-B119-E902125E381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70AD5BB2-38A2-4EF8-8FFF-921DFD1887E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7" name="TextBox 4">
          <a:extLst>
            <a:ext uri="{FF2B5EF4-FFF2-40B4-BE49-F238E27FC236}">
              <a16:creationId xmlns:a16="http://schemas.microsoft.com/office/drawing/2014/main" id="{59EB78E8-7D58-4E90-AF29-8C4E0826D3B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8" name="TextBox 7">
          <a:extLst>
            <a:ext uri="{FF2B5EF4-FFF2-40B4-BE49-F238E27FC236}">
              <a16:creationId xmlns:a16="http://schemas.microsoft.com/office/drawing/2014/main" id="{F0D758EE-F309-4BF9-96B4-37AF3107C4F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9" name="TextBox 8">
          <a:extLst>
            <a:ext uri="{FF2B5EF4-FFF2-40B4-BE49-F238E27FC236}">
              <a16:creationId xmlns:a16="http://schemas.microsoft.com/office/drawing/2014/main" id="{F23314A4-FD6A-4E78-8D2B-CB1FF1BA55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0" name="TextBox 4">
          <a:extLst>
            <a:ext uri="{FF2B5EF4-FFF2-40B4-BE49-F238E27FC236}">
              <a16:creationId xmlns:a16="http://schemas.microsoft.com/office/drawing/2014/main" id="{531B8710-39BA-4F96-96B5-DF8D07F924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1" name="TextBox 7">
          <a:extLst>
            <a:ext uri="{FF2B5EF4-FFF2-40B4-BE49-F238E27FC236}">
              <a16:creationId xmlns:a16="http://schemas.microsoft.com/office/drawing/2014/main" id="{5072A37E-0111-4AF2-BAFB-C701DFB1A54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2" name="TextBox 8">
          <a:extLst>
            <a:ext uri="{FF2B5EF4-FFF2-40B4-BE49-F238E27FC236}">
              <a16:creationId xmlns:a16="http://schemas.microsoft.com/office/drawing/2014/main" id="{4731C660-87B7-40FA-BB25-08D8554D67D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3" name="TextBox 4">
          <a:extLst>
            <a:ext uri="{FF2B5EF4-FFF2-40B4-BE49-F238E27FC236}">
              <a16:creationId xmlns:a16="http://schemas.microsoft.com/office/drawing/2014/main" id="{A752D189-419F-4CA4-B64D-52C8DFA3F9E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4" name="TextBox 7">
          <a:extLst>
            <a:ext uri="{FF2B5EF4-FFF2-40B4-BE49-F238E27FC236}">
              <a16:creationId xmlns:a16="http://schemas.microsoft.com/office/drawing/2014/main" id="{EE4949B1-C427-416F-947A-16BAADD7A90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5" name="TextBox 8">
          <a:extLst>
            <a:ext uri="{FF2B5EF4-FFF2-40B4-BE49-F238E27FC236}">
              <a16:creationId xmlns:a16="http://schemas.microsoft.com/office/drawing/2014/main" id="{C7472AA2-7ED4-4CFA-8939-B07637B9A79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00F61E73-EDCB-4E48-93F7-9D473BFB118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37D82778-6979-409D-AC03-DDE0C6922F2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4184AD03-26FC-4BF2-AC61-E0CA15C617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9" name="TextBox 4">
          <a:extLst>
            <a:ext uri="{FF2B5EF4-FFF2-40B4-BE49-F238E27FC236}">
              <a16:creationId xmlns:a16="http://schemas.microsoft.com/office/drawing/2014/main" id="{E02F555F-E5E1-42FA-842B-887998D474D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0" name="TextBox 7">
          <a:extLst>
            <a:ext uri="{FF2B5EF4-FFF2-40B4-BE49-F238E27FC236}">
              <a16:creationId xmlns:a16="http://schemas.microsoft.com/office/drawing/2014/main" id="{DA03F65A-5C53-4C36-81FF-6DA019C4DFA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1" name="TextBox 8">
          <a:extLst>
            <a:ext uri="{FF2B5EF4-FFF2-40B4-BE49-F238E27FC236}">
              <a16:creationId xmlns:a16="http://schemas.microsoft.com/office/drawing/2014/main" id="{528CF0D7-3B25-4202-BC8B-2130BC280B5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2" name="TextBox 4">
          <a:extLst>
            <a:ext uri="{FF2B5EF4-FFF2-40B4-BE49-F238E27FC236}">
              <a16:creationId xmlns:a16="http://schemas.microsoft.com/office/drawing/2014/main" id="{111EB732-94AD-480E-9BF6-D42224141FF9}"/>
            </a:ext>
            <a:ext uri="{147F2762-F138-4A5C-976F-8EAC2B608ADB}">
              <a16:predDERef xmlns:a16="http://schemas.microsoft.com/office/drawing/2014/main" pred="{B8A3880D-5BC8-4EEF-9EFB-0C6838120D2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3" name="TextBox 7">
          <a:extLst>
            <a:ext uri="{FF2B5EF4-FFF2-40B4-BE49-F238E27FC236}">
              <a16:creationId xmlns:a16="http://schemas.microsoft.com/office/drawing/2014/main" id="{F9A368F4-8E52-4055-B266-893B48214C9E}"/>
            </a:ext>
            <a:ext uri="{147F2762-F138-4A5C-976F-8EAC2B608ADB}">
              <a16:predDERef xmlns:a16="http://schemas.microsoft.com/office/drawing/2014/main" pred="{17285612-0D98-4389-92E6-9D68B13325C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4" name="TextBox 8">
          <a:extLst>
            <a:ext uri="{FF2B5EF4-FFF2-40B4-BE49-F238E27FC236}">
              <a16:creationId xmlns:a16="http://schemas.microsoft.com/office/drawing/2014/main" id="{380BA369-EE4A-4BDC-9E99-4218749E869D}"/>
            </a:ext>
            <a:ext uri="{147F2762-F138-4A5C-976F-8EAC2B608ADB}">
              <a16:predDERef xmlns:a16="http://schemas.microsoft.com/office/drawing/2014/main" pred="{99A87C9D-D133-41BA-97C9-7C491C88E29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5" name="TextBox 4">
          <a:extLst>
            <a:ext uri="{FF2B5EF4-FFF2-40B4-BE49-F238E27FC236}">
              <a16:creationId xmlns:a16="http://schemas.microsoft.com/office/drawing/2014/main" id="{6D4DD4D9-AFE5-4D3C-AF98-9D0D73A15358}"/>
            </a:ext>
            <a:ext uri="{147F2762-F138-4A5C-976F-8EAC2B608ADB}">
              <a16:predDERef xmlns:a16="http://schemas.microsoft.com/office/drawing/2014/main" pred="{B6DF5992-D63F-4052-A6BD-8FD27E98654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6" name="TextBox 7">
          <a:extLst>
            <a:ext uri="{FF2B5EF4-FFF2-40B4-BE49-F238E27FC236}">
              <a16:creationId xmlns:a16="http://schemas.microsoft.com/office/drawing/2014/main" id="{D5638246-01E2-43D7-8450-A7C84DF216A0}"/>
            </a:ext>
            <a:ext uri="{147F2762-F138-4A5C-976F-8EAC2B608ADB}">
              <a16:predDERef xmlns:a16="http://schemas.microsoft.com/office/drawing/2014/main" pred="{5E79FBD3-C415-4D0E-A6AF-5E1B157F6C6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7" name="TextBox 8">
          <a:extLst>
            <a:ext uri="{FF2B5EF4-FFF2-40B4-BE49-F238E27FC236}">
              <a16:creationId xmlns:a16="http://schemas.microsoft.com/office/drawing/2014/main" id="{1BDD78FA-4193-40BD-8FA3-EF6B5812DE55}"/>
            </a:ext>
            <a:ext uri="{147F2762-F138-4A5C-976F-8EAC2B608ADB}">
              <a16:predDERef xmlns:a16="http://schemas.microsoft.com/office/drawing/2014/main" pred="{8C368587-1122-4F17-B56A-8914260491F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8" name="TextBox 4">
          <a:extLst>
            <a:ext uri="{FF2B5EF4-FFF2-40B4-BE49-F238E27FC236}">
              <a16:creationId xmlns:a16="http://schemas.microsoft.com/office/drawing/2014/main" id="{E1ED1A80-E0E8-4578-83C2-EDAFF102E23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9" name="TextBox 7">
          <a:extLst>
            <a:ext uri="{FF2B5EF4-FFF2-40B4-BE49-F238E27FC236}">
              <a16:creationId xmlns:a16="http://schemas.microsoft.com/office/drawing/2014/main" id="{2A389005-BE0E-4F0A-AD5D-701FC4F62BF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0" name="TextBox 8">
          <a:extLst>
            <a:ext uri="{FF2B5EF4-FFF2-40B4-BE49-F238E27FC236}">
              <a16:creationId xmlns:a16="http://schemas.microsoft.com/office/drawing/2014/main" id="{3DE2C25F-39D4-4A42-A1A9-EEA2E092BF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1" name="TextBox 4">
          <a:extLst>
            <a:ext uri="{FF2B5EF4-FFF2-40B4-BE49-F238E27FC236}">
              <a16:creationId xmlns:a16="http://schemas.microsoft.com/office/drawing/2014/main" id="{BE2744A1-D9C3-432B-A210-D16E5BC0168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2" name="TextBox 7">
          <a:extLst>
            <a:ext uri="{FF2B5EF4-FFF2-40B4-BE49-F238E27FC236}">
              <a16:creationId xmlns:a16="http://schemas.microsoft.com/office/drawing/2014/main" id="{38C0F150-B117-4066-8484-423FBBA72E3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3" name="TextBox 8">
          <a:extLst>
            <a:ext uri="{FF2B5EF4-FFF2-40B4-BE49-F238E27FC236}">
              <a16:creationId xmlns:a16="http://schemas.microsoft.com/office/drawing/2014/main" id="{37E6063B-C50E-48DE-8CDE-A4FA100CE3D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4" name="TextBox 4">
          <a:extLst>
            <a:ext uri="{FF2B5EF4-FFF2-40B4-BE49-F238E27FC236}">
              <a16:creationId xmlns:a16="http://schemas.microsoft.com/office/drawing/2014/main" id="{F7424953-F23F-4771-92AC-EF49070997B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5" name="TextBox 7">
          <a:extLst>
            <a:ext uri="{FF2B5EF4-FFF2-40B4-BE49-F238E27FC236}">
              <a16:creationId xmlns:a16="http://schemas.microsoft.com/office/drawing/2014/main" id="{CF6F707B-9ACC-4C6C-8810-6207CF8338D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6" name="TextBox 8">
          <a:extLst>
            <a:ext uri="{FF2B5EF4-FFF2-40B4-BE49-F238E27FC236}">
              <a16:creationId xmlns:a16="http://schemas.microsoft.com/office/drawing/2014/main" id="{97B5E364-1B7A-4265-8BD8-3E1D0E85D45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A3ED4324-6D03-4B5B-865B-B9EFCADA8EE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8" name="TextBox 7">
          <a:extLst>
            <a:ext uri="{FF2B5EF4-FFF2-40B4-BE49-F238E27FC236}">
              <a16:creationId xmlns:a16="http://schemas.microsoft.com/office/drawing/2014/main" id="{9FEB891A-DF70-418A-B778-B61DB1FA570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9" name="TextBox 8">
          <a:extLst>
            <a:ext uri="{FF2B5EF4-FFF2-40B4-BE49-F238E27FC236}">
              <a16:creationId xmlns:a16="http://schemas.microsoft.com/office/drawing/2014/main" id="{F6815362-9AAD-47A3-B2B5-EC57F3FEBE1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0" name="TextBox 4">
          <a:extLst>
            <a:ext uri="{FF2B5EF4-FFF2-40B4-BE49-F238E27FC236}">
              <a16:creationId xmlns:a16="http://schemas.microsoft.com/office/drawing/2014/main" id="{226B771D-4555-4093-B840-D6AA7836E99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1" name="TextBox 7">
          <a:extLst>
            <a:ext uri="{FF2B5EF4-FFF2-40B4-BE49-F238E27FC236}">
              <a16:creationId xmlns:a16="http://schemas.microsoft.com/office/drawing/2014/main" id="{C4EA77DB-8ED7-4E96-8424-58B17E251E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2" name="TextBox 8">
          <a:extLst>
            <a:ext uri="{FF2B5EF4-FFF2-40B4-BE49-F238E27FC236}">
              <a16:creationId xmlns:a16="http://schemas.microsoft.com/office/drawing/2014/main" id="{FB7E2CCF-F9B6-4B69-99A7-AC2B942D0C3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3" name="TextBox 4">
          <a:extLst>
            <a:ext uri="{FF2B5EF4-FFF2-40B4-BE49-F238E27FC236}">
              <a16:creationId xmlns:a16="http://schemas.microsoft.com/office/drawing/2014/main" id="{5EBDBCBF-BFB6-4DF6-AF21-FD740A6ED77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4" name="TextBox 7">
          <a:extLst>
            <a:ext uri="{FF2B5EF4-FFF2-40B4-BE49-F238E27FC236}">
              <a16:creationId xmlns:a16="http://schemas.microsoft.com/office/drawing/2014/main" id="{692EE705-445F-4343-A149-DF09FA01919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5" name="TextBox 8">
          <a:extLst>
            <a:ext uri="{FF2B5EF4-FFF2-40B4-BE49-F238E27FC236}">
              <a16:creationId xmlns:a16="http://schemas.microsoft.com/office/drawing/2014/main" id="{80883EE6-CBD6-4D4F-8D9E-CEFD98DB6DF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6" name="TextBox 4">
          <a:extLst>
            <a:ext uri="{FF2B5EF4-FFF2-40B4-BE49-F238E27FC236}">
              <a16:creationId xmlns:a16="http://schemas.microsoft.com/office/drawing/2014/main" id="{48C174AF-C6AD-4163-9788-F6823E76752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7" name="TextBox 7">
          <a:extLst>
            <a:ext uri="{FF2B5EF4-FFF2-40B4-BE49-F238E27FC236}">
              <a16:creationId xmlns:a16="http://schemas.microsoft.com/office/drawing/2014/main" id="{F8AC9893-9F0C-4D3D-A4DE-5DB1FA24B8E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8" name="TextBox 8">
          <a:extLst>
            <a:ext uri="{FF2B5EF4-FFF2-40B4-BE49-F238E27FC236}">
              <a16:creationId xmlns:a16="http://schemas.microsoft.com/office/drawing/2014/main" id="{F1DC8080-DF7B-4359-8A9C-15A72E5C569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0C3B6B5C-596A-4114-A147-A584AA0F0A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9949F694-F5B9-4FF1-A59C-E9F4477A999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DD4FAA0B-619B-41A3-86E8-C59453801FD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2" name="TextBox 4">
          <a:extLst>
            <a:ext uri="{FF2B5EF4-FFF2-40B4-BE49-F238E27FC236}">
              <a16:creationId xmlns:a16="http://schemas.microsoft.com/office/drawing/2014/main" id="{8CC11B3B-88A7-47B4-8B6C-4AAE9EF427A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3" name="TextBox 7">
          <a:extLst>
            <a:ext uri="{FF2B5EF4-FFF2-40B4-BE49-F238E27FC236}">
              <a16:creationId xmlns:a16="http://schemas.microsoft.com/office/drawing/2014/main" id="{DE919C43-7B10-450A-A9A5-F775F4D25C9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4" name="TextBox 8">
          <a:extLst>
            <a:ext uri="{FF2B5EF4-FFF2-40B4-BE49-F238E27FC236}">
              <a16:creationId xmlns:a16="http://schemas.microsoft.com/office/drawing/2014/main" id="{0E059D38-1E40-4973-8FDD-BE44D3BF3F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5" name="TextBox 4">
          <a:extLst>
            <a:ext uri="{FF2B5EF4-FFF2-40B4-BE49-F238E27FC236}">
              <a16:creationId xmlns:a16="http://schemas.microsoft.com/office/drawing/2014/main" id="{97A7A58A-A19B-47F2-BEE2-E0371D993D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6" name="TextBox 7">
          <a:extLst>
            <a:ext uri="{FF2B5EF4-FFF2-40B4-BE49-F238E27FC236}">
              <a16:creationId xmlns:a16="http://schemas.microsoft.com/office/drawing/2014/main" id="{2898B5F3-699A-425D-9FEB-D27A97647A1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7" name="TextBox 8">
          <a:extLst>
            <a:ext uri="{FF2B5EF4-FFF2-40B4-BE49-F238E27FC236}">
              <a16:creationId xmlns:a16="http://schemas.microsoft.com/office/drawing/2014/main" id="{FD5CC0F6-158A-47E3-86F7-73EFBBC76BC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8" name="TextBox 4">
          <a:extLst>
            <a:ext uri="{FF2B5EF4-FFF2-40B4-BE49-F238E27FC236}">
              <a16:creationId xmlns:a16="http://schemas.microsoft.com/office/drawing/2014/main" id="{0767B06B-D83E-4D5C-81EC-52C2CFD6C25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9" name="TextBox 7">
          <a:extLst>
            <a:ext uri="{FF2B5EF4-FFF2-40B4-BE49-F238E27FC236}">
              <a16:creationId xmlns:a16="http://schemas.microsoft.com/office/drawing/2014/main" id="{E2421C80-DFBB-4EFD-9D80-2A5759833A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0" name="TextBox 8">
          <a:extLst>
            <a:ext uri="{FF2B5EF4-FFF2-40B4-BE49-F238E27FC236}">
              <a16:creationId xmlns:a16="http://schemas.microsoft.com/office/drawing/2014/main" id="{D6DFF32B-EA65-44EE-8AF5-0C415CC6315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287C438E-8344-42E7-A6C5-4659CB49161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2860F228-D375-4940-95D5-BE138C363DD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7743B693-34F4-43E0-B31F-1D4957A63E3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2500-00000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2500-00000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00000000-0008-0000-2500-00000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7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B83035-198A-4EFE-A11E-CFEC80661D68}"/>
            </a:ext>
            <a:ext uri="{147F2762-F138-4A5C-976F-8EAC2B608ADB}">
              <a16:predDERef xmlns:a16="http://schemas.microsoft.com/office/drawing/2014/main" pred="{00000000-0008-0000-2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107224</xdr:colOff>
      <xdr:row>1</xdr:row>
      <xdr:rowOff>143420</xdr:rowOff>
    </xdr:from>
    <xdr:to>
      <xdr:col>8</xdr:col>
      <xdr:colOff>952586</xdr:colOff>
      <xdr:row>4</xdr:row>
      <xdr:rowOff>44360</xdr:rowOff>
    </xdr:to>
    <xdr:pic>
      <xdr:nvPicPr>
        <xdr:cNvPr id="8" name="Picture 4" descr="VIAGS xanh">
          <a:extLst>
            <a:ext uri="{FF2B5EF4-FFF2-40B4-BE49-F238E27FC236}">
              <a16:creationId xmlns:a16="http://schemas.microsoft.com/office/drawing/2014/main" id="{1AB54B6C-F9E5-4CA1-909D-CDE30FF09A23}"/>
            </a:ext>
            <a:ext uri="{147F2762-F138-4A5C-976F-8EAC2B608ADB}">
              <a16:predDERef xmlns:a16="http://schemas.microsoft.com/office/drawing/2014/main" pred="{C3B83035-198A-4EFE-A11E-CFEC80661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624" y="252277"/>
          <a:ext cx="1933933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E38ACC6C-1053-4149-AB97-E7D31B9C73B0}"/>
            </a:ext>
            <a:ext uri="{147F2762-F138-4A5C-976F-8EAC2B608ADB}">
              <a16:predDERef xmlns:a16="http://schemas.microsoft.com/office/drawing/2014/main" pred="{EBE3E378-5144-4F6A-BD04-6C1FF2C4288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B7F53EF0-8A9E-45CE-83FA-C067F2C13AB8}"/>
            </a:ext>
            <a:ext uri="{147F2762-F138-4A5C-976F-8EAC2B608ADB}">
              <a16:predDERef xmlns:a16="http://schemas.microsoft.com/office/drawing/2014/main" pred="{E38ACC6C-1053-4149-AB97-E7D31B9C73B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09642509-5327-49A9-909D-D4C19E8B866B}"/>
            </a:ext>
            <a:ext uri="{147F2762-F138-4A5C-976F-8EAC2B608ADB}">
              <a16:predDERef xmlns:a16="http://schemas.microsoft.com/office/drawing/2014/main" pred="{B7F53EF0-8A9E-45CE-83FA-C067F2C13AB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5FC5EBAF-4669-4B7B-BCC4-93005B916707}"/>
            </a:ext>
            <a:ext uri="{147F2762-F138-4A5C-976F-8EAC2B608ADB}">
              <a16:predDERef xmlns:a16="http://schemas.microsoft.com/office/drawing/2014/main" pred="{09642509-5327-49A9-909D-D4C19E8B866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1FFCE752-542B-4A7A-94C9-67D7A549A373}"/>
            </a:ext>
            <a:ext uri="{147F2762-F138-4A5C-976F-8EAC2B608ADB}">
              <a16:predDERef xmlns:a16="http://schemas.microsoft.com/office/drawing/2014/main" pred="{5FC5EBAF-4669-4B7B-BCC4-93005B91670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C7175974-985E-46AB-B7E0-5155F5A85962}"/>
            </a:ext>
            <a:ext uri="{147F2762-F138-4A5C-976F-8EAC2B608ADB}">
              <a16:predDERef xmlns:a16="http://schemas.microsoft.com/office/drawing/2014/main" pred="{1FFCE752-542B-4A7A-94C9-67D7A549A37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BE6ECA71-8D56-4840-B04A-DFE46F8F05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2A93CB79-092E-4909-82C3-C496D953AC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4C7AA236-8AD8-4579-8599-3CD83D34BE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D3611743-65C7-4180-8944-86782EBB669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EAF437B9-41CF-4DDA-A750-6708A5A8EE8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3C377C64-BB45-4EC1-BA38-4953D207ECF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BB09D3DA-E9EC-4374-80CE-68DC83F1E4A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29E0545D-294A-451F-987F-FACCDD739B7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372C5F22-16F4-4805-A03B-AD94475D25D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7B9F3AB-50D5-4224-A82F-28B366E102D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E56F6165-3B5B-46C8-BE25-FE855A7C3F1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A17E1E77-08D8-433D-9125-0266B027F9A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5F644C3C-EE08-48DD-83B7-4D4E14EEFFA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94F2F1B7-4181-4D8C-A79B-2D0778C9F86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9FEA2A00-9455-4493-8B08-3D4EA989278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02B0F6F6-1F28-40BE-BBE9-AA6EE77E469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BDDD3B25-AF35-484A-B792-F6A6BC86E52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AA1EE29D-D478-4E0F-9753-EA5FB7805B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57620633-FB4A-4D15-B09B-FE032283F6D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00D780A2-C235-48BE-A58F-25CF249AC3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34BCE833-F4D3-46C8-BF82-62ED6D18F53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E6F0794-AF33-4F39-AF91-CE0D55FC83F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B169FE2-AAC3-47DE-B6B4-FABECDC301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C53927DF-CD46-43FF-B0D3-108804013DD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E7E00C7B-A451-456A-9041-3EC0A3C0188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1B9CD8EA-2601-4F20-9890-E68897436D4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CEECDA71-972F-469A-80AD-BFF647D593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09F46A42-F49F-4034-B8C6-619AABDF2C8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E3FD9484-187A-4A44-AFCD-0173F3F9D7B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8E5E3556-76F7-45C0-A05E-A472810A7B4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D77E7AC4-98CB-451D-9F35-CE3625E0857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19FBCEAF-7604-4F96-BB4E-BE4541221ED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A2D38F76-C86E-417E-A456-8AD40CD128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A33A9188-1ED6-4370-A7CD-AE0D93CA31C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BC2D6953-B6D2-4B41-B714-87EA14EFA01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5757AE3-0238-4226-9EC6-E50030D9E2C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B6B216E-F2DA-4C20-8B16-585BFA00596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5CF6B40D-23CE-447B-87DF-03A28B18315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0735DEF-8035-4190-B9CD-F7E6FA260E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6950AB8A-2124-4A3E-BC61-54027F8D9F91}"/>
            </a:ext>
            <a:ext uri="{147F2762-F138-4A5C-976F-8EAC2B608ADB}">
              <a16:predDERef xmlns:a16="http://schemas.microsoft.com/office/drawing/2014/main" pred="{DB587304-7A18-4F9C-B1D6-C0E8A0E808A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E9293496-4DA0-47DC-9209-3B993785C48E}"/>
            </a:ext>
            <a:ext uri="{147F2762-F138-4A5C-976F-8EAC2B608ADB}">
              <a16:predDERef xmlns:a16="http://schemas.microsoft.com/office/drawing/2014/main" pred="{E3F373A5-59D2-428B-9124-C981F5191B3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82691C62-134C-40B8-85B1-099EC0875510}"/>
            </a:ext>
            <a:ext uri="{147F2762-F138-4A5C-976F-8EAC2B608ADB}">
              <a16:predDERef xmlns:a16="http://schemas.microsoft.com/office/drawing/2014/main" pred="{695283CA-5B9D-4423-9B51-027A29AD3DE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302AC3DE-BC8F-4AB7-B17E-5598EA5FB144}"/>
            </a:ext>
            <a:ext uri="{147F2762-F138-4A5C-976F-8EAC2B608ADB}">
              <a16:predDERef xmlns:a16="http://schemas.microsoft.com/office/drawing/2014/main" pred="{78394430-1367-4B41-AB9A-50F7C9F5381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0B7B2E69-C3E6-44F4-81B2-C671E9D7E40B}"/>
            </a:ext>
            <a:ext uri="{147F2762-F138-4A5C-976F-8EAC2B608ADB}">
              <a16:predDERef xmlns:a16="http://schemas.microsoft.com/office/drawing/2014/main" pred="{F0CAC723-913A-43C9-861D-4C01C0C20B9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C231CAC9-4447-49B7-8170-6032ABEBB570}"/>
            </a:ext>
            <a:ext uri="{147F2762-F138-4A5C-976F-8EAC2B608ADB}">
              <a16:predDERef xmlns:a16="http://schemas.microsoft.com/office/drawing/2014/main" pred="{89F181BD-712C-4CEE-9927-F4BB6E0C780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0AC63182-FB16-4F00-8B88-DACECB1150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953CC28E-F577-4519-A6F0-1B02D291576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B473820D-88FB-4C3D-9D01-477DED9B3E2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45E15711-80F8-4DAF-A138-1CD983A1F90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A39AB2A7-A2CC-4DA8-8F90-B71B55F5B07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72E10726-7C46-4886-8539-B9C9F937757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F27444A3-8D66-49C2-8A1A-4330C09A84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546C3EA7-1781-4876-9997-957FB937CE2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B98B73F3-5EAC-4A9A-B2E0-E4BF15EF26B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33A67EA-9365-435B-8998-08E7992115D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E2753F2A-0DA1-479F-8AC1-87730D2517D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0B56A459-ED63-43E8-A7F4-B8F7C0DDC3C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C04BA554-C8BD-44AE-B844-2EF545B1F40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24AC90F9-5990-4178-A304-97EF37B8205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86F30BEE-1864-4C34-8C0F-7822FE2C7E7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4">
          <a:extLst>
            <a:ext uri="{FF2B5EF4-FFF2-40B4-BE49-F238E27FC236}">
              <a16:creationId xmlns:a16="http://schemas.microsoft.com/office/drawing/2014/main" id="{33369C80-3F79-44FA-A5B7-AB430FC1B6C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">
          <a:extLst>
            <a:ext uri="{FF2B5EF4-FFF2-40B4-BE49-F238E27FC236}">
              <a16:creationId xmlns:a16="http://schemas.microsoft.com/office/drawing/2014/main" id="{C8F6F84D-CDB8-4EFF-B665-26B77E6F83F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8">
          <a:extLst>
            <a:ext uri="{FF2B5EF4-FFF2-40B4-BE49-F238E27FC236}">
              <a16:creationId xmlns:a16="http://schemas.microsoft.com/office/drawing/2014/main" id="{385CD048-42AA-49A4-847F-A3198E3495D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4">
          <a:extLst>
            <a:ext uri="{FF2B5EF4-FFF2-40B4-BE49-F238E27FC236}">
              <a16:creationId xmlns:a16="http://schemas.microsoft.com/office/drawing/2014/main" id="{3743D911-36D5-44EF-BBF5-FA206E3ADBC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">
          <a:extLst>
            <a:ext uri="{FF2B5EF4-FFF2-40B4-BE49-F238E27FC236}">
              <a16:creationId xmlns:a16="http://schemas.microsoft.com/office/drawing/2014/main" id="{4F1DC9EB-437F-4E6A-9BB1-D91BE81B36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8">
          <a:extLst>
            <a:ext uri="{FF2B5EF4-FFF2-40B4-BE49-F238E27FC236}">
              <a16:creationId xmlns:a16="http://schemas.microsoft.com/office/drawing/2014/main" id="{FE33BD91-8556-4339-9B81-F46D3776D08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BAD4DE5B-5F3F-4241-90C9-C995F71EACA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F1AC0469-2B11-4558-A512-255A17239ED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EE6C1645-8406-43B2-A47E-4289F5C3696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4">
          <a:extLst>
            <a:ext uri="{FF2B5EF4-FFF2-40B4-BE49-F238E27FC236}">
              <a16:creationId xmlns:a16="http://schemas.microsoft.com/office/drawing/2014/main" id="{3CBC6E5C-2E04-44A6-A3CA-963C80D6A5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165D58CF-7456-4D83-A69F-528EC03078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D6A7A706-1FBE-4FE8-97A6-F923942F846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72451ACE-8163-441D-AB98-96F5182C0D0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6E646BCD-EDA3-4F3C-B1DB-DC1A64AA78E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F107674F-CCC3-4428-B44B-1863278D031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4">
          <a:extLst>
            <a:ext uri="{FF2B5EF4-FFF2-40B4-BE49-F238E27FC236}">
              <a16:creationId xmlns:a16="http://schemas.microsoft.com/office/drawing/2014/main" id="{8523A051-8919-42A9-916C-2C368F6122F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7">
          <a:extLst>
            <a:ext uri="{FF2B5EF4-FFF2-40B4-BE49-F238E27FC236}">
              <a16:creationId xmlns:a16="http://schemas.microsoft.com/office/drawing/2014/main" id="{0DFD030C-5318-4013-AFEF-5AB6EE741A8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">
          <a:extLst>
            <a:ext uri="{FF2B5EF4-FFF2-40B4-BE49-F238E27FC236}">
              <a16:creationId xmlns:a16="http://schemas.microsoft.com/office/drawing/2014/main" id="{01A76449-20EF-459D-B545-B866B89A77A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F6B603DB-7E3E-4308-8CF1-79695FD3E7D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ACA8BC3-FBC3-4875-868C-678C8F4347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95739568-D807-4575-BE12-C0D35E3BE8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4">
          <a:extLst>
            <a:ext uri="{FF2B5EF4-FFF2-40B4-BE49-F238E27FC236}">
              <a16:creationId xmlns:a16="http://schemas.microsoft.com/office/drawing/2014/main" id="{D2C41DFE-47FD-4071-94C9-F008206C8FE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7">
          <a:extLst>
            <a:ext uri="{FF2B5EF4-FFF2-40B4-BE49-F238E27FC236}">
              <a16:creationId xmlns:a16="http://schemas.microsoft.com/office/drawing/2014/main" id="{9BEFF30C-07BC-4630-B229-49C5F1E075D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6A23BA8-7C51-4A56-93FB-91C200F380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4">
          <a:extLst>
            <a:ext uri="{FF2B5EF4-FFF2-40B4-BE49-F238E27FC236}">
              <a16:creationId xmlns:a16="http://schemas.microsoft.com/office/drawing/2014/main" id="{558395B4-19AD-489D-858B-B58864302487}"/>
            </a:ext>
            <a:ext uri="{147F2762-F138-4A5C-976F-8EAC2B608ADB}">
              <a16:predDERef xmlns:a16="http://schemas.microsoft.com/office/drawing/2014/main" pred="{D6337174-87AC-4D68-B437-41DC1C8E815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7">
          <a:extLst>
            <a:ext uri="{FF2B5EF4-FFF2-40B4-BE49-F238E27FC236}">
              <a16:creationId xmlns:a16="http://schemas.microsoft.com/office/drawing/2014/main" id="{7A5FE4CA-8D3B-4919-90A1-57C12C46D7E4}"/>
            </a:ext>
            <a:ext uri="{147F2762-F138-4A5C-976F-8EAC2B608ADB}">
              <a16:predDERef xmlns:a16="http://schemas.microsoft.com/office/drawing/2014/main" pred="{9D22D163-966A-474D-985C-37E29C74F8D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8">
          <a:extLst>
            <a:ext uri="{FF2B5EF4-FFF2-40B4-BE49-F238E27FC236}">
              <a16:creationId xmlns:a16="http://schemas.microsoft.com/office/drawing/2014/main" id="{15439D6D-2C67-4C92-865B-0C52C4950624}"/>
            </a:ext>
            <a:ext uri="{147F2762-F138-4A5C-976F-8EAC2B608ADB}">
              <a16:predDERef xmlns:a16="http://schemas.microsoft.com/office/drawing/2014/main" pred="{7521DF97-5B1E-423C-910F-716FDCD553B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id="{81857197-EC34-4AAB-870D-CFD4F140893D}"/>
            </a:ext>
            <a:ext uri="{147F2762-F138-4A5C-976F-8EAC2B608ADB}">
              <a16:predDERef xmlns:a16="http://schemas.microsoft.com/office/drawing/2014/main" pred="{036A0AAC-6402-420F-90E3-9C539D5E790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7">
          <a:extLst>
            <a:ext uri="{FF2B5EF4-FFF2-40B4-BE49-F238E27FC236}">
              <a16:creationId xmlns:a16="http://schemas.microsoft.com/office/drawing/2014/main" id="{5FA84B5B-755C-45AD-8295-176F19D15DB1}"/>
            </a:ext>
            <a:ext uri="{147F2762-F138-4A5C-976F-8EAC2B608ADB}">
              <a16:predDERef xmlns:a16="http://schemas.microsoft.com/office/drawing/2014/main" pred="{98CC3EF8-558C-4498-9272-2128BF3A520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8">
          <a:extLst>
            <a:ext uri="{FF2B5EF4-FFF2-40B4-BE49-F238E27FC236}">
              <a16:creationId xmlns:a16="http://schemas.microsoft.com/office/drawing/2014/main" id="{F36AB228-C693-4465-AF54-47BCFD419846}"/>
            </a:ext>
            <a:ext uri="{147F2762-F138-4A5C-976F-8EAC2B608ADB}">
              <a16:predDERef xmlns:a16="http://schemas.microsoft.com/office/drawing/2014/main" pred="{182D3678-1A8A-4FE6-A03B-646F120EBAD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4">
          <a:extLst>
            <a:ext uri="{FF2B5EF4-FFF2-40B4-BE49-F238E27FC236}">
              <a16:creationId xmlns:a16="http://schemas.microsoft.com/office/drawing/2014/main" id="{E45D5118-8DB8-4EEE-9C5D-2C8059153DA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7">
          <a:extLst>
            <a:ext uri="{FF2B5EF4-FFF2-40B4-BE49-F238E27FC236}">
              <a16:creationId xmlns:a16="http://schemas.microsoft.com/office/drawing/2014/main" id="{B1FF0971-5ECF-4CCD-A0D9-473FF476D8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8">
          <a:extLst>
            <a:ext uri="{FF2B5EF4-FFF2-40B4-BE49-F238E27FC236}">
              <a16:creationId xmlns:a16="http://schemas.microsoft.com/office/drawing/2014/main" id="{A0F2186F-F70F-4A42-B82D-8CAFE3E572C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4">
          <a:extLst>
            <a:ext uri="{FF2B5EF4-FFF2-40B4-BE49-F238E27FC236}">
              <a16:creationId xmlns:a16="http://schemas.microsoft.com/office/drawing/2014/main" id="{7863756F-46BE-4D7C-9E2D-AB623A9D073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7">
          <a:extLst>
            <a:ext uri="{FF2B5EF4-FFF2-40B4-BE49-F238E27FC236}">
              <a16:creationId xmlns:a16="http://schemas.microsoft.com/office/drawing/2014/main" id="{DD661349-DDB4-4DFA-BCEB-C0C45B9C441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8">
          <a:extLst>
            <a:ext uri="{FF2B5EF4-FFF2-40B4-BE49-F238E27FC236}">
              <a16:creationId xmlns:a16="http://schemas.microsoft.com/office/drawing/2014/main" id="{20129F02-E4F7-40B6-98D3-83C53E0ACA1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4">
          <a:extLst>
            <a:ext uri="{FF2B5EF4-FFF2-40B4-BE49-F238E27FC236}">
              <a16:creationId xmlns:a16="http://schemas.microsoft.com/office/drawing/2014/main" id="{0C2EA67C-E46A-402B-A854-867914F3116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7">
          <a:extLst>
            <a:ext uri="{FF2B5EF4-FFF2-40B4-BE49-F238E27FC236}">
              <a16:creationId xmlns:a16="http://schemas.microsoft.com/office/drawing/2014/main" id="{E41C6E1F-BFD2-4F81-81BC-9ADE738302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8">
          <a:extLst>
            <a:ext uri="{FF2B5EF4-FFF2-40B4-BE49-F238E27FC236}">
              <a16:creationId xmlns:a16="http://schemas.microsoft.com/office/drawing/2014/main" id="{5ACE7A49-6681-4F2F-8C40-A539E97E7D5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8F18731A-A0BD-43DE-9961-A52DD20DF08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7">
          <a:extLst>
            <a:ext uri="{FF2B5EF4-FFF2-40B4-BE49-F238E27FC236}">
              <a16:creationId xmlns:a16="http://schemas.microsoft.com/office/drawing/2014/main" id="{F7C5B071-1EBC-4BF4-98C5-356722B1CC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8">
          <a:extLst>
            <a:ext uri="{FF2B5EF4-FFF2-40B4-BE49-F238E27FC236}">
              <a16:creationId xmlns:a16="http://schemas.microsoft.com/office/drawing/2014/main" id="{AF8C8D57-6C2E-4084-9106-3B59741ABF7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4">
          <a:extLst>
            <a:ext uri="{FF2B5EF4-FFF2-40B4-BE49-F238E27FC236}">
              <a16:creationId xmlns:a16="http://schemas.microsoft.com/office/drawing/2014/main" id="{FFBA184C-80A0-4399-938C-9F8615856AB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7">
          <a:extLst>
            <a:ext uri="{FF2B5EF4-FFF2-40B4-BE49-F238E27FC236}">
              <a16:creationId xmlns:a16="http://schemas.microsoft.com/office/drawing/2014/main" id="{D2DFE69A-E487-43BD-9FBB-F3E834988B6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8">
          <a:extLst>
            <a:ext uri="{FF2B5EF4-FFF2-40B4-BE49-F238E27FC236}">
              <a16:creationId xmlns:a16="http://schemas.microsoft.com/office/drawing/2014/main" id="{A5FFB980-FBED-435C-88B8-A9CB7EE3447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4">
          <a:extLst>
            <a:ext uri="{FF2B5EF4-FFF2-40B4-BE49-F238E27FC236}">
              <a16:creationId xmlns:a16="http://schemas.microsoft.com/office/drawing/2014/main" id="{9767DB81-CB44-47E0-97E3-7A5481929A0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7">
          <a:extLst>
            <a:ext uri="{FF2B5EF4-FFF2-40B4-BE49-F238E27FC236}">
              <a16:creationId xmlns:a16="http://schemas.microsoft.com/office/drawing/2014/main" id="{FE2C1715-07BE-4806-9556-74E91FEEE67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8">
          <a:extLst>
            <a:ext uri="{FF2B5EF4-FFF2-40B4-BE49-F238E27FC236}">
              <a16:creationId xmlns:a16="http://schemas.microsoft.com/office/drawing/2014/main" id="{21E6600D-1D96-4D38-96C4-226A3BA416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4">
          <a:extLst>
            <a:ext uri="{FF2B5EF4-FFF2-40B4-BE49-F238E27FC236}">
              <a16:creationId xmlns:a16="http://schemas.microsoft.com/office/drawing/2014/main" id="{1DF0DE9E-C0BF-41E7-A36D-DF2F65968B6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7">
          <a:extLst>
            <a:ext uri="{FF2B5EF4-FFF2-40B4-BE49-F238E27FC236}">
              <a16:creationId xmlns:a16="http://schemas.microsoft.com/office/drawing/2014/main" id="{9E2B12CF-3016-4BA0-81D6-1AFEC168CA0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8">
          <a:extLst>
            <a:ext uri="{FF2B5EF4-FFF2-40B4-BE49-F238E27FC236}">
              <a16:creationId xmlns:a16="http://schemas.microsoft.com/office/drawing/2014/main" id="{18FFD56D-A9BA-4E24-86C6-0C8A0E1063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8D42AE37-1D5B-4D9B-B680-AF9A50EF514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715745CA-DA7D-41B9-B364-C5438B085B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440E82B8-A32F-4ADB-8A76-9C3B89C4569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4">
          <a:extLst>
            <a:ext uri="{FF2B5EF4-FFF2-40B4-BE49-F238E27FC236}">
              <a16:creationId xmlns:a16="http://schemas.microsoft.com/office/drawing/2014/main" id="{A7508DDA-E72E-4A4F-9D76-135B2D3012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7">
          <a:extLst>
            <a:ext uri="{FF2B5EF4-FFF2-40B4-BE49-F238E27FC236}">
              <a16:creationId xmlns:a16="http://schemas.microsoft.com/office/drawing/2014/main" id="{02498AB2-4744-4C8A-9029-444E28A24F2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8">
          <a:extLst>
            <a:ext uri="{FF2B5EF4-FFF2-40B4-BE49-F238E27FC236}">
              <a16:creationId xmlns:a16="http://schemas.microsoft.com/office/drawing/2014/main" id="{4257EC25-C280-48C0-9906-D49D90759E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4">
          <a:extLst>
            <a:ext uri="{FF2B5EF4-FFF2-40B4-BE49-F238E27FC236}">
              <a16:creationId xmlns:a16="http://schemas.microsoft.com/office/drawing/2014/main" id="{9BB78EB9-7F53-415A-89C1-80A37D8B363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7">
          <a:extLst>
            <a:ext uri="{FF2B5EF4-FFF2-40B4-BE49-F238E27FC236}">
              <a16:creationId xmlns:a16="http://schemas.microsoft.com/office/drawing/2014/main" id="{C8725904-8E42-4AC0-8B28-F69DBBB391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8">
          <a:extLst>
            <a:ext uri="{FF2B5EF4-FFF2-40B4-BE49-F238E27FC236}">
              <a16:creationId xmlns:a16="http://schemas.microsoft.com/office/drawing/2014/main" id="{62905A18-1F55-4AF5-B0C4-E17E10C4C9A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4">
          <a:extLst>
            <a:ext uri="{FF2B5EF4-FFF2-40B4-BE49-F238E27FC236}">
              <a16:creationId xmlns:a16="http://schemas.microsoft.com/office/drawing/2014/main" id="{3E4B8373-CE45-4424-A8C4-BDA0605A957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7">
          <a:extLst>
            <a:ext uri="{FF2B5EF4-FFF2-40B4-BE49-F238E27FC236}">
              <a16:creationId xmlns:a16="http://schemas.microsoft.com/office/drawing/2014/main" id="{CDB565FB-2B6F-4B26-BAED-2639CB6A621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8">
          <a:extLst>
            <a:ext uri="{FF2B5EF4-FFF2-40B4-BE49-F238E27FC236}">
              <a16:creationId xmlns:a16="http://schemas.microsoft.com/office/drawing/2014/main" id="{4D06D539-A8CB-41E0-B847-D8D338967D3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7521BDCF-9428-47F5-B209-9B276B08437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90B64B3A-F64B-4F51-AB89-ED1F5A0CE9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C3C5D0B1-823E-43D0-8ADC-6CA65CED901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4">
          <a:extLst>
            <a:ext uri="{FF2B5EF4-FFF2-40B4-BE49-F238E27FC236}">
              <a16:creationId xmlns:a16="http://schemas.microsoft.com/office/drawing/2014/main" id="{DF96523B-83D9-4F2C-A8ED-AAE4521814B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7">
          <a:extLst>
            <a:ext uri="{FF2B5EF4-FFF2-40B4-BE49-F238E27FC236}">
              <a16:creationId xmlns:a16="http://schemas.microsoft.com/office/drawing/2014/main" id="{C08EF662-F062-4A87-9B39-C2975FF04B7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8">
          <a:extLst>
            <a:ext uri="{FF2B5EF4-FFF2-40B4-BE49-F238E27FC236}">
              <a16:creationId xmlns:a16="http://schemas.microsoft.com/office/drawing/2014/main" id="{BD7C2117-7322-42C4-AE79-70FFD1A3751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4">
          <a:extLst>
            <a:ext uri="{FF2B5EF4-FFF2-40B4-BE49-F238E27FC236}">
              <a16:creationId xmlns:a16="http://schemas.microsoft.com/office/drawing/2014/main" id="{42B4CBF0-063F-4B28-A2AA-94C599973A26}"/>
            </a:ext>
            <a:ext uri="{147F2762-F138-4A5C-976F-8EAC2B608ADB}">
              <a16:predDERef xmlns:a16="http://schemas.microsoft.com/office/drawing/2014/main" pred="{169505AA-065E-41A6-A7E5-081A2C92924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7">
          <a:extLst>
            <a:ext uri="{FF2B5EF4-FFF2-40B4-BE49-F238E27FC236}">
              <a16:creationId xmlns:a16="http://schemas.microsoft.com/office/drawing/2014/main" id="{53C5C69A-014A-4E00-9FEF-499DB3DD21FD}"/>
            </a:ext>
            <a:ext uri="{147F2762-F138-4A5C-976F-8EAC2B608ADB}">
              <a16:predDERef xmlns:a16="http://schemas.microsoft.com/office/drawing/2014/main" pred="{47F51DB8-8DC7-435F-9D05-C58E8410C3F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8">
          <a:extLst>
            <a:ext uri="{FF2B5EF4-FFF2-40B4-BE49-F238E27FC236}">
              <a16:creationId xmlns:a16="http://schemas.microsoft.com/office/drawing/2014/main" id="{119DEEB6-B5DA-4008-9878-FE993FAB8041}"/>
            </a:ext>
            <a:ext uri="{147F2762-F138-4A5C-976F-8EAC2B608ADB}">
              <a16:predDERef xmlns:a16="http://schemas.microsoft.com/office/drawing/2014/main" pred="{62B73D04-4AA8-4D2D-848F-809547BB067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4">
          <a:extLst>
            <a:ext uri="{FF2B5EF4-FFF2-40B4-BE49-F238E27FC236}">
              <a16:creationId xmlns:a16="http://schemas.microsoft.com/office/drawing/2014/main" id="{96DB84A1-F262-4509-B9DA-673E23BFA16F}"/>
            </a:ext>
            <a:ext uri="{147F2762-F138-4A5C-976F-8EAC2B608ADB}">
              <a16:predDERef xmlns:a16="http://schemas.microsoft.com/office/drawing/2014/main" pred="{153750EA-D6C9-4FE3-93BE-1EEA0BFD0F0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7">
          <a:extLst>
            <a:ext uri="{FF2B5EF4-FFF2-40B4-BE49-F238E27FC236}">
              <a16:creationId xmlns:a16="http://schemas.microsoft.com/office/drawing/2014/main" id="{4D334BC9-A29A-4749-8DCC-77FE29F88D47}"/>
            </a:ext>
            <a:ext uri="{147F2762-F138-4A5C-976F-8EAC2B608ADB}">
              <a16:predDERef xmlns:a16="http://schemas.microsoft.com/office/drawing/2014/main" pred="{CE092D38-23B8-4698-AD40-12A30322EAF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8">
          <a:extLst>
            <a:ext uri="{FF2B5EF4-FFF2-40B4-BE49-F238E27FC236}">
              <a16:creationId xmlns:a16="http://schemas.microsoft.com/office/drawing/2014/main" id="{7CA8ED89-EDC7-47E3-A23A-9ADC4D2B6863}"/>
            </a:ext>
            <a:ext uri="{147F2762-F138-4A5C-976F-8EAC2B608ADB}">
              <a16:predDERef xmlns:a16="http://schemas.microsoft.com/office/drawing/2014/main" pred="{597DAEE6-8E76-40F0-95DC-66FC4B0590A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4">
          <a:extLst>
            <a:ext uri="{FF2B5EF4-FFF2-40B4-BE49-F238E27FC236}">
              <a16:creationId xmlns:a16="http://schemas.microsoft.com/office/drawing/2014/main" id="{A0B46BDA-1FC6-420A-87EE-723825BC56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7">
          <a:extLst>
            <a:ext uri="{FF2B5EF4-FFF2-40B4-BE49-F238E27FC236}">
              <a16:creationId xmlns:a16="http://schemas.microsoft.com/office/drawing/2014/main" id="{998A9685-BB9D-419E-A569-6B478660E1D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8">
          <a:extLst>
            <a:ext uri="{FF2B5EF4-FFF2-40B4-BE49-F238E27FC236}">
              <a16:creationId xmlns:a16="http://schemas.microsoft.com/office/drawing/2014/main" id="{D86D7AB5-8B99-4FCB-9436-B965614DCA0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4">
          <a:extLst>
            <a:ext uri="{FF2B5EF4-FFF2-40B4-BE49-F238E27FC236}">
              <a16:creationId xmlns:a16="http://schemas.microsoft.com/office/drawing/2014/main" id="{9DE3FF48-A759-4387-95AF-DE6EC018DC3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7">
          <a:extLst>
            <a:ext uri="{FF2B5EF4-FFF2-40B4-BE49-F238E27FC236}">
              <a16:creationId xmlns:a16="http://schemas.microsoft.com/office/drawing/2014/main" id="{20CB57D8-6437-493D-8E6D-242785B6B59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3" name="TextBox 8">
          <a:extLst>
            <a:ext uri="{FF2B5EF4-FFF2-40B4-BE49-F238E27FC236}">
              <a16:creationId xmlns:a16="http://schemas.microsoft.com/office/drawing/2014/main" id="{3D37C4C9-3031-4BEC-9FD1-C0E71E5410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4" name="TextBox 4">
          <a:extLst>
            <a:ext uri="{FF2B5EF4-FFF2-40B4-BE49-F238E27FC236}">
              <a16:creationId xmlns:a16="http://schemas.microsoft.com/office/drawing/2014/main" id="{E104E33C-9288-4E01-BA22-B32EFD3D470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5" name="TextBox 7">
          <a:extLst>
            <a:ext uri="{FF2B5EF4-FFF2-40B4-BE49-F238E27FC236}">
              <a16:creationId xmlns:a16="http://schemas.microsoft.com/office/drawing/2014/main" id="{BBC17859-E67D-4A1B-9376-3582F9A7F6F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6" name="TextBox 8">
          <a:extLst>
            <a:ext uri="{FF2B5EF4-FFF2-40B4-BE49-F238E27FC236}">
              <a16:creationId xmlns:a16="http://schemas.microsoft.com/office/drawing/2014/main" id="{7E52773C-B28A-42AC-AF2B-7A16B4E8007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FC06BA70-744A-4DBD-82A2-C5501FD00E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8" name="TextBox 7">
          <a:extLst>
            <a:ext uri="{FF2B5EF4-FFF2-40B4-BE49-F238E27FC236}">
              <a16:creationId xmlns:a16="http://schemas.microsoft.com/office/drawing/2014/main" id="{2245EA45-AC67-4BE6-8A14-22162097C87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9" name="TextBox 8">
          <a:extLst>
            <a:ext uri="{FF2B5EF4-FFF2-40B4-BE49-F238E27FC236}">
              <a16:creationId xmlns:a16="http://schemas.microsoft.com/office/drawing/2014/main" id="{836CB23A-BA91-4885-9436-E460584E92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0" name="TextBox 4">
          <a:extLst>
            <a:ext uri="{FF2B5EF4-FFF2-40B4-BE49-F238E27FC236}">
              <a16:creationId xmlns:a16="http://schemas.microsoft.com/office/drawing/2014/main" id="{4AFA5108-2901-4269-AB7B-387F7D74098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1" name="TextBox 7">
          <a:extLst>
            <a:ext uri="{FF2B5EF4-FFF2-40B4-BE49-F238E27FC236}">
              <a16:creationId xmlns:a16="http://schemas.microsoft.com/office/drawing/2014/main" id="{A11C84A8-90B9-4D10-9867-AD8118F83A0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2" name="TextBox 8">
          <a:extLst>
            <a:ext uri="{FF2B5EF4-FFF2-40B4-BE49-F238E27FC236}">
              <a16:creationId xmlns:a16="http://schemas.microsoft.com/office/drawing/2014/main" id="{1809C08B-39D1-49C1-8EE6-E581D03548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3" name="TextBox 4">
          <a:extLst>
            <a:ext uri="{FF2B5EF4-FFF2-40B4-BE49-F238E27FC236}">
              <a16:creationId xmlns:a16="http://schemas.microsoft.com/office/drawing/2014/main" id="{00CF94A5-C93A-4172-B127-C5DE5755E1C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4" name="TextBox 7">
          <a:extLst>
            <a:ext uri="{FF2B5EF4-FFF2-40B4-BE49-F238E27FC236}">
              <a16:creationId xmlns:a16="http://schemas.microsoft.com/office/drawing/2014/main" id="{FDBF5DE6-CA1A-40C3-8668-DDA7EE9748C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5" name="TextBox 8">
          <a:extLst>
            <a:ext uri="{FF2B5EF4-FFF2-40B4-BE49-F238E27FC236}">
              <a16:creationId xmlns:a16="http://schemas.microsoft.com/office/drawing/2014/main" id="{BC4D6E88-50F0-4C7E-86E4-FB25B4C4099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6" name="TextBox 4">
          <a:extLst>
            <a:ext uri="{FF2B5EF4-FFF2-40B4-BE49-F238E27FC236}">
              <a16:creationId xmlns:a16="http://schemas.microsoft.com/office/drawing/2014/main" id="{F31482BA-4881-4EE9-A521-75E6C7BE484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7" name="TextBox 7">
          <a:extLst>
            <a:ext uri="{FF2B5EF4-FFF2-40B4-BE49-F238E27FC236}">
              <a16:creationId xmlns:a16="http://schemas.microsoft.com/office/drawing/2014/main" id="{25606F94-76E6-4F71-81FA-73413A321ED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8" name="TextBox 8">
          <a:extLst>
            <a:ext uri="{FF2B5EF4-FFF2-40B4-BE49-F238E27FC236}">
              <a16:creationId xmlns:a16="http://schemas.microsoft.com/office/drawing/2014/main" id="{2FA76C5B-CB62-470D-AD66-2DF8159695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10CA92E6-EE03-458C-87E2-536B37DC01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201D762B-37BD-49F6-8E2F-8C3794FA02C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CE9F7A7F-7628-4467-9C55-1DBE5F26EDA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2" name="TextBox 4">
          <a:extLst>
            <a:ext uri="{FF2B5EF4-FFF2-40B4-BE49-F238E27FC236}">
              <a16:creationId xmlns:a16="http://schemas.microsoft.com/office/drawing/2014/main" id="{3B71C557-C989-472C-8DF2-090938EE8C7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3" name="TextBox 7">
          <a:extLst>
            <a:ext uri="{FF2B5EF4-FFF2-40B4-BE49-F238E27FC236}">
              <a16:creationId xmlns:a16="http://schemas.microsoft.com/office/drawing/2014/main" id="{287C8AF0-D29C-4DCD-B037-373F67F07E4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4" name="TextBox 8">
          <a:extLst>
            <a:ext uri="{FF2B5EF4-FFF2-40B4-BE49-F238E27FC236}">
              <a16:creationId xmlns:a16="http://schemas.microsoft.com/office/drawing/2014/main" id="{DC79BC1B-364F-4EA7-BBB3-C270C54F4E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5" name="TextBox 4">
          <a:extLst>
            <a:ext uri="{FF2B5EF4-FFF2-40B4-BE49-F238E27FC236}">
              <a16:creationId xmlns:a16="http://schemas.microsoft.com/office/drawing/2014/main" id="{9A4249F0-E312-4748-A4D8-A9103DE0054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6" name="TextBox 7">
          <a:extLst>
            <a:ext uri="{FF2B5EF4-FFF2-40B4-BE49-F238E27FC236}">
              <a16:creationId xmlns:a16="http://schemas.microsoft.com/office/drawing/2014/main" id="{B4F1A7D9-8EE9-4097-811B-070E05FB244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7" name="TextBox 8">
          <a:extLst>
            <a:ext uri="{FF2B5EF4-FFF2-40B4-BE49-F238E27FC236}">
              <a16:creationId xmlns:a16="http://schemas.microsoft.com/office/drawing/2014/main" id="{96CD1CB4-5B1D-4025-8710-599100212CF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8" name="TextBox 4">
          <a:extLst>
            <a:ext uri="{FF2B5EF4-FFF2-40B4-BE49-F238E27FC236}">
              <a16:creationId xmlns:a16="http://schemas.microsoft.com/office/drawing/2014/main" id="{AB8FCE63-B9DC-4E1D-971B-C3BCC4C534F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9" name="TextBox 7">
          <a:extLst>
            <a:ext uri="{FF2B5EF4-FFF2-40B4-BE49-F238E27FC236}">
              <a16:creationId xmlns:a16="http://schemas.microsoft.com/office/drawing/2014/main" id="{34E8EF54-1D31-40C4-B1B1-F606432B837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0" name="TextBox 8">
          <a:extLst>
            <a:ext uri="{FF2B5EF4-FFF2-40B4-BE49-F238E27FC236}">
              <a16:creationId xmlns:a16="http://schemas.microsoft.com/office/drawing/2014/main" id="{293C1079-FB68-4616-BC4D-FB54EBD938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B50CF415-0C92-4D79-BDE3-ACBF987950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A998364F-6ACF-47A0-AE82-D35CD069A39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D4011D94-7461-4D96-BC48-8887362AC6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4" name="TextBox 4">
          <a:extLst>
            <a:ext uri="{FF2B5EF4-FFF2-40B4-BE49-F238E27FC236}">
              <a16:creationId xmlns:a16="http://schemas.microsoft.com/office/drawing/2014/main" id="{CC3D094C-9EF7-4B11-9C02-3483698CBAA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5" name="TextBox 7">
          <a:extLst>
            <a:ext uri="{FF2B5EF4-FFF2-40B4-BE49-F238E27FC236}">
              <a16:creationId xmlns:a16="http://schemas.microsoft.com/office/drawing/2014/main" id="{FD95A564-E082-46F9-9354-884E9808148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6" name="TextBox 8">
          <a:extLst>
            <a:ext uri="{FF2B5EF4-FFF2-40B4-BE49-F238E27FC236}">
              <a16:creationId xmlns:a16="http://schemas.microsoft.com/office/drawing/2014/main" id="{A686E945-DDD0-4D7C-A3B6-7E82E4AEA08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7" name="TextBox 4">
          <a:extLst>
            <a:ext uri="{FF2B5EF4-FFF2-40B4-BE49-F238E27FC236}">
              <a16:creationId xmlns:a16="http://schemas.microsoft.com/office/drawing/2014/main" id="{D7925A9E-C8D7-4B6E-9492-828CE004A57B}"/>
            </a:ext>
            <a:ext uri="{147F2762-F138-4A5C-976F-8EAC2B608ADB}">
              <a16:predDERef xmlns:a16="http://schemas.microsoft.com/office/drawing/2014/main" pred="{4334BFCA-CB12-48DA-8E2A-FD22A82567F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8" name="TextBox 7">
          <a:extLst>
            <a:ext uri="{FF2B5EF4-FFF2-40B4-BE49-F238E27FC236}">
              <a16:creationId xmlns:a16="http://schemas.microsoft.com/office/drawing/2014/main" id="{E9A26230-FC7A-4C9A-8632-42B61056EDBD}"/>
            </a:ext>
            <a:ext uri="{147F2762-F138-4A5C-976F-8EAC2B608ADB}">
              <a16:predDERef xmlns:a16="http://schemas.microsoft.com/office/drawing/2014/main" pred="{395A4EF6-0825-4E96-BB01-8169083AD90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9" name="TextBox 8">
          <a:extLst>
            <a:ext uri="{FF2B5EF4-FFF2-40B4-BE49-F238E27FC236}">
              <a16:creationId xmlns:a16="http://schemas.microsoft.com/office/drawing/2014/main" id="{3CD18077-61AE-4801-9D74-2604373F39D6}"/>
            </a:ext>
            <a:ext uri="{147F2762-F138-4A5C-976F-8EAC2B608ADB}">
              <a16:predDERef xmlns:a16="http://schemas.microsoft.com/office/drawing/2014/main" pred="{FE862702-B850-4EAC-904A-2EDEEBF5616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0" name="TextBox 4">
          <a:extLst>
            <a:ext uri="{FF2B5EF4-FFF2-40B4-BE49-F238E27FC236}">
              <a16:creationId xmlns:a16="http://schemas.microsoft.com/office/drawing/2014/main" id="{CA5AAD91-3B20-4396-B97B-8718694FC51A}"/>
            </a:ext>
            <a:ext uri="{147F2762-F138-4A5C-976F-8EAC2B608ADB}">
              <a16:predDERef xmlns:a16="http://schemas.microsoft.com/office/drawing/2014/main" pred="{0CD3100D-7587-42FE-BF92-3E421A0716F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1" name="TextBox 7">
          <a:extLst>
            <a:ext uri="{FF2B5EF4-FFF2-40B4-BE49-F238E27FC236}">
              <a16:creationId xmlns:a16="http://schemas.microsoft.com/office/drawing/2014/main" id="{297CFC17-7EEA-4E99-8455-CB71048F2CB5}"/>
            </a:ext>
            <a:ext uri="{147F2762-F138-4A5C-976F-8EAC2B608ADB}">
              <a16:predDERef xmlns:a16="http://schemas.microsoft.com/office/drawing/2014/main" pred="{368A06AD-7AAC-49C2-BE44-54CD4B12282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2" name="TextBox 8">
          <a:extLst>
            <a:ext uri="{FF2B5EF4-FFF2-40B4-BE49-F238E27FC236}">
              <a16:creationId xmlns:a16="http://schemas.microsoft.com/office/drawing/2014/main" id="{AABC0F74-CDAD-40F8-AA28-20A94F2A68F8}"/>
            </a:ext>
            <a:ext uri="{147F2762-F138-4A5C-976F-8EAC2B608ADB}">
              <a16:predDERef xmlns:a16="http://schemas.microsoft.com/office/drawing/2014/main" pred="{73889B8D-323F-4DE1-A8A8-70694F9D6A6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3" name="TextBox 4">
          <a:extLst>
            <a:ext uri="{FF2B5EF4-FFF2-40B4-BE49-F238E27FC236}">
              <a16:creationId xmlns:a16="http://schemas.microsoft.com/office/drawing/2014/main" id="{3364ABBA-9FE6-42E3-86F4-6D4AB3DCC1F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4" name="TextBox 7">
          <a:extLst>
            <a:ext uri="{FF2B5EF4-FFF2-40B4-BE49-F238E27FC236}">
              <a16:creationId xmlns:a16="http://schemas.microsoft.com/office/drawing/2014/main" id="{15995694-ECF7-44A7-9667-246CC6D37CA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5" name="TextBox 8">
          <a:extLst>
            <a:ext uri="{FF2B5EF4-FFF2-40B4-BE49-F238E27FC236}">
              <a16:creationId xmlns:a16="http://schemas.microsoft.com/office/drawing/2014/main" id="{A7539347-66F9-4417-9509-110E6DE05CD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6" name="TextBox 4">
          <a:extLst>
            <a:ext uri="{FF2B5EF4-FFF2-40B4-BE49-F238E27FC236}">
              <a16:creationId xmlns:a16="http://schemas.microsoft.com/office/drawing/2014/main" id="{F7A9EFE1-2EEA-4063-B207-D80C0FCE054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7" name="TextBox 7">
          <a:extLst>
            <a:ext uri="{FF2B5EF4-FFF2-40B4-BE49-F238E27FC236}">
              <a16:creationId xmlns:a16="http://schemas.microsoft.com/office/drawing/2014/main" id="{6595E982-93F7-4ECC-8A02-2EC00CB0F3A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8" name="TextBox 8">
          <a:extLst>
            <a:ext uri="{FF2B5EF4-FFF2-40B4-BE49-F238E27FC236}">
              <a16:creationId xmlns:a16="http://schemas.microsoft.com/office/drawing/2014/main" id="{2CB36474-7334-4BD1-887E-A8A62A2CE2B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9" name="TextBox 4">
          <a:extLst>
            <a:ext uri="{FF2B5EF4-FFF2-40B4-BE49-F238E27FC236}">
              <a16:creationId xmlns:a16="http://schemas.microsoft.com/office/drawing/2014/main" id="{44DC40B9-CA79-4682-8F47-08C3B7EB555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0" name="TextBox 7">
          <a:extLst>
            <a:ext uri="{FF2B5EF4-FFF2-40B4-BE49-F238E27FC236}">
              <a16:creationId xmlns:a16="http://schemas.microsoft.com/office/drawing/2014/main" id="{32910228-FF6B-4393-8427-9505E9D8D9B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1" name="TextBox 8">
          <a:extLst>
            <a:ext uri="{FF2B5EF4-FFF2-40B4-BE49-F238E27FC236}">
              <a16:creationId xmlns:a16="http://schemas.microsoft.com/office/drawing/2014/main" id="{775F081E-0298-4A06-9F03-FC0C94F60E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689D6445-29D9-41BD-BC46-66196974535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3" name="TextBox 7">
          <a:extLst>
            <a:ext uri="{FF2B5EF4-FFF2-40B4-BE49-F238E27FC236}">
              <a16:creationId xmlns:a16="http://schemas.microsoft.com/office/drawing/2014/main" id="{39872BC9-17C0-48F4-8B16-0F814655C8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4" name="TextBox 8">
          <a:extLst>
            <a:ext uri="{FF2B5EF4-FFF2-40B4-BE49-F238E27FC236}">
              <a16:creationId xmlns:a16="http://schemas.microsoft.com/office/drawing/2014/main" id="{A871B0D3-C4B2-4DC1-BE47-CEBA7C53B2E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5" name="TextBox 4">
          <a:extLst>
            <a:ext uri="{FF2B5EF4-FFF2-40B4-BE49-F238E27FC236}">
              <a16:creationId xmlns:a16="http://schemas.microsoft.com/office/drawing/2014/main" id="{B27497B3-BBD1-4636-8992-1A4A5CDD20D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6" name="TextBox 7">
          <a:extLst>
            <a:ext uri="{FF2B5EF4-FFF2-40B4-BE49-F238E27FC236}">
              <a16:creationId xmlns:a16="http://schemas.microsoft.com/office/drawing/2014/main" id="{113BE1D6-02E3-491B-9418-6C87D11E1AB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7" name="TextBox 8">
          <a:extLst>
            <a:ext uri="{FF2B5EF4-FFF2-40B4-BE49-F238E27FC236}">
              <a16:creationId xmlns:a16="http://schemas.microsoft.com/office/drawing/2014/main" id="{23E9E25A-9A3C-44AF-9085-2E46A1822B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8" name="TextBox 4">
          <a:extLst>
            <a:ext uri="{FF2B5EF4-FFF2-40B4-BE49-F238E27FC236}">
              <a16:creationId xmlns:a16="http://schemas.microsoft.com/office/drawing/2014/main" id="{7AA9132F-08BE-45F0-901A-85F07C3164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9" name="TextBox 7">
          <a:extLst>
            <a:ext uri="{FF2B5EF4-FFF2-40B4-BE49-F238E27FC236}">
              <a16:creationId xmlns:a16="http://schemas.microsoft.com/office/drawing/2014/main" id="{3CBB78FD-7764-44F7-A759-F94FE53DA25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0" name="TextBox 8">
          <a:extLst>
            <a:ext uri="{FF2B5EF4-FFF2-40B4-BE49-F238E27FC236}">
              <a16:creationId xmlns:a16="http://schemas.microsoft.com/office/drawing/2014/main" id="{D95C3B25-63E1-41FB-86F4-B25BA18422A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1" name="TextBox 4">
          <a:extLst>
            <a:ext uri="{FF2B5EF4-FFF2-40B4-BE49-F238E27FC236}">
              <a16:creationId xmlns:a16="http://schemas.microsoft.com/office/drawing/2014/main" id="{184FD8BE-ECDC-4699-BEB2-CE1BE226189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2" name="TextBox 7">
          <a:extLst>
            <a:ext uri="{FF2B5EF4-FFF2-40B4-BE49-F238E27FC236}">
              <a16:creationId xmlns:a16="http://schemas.microsoft.com/office/drawing/2014/main" id="{E54D8C8F-369A-4C62-A0EF-064D137B0AD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3" name="TextBox 8">
          <a:extLst>
            <a:ext uri="{FF2B5EF4-FFF2-40B4-BE49-F238E27FC236}">
              <a16:creationId xmlns:a16="http://schemas.microsoft.com/office/drawing/2014/main" id="{3A0C4B6F-8DBB-4AE5-838B-E270C9F3CCD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15E73ACD-819B-4A9B-99F3-FCA5EB4F96A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8B62C97C-EFEF-49C4-8C7C-9C069037FAF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C00513F1-8DAF-4CB1-87D8-B7F33B5430F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7" name="TextBox 4">
          <a:extLst>
            <a:ext uri="{FF2B5EF4-FFF2-40B4-BE49-F238E27FC236}">
              <a16:creationId xmlns:a16="http://schemas.microsoft.com/office/drawing/2014/main" id="{08EBDBBA-69D5-435A-B616-2D5EC5EF021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8" name="TextBox 7">
          <a:extLst>
            <a:ext uri="{FF2B5EF4-FFF2-40B4-BE49-F238E27FC236}">
              <a16:creationId xmlns:a16="http://schemas.microsoft.com/office/drawing/2014/main" id="{8D525E46-129B-4FA5-A9CA-94E371CF207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9" name="TextBox 8">
          <a:extLst>
            <a:ext uri="{FF2B5EF4-FFF2-40B4-BE49-F238E27FC236}">
              <a16:creationId xmlns:a16="http://schemas.microsoft.com/office/drawing/2014/main" id="{8612C013-BD76-4F86-BFE8-F6057860B0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0" name="TextBox 4">
          <a:extLst>
            <a:ext uri="{FF2B5EF4-FFF2-40B4-BE49-F238E27FC236}">
              <a16:creationId xmlns:a16="http://schemas.microsoft.com/office/drawing/2014/main" id="{5C5D6255-ACC3-415B-B926-2296F2BF58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1" name="TextBox 7">
          <a:extLst>
            <a:ext uri="{FF2B5EF4-FFF2-40B4-BE49-F238E27FC236}">
              <a16:creationId xmlns:a16="http://schemas.microsoft.com/office/drawing/2014/main" id="{188D1900-9703-4111-9CFB-ACC61348A66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2" name="TextBox 8">
          <a:extLst>
            <a:ext uri="{FF2B5EF4-FFF2-40B4-BE49-F238E27FC236}">
              <a16:creationId xmlns:a16="http://schemas.microsoft.com/office/drawing/2014/main" id="{7A504F4F-D866-4B52-96CC-6CB220D32DC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3" name="TextBox 4">
          <a:extLst>
            <a:ext uri="{FF2B5EF4-FFF2-40B4-BE49-F238E27FC236}">
              <a16:creationId xmlns:a16="http://schemas.microsoft.com/office/drawing/2014/main" id="{8E47165C-941E-48BB-B43B-76FDBB5270B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4" name="TextBox 7">
          <a:extLst>
            <a:ext uri="{FF2B5EF4-FFF2-40B4-BE49-F238E27FC236}">
              <a16:creationId xmlns:a16="http://schemas.microsoft.com/office/drawing/2014/main" id="{29F4085B-56EC-472A-99C3-A89E05F282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5" name="TextBox 8">
          <a:extLst>
            <a:ext uri="{FF2B5EF4-FFF2-40B4-BE49-F238E27FC236}">
              <a16:creationId xmlns:a16="http://schemas.microsoft.com/office/drawing/2014/main" id="{37171C2D-79AF-4083-9FFC-BB4A4A50FB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64770158-50C9-49DA-8EA6-365EF88750E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1474C898-C6D4-4FE4-B085-86F1B3B5924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A8BCFB31-4519-4B23-830F-8D9A18C5C63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9" name="TextBox 4">
          <a:extLst>
            <a:ext uri="{FF2B5EF4-FFF2-40B4-BE49-F238E27FC236}">
              <a16:creationId xmlns:a16="http://schemas.microsoft.com/office/drawing/2014/main" id="{DD93CE17-431A-4D2F-ACD5-9BF4FDA5859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0" name="TextBox 7">
          <a:extLst>
            <a:ext uri="{FF2B5EF4-FFF2-40B4-BE49-F238E27FC236}">
              <a16:creationId xmlns:a16="http://schemas.microsoft.com/office/drawing/2014/main" id="{62A5133C-8FC7-49F6-957B-1D898B525C2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1" name="TextBox 8">
          <a:extLst>
            <a:ext uri="{FF2B5EF4-FFF2-40B4-BE49-F238E27FC236}">
              <a16:creationId xmlns:a16="http://schemas.microsoft.com/office/drawing/2014/main" id="{28A314F5-C169-4AD6-ADF7-D038DBCD96A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2" name="TextBox 4">
          <a:extLst>
            <a:ext uri="{FF2B5EF4-FFF2-40B4-BE49-F238E27FC236}">
              <a16:creationId xmlns:a16="http://schemas.microsoft.com/office/drawing/2014/main" id="{5989B6A0-092F-487F-BF04-2778AA30D1D7}"/>
            </a:ext>
            <a:ext uri="{147F2762-F138-4A5C-976F-8EAC2B608ADB}">
              <a16:predDERef xmlns:a16="http://schemas.microsoft.com/office/drawing/2014/main" pred="{A852D57F-4849-463E-B328-8EB8FB8F3DC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3" name="TextBox 7">
          <a:extLst>
            <a:ext uri="{FF2B5EF4-FFF2-40B4-BE49-F238E27FC236}">
              <a16:creationId xmlns:a16="http://schemas.microsoft.com/office/drawing/2014/main" id="{5CBA11BF-0E8C-4B9E-9A69-303F3B1A212D}"/>
            </a:ext>
            <a:ext uri="{147F2762-F138-4A5C-976F-8EAC2B608ADB}">
              <a16:predDERef xmlns:a16="http://schemas.microsoft.com/office/drawing/2014/main" pred="{4AFB51E7-94B0-4ED5-8992-ADF90910189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4" name="TextBox 8">
          <a:extLst>
            <a:ext uri="{FF2B5EF4-FFF2-40B4-BE49-F238E27FC236}">
              <a16:creationId xmlns:a16="http://schemas.microsoft.com/office/drawing/2014/main" id="{B46FEC42-2308-42AE-8AB5-902199B72FE0}"/>
            </a:ext>
            <a:ext uri="{147F2762-F138-4A5C-976F-8EAC2B608ADB}">
              <a16:predDERef xmlns:a16="http://schemas.microsoft.com/office/drawing/2014/main" pred="{90CFED20-0863-4D99-9D40-CFAE8E9D133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5" name="TextBox 4">
          <a:extLst>
            <a:ext uri="{FF2B5EF4-FFF2-40B4-BE49-F238E27FC236}">
              <a16:creationId xmlns:a16="http://schemas.microsoft.com/office/drawing/2014/main" id="{A1AEB926-D586-4232-8309-C4BAB26CB4BA}"/>
            </a:ext>
            <a:ext uri="{147F2762-F138-4A5C-976F-8EAC2B608ADB}">
              <a16:predDERef xmlns:a16="http://schemas.microsoft.com/office/drawing/2014/main" pred="{B584139A-2B88-49D7-8814-E153EFA90A8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6" name="TextBox 7">
          <a:extLst>
            <a:ext uri="{FF2B5EF4-FFF2-40B4-BE49-F238E27FC236}">
              <a16:creationId xmlns:a16="http://schemas.microsoft.com/office/drawing/2014/main" id="{72CBC375-9275-47C3-879F-6352F0E412A4}"/>
            </a:ext>
            <a:ext uri="{147F2762-F138-4A5C-976F-8EAC2B608ADB}">
              <a16:predDERef xmlns:a16="http://schemas.microsoft.com/office/drawing/2014/main" pred="{CA315F30-6113-485F-B762-9AAA86D675C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7" name="TextBox 8">
          <a:extLst>
            <a:ext uri="{FF2B5EF4-FFF2-40B4-BE49-F238E27FC236}">
              <a16:creationId xmlns:a16="http://schemas.microsoft.com/office/drawing/2014/main" id="{8660A66B-14BB-43BC-A293-7839C2275061}"/>
            </a:ext>
            <a:ext uri="{147F2762-F138-4A5C-976F-8EAC2B608ADB}">
              <a16:predDERef xmlns:a16="http://schemas.microsoft.com/office/drawing/2014/main" pred="{21A690C8-6392-44B2-9FF0-69B9DEE822C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8" name="TextBox 4">
          <a:extLst>
            <a:ext uri="{FF2B5EF4-FFF2-40B4-BE49-F238E27FC236}">
              <a16:creationId xmlns:a16="http://schemas.microsoft.com/office/drawing/2014/main" id="{6CC5427A-D2DB-4888-BACA-781D59BA7FF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9" name="TextBox 7">
          <a:extLst>
            <a:ext uri="{FF2B5EF4-FFF2-40B4-BE49-F238E27FC236}">
              <a16:creationId xmlns:a16="http://schemas.microsoft.com/office/drawing/2014/main" id="{0F0C0213-5148-4BB9-9AF9-01D44AC4454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0" name="TextBox 8">
          <a:extLst>
            <a:ext uri="{FF2B5EF4-FFF2-40B4-BE49-F238E27FC236}">
              <a16:creationId xmlns:a16="http://schemas.microsoft.com/office/drawing/2014/main" id="{E87D1043-2B53-4912-86E4-49C1BE570CD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1" name="TextBox 4">
          <a:extLst>
            <a:ext uri="{FF2B5EF4-FFF2-40B4-BE49-F238E27FC236}">
              <a16:creationId xmlns:a16="http://schemas.microsoft.com/office/drawing/2014/main" id="{086ED615-9E30-4DF5-9506-FB4CECB72D1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2" name="TextBox 7">
          <a:extLst>
            <a:ext uri="{FF2B5EF4-FFF2-40B4-BE49-F238E27FC236}">
              <a16:creationId xmlns:a16="http://schemas.microsoft.com/office/drawing/2014/main" id="{0E1BB335-C6E4-4CF5-8734-C47561207E5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3" name="TextBox 8">
          <a:extLst>
            <a:ext uri="{FF2B5EF4-FFF2-40B4-BE49-F238E27FC236}">
              <a16:creationId xmlns:a16="http://schemas.microsoft.com/office/drawing/2014/main" id="{AFEF9237-0BD0-4FF1-8CDD-435FD1234C0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4" name="TextBox 4">
          <a:extLst>
            <a:ext uri="{FF2B5EF4-FFF2-40B4-BE49-F238E27FC236}">
              <a16:creationId xmlns:a16="http://schemas.microsoft.com/office/drawing/2014/main" id="{84D061E7-2F8B-4787-8AC2-A576AC64F5E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5" name="TextBox 7">
          <a:extLst>
            <a:ext uri="{FF2B5EF4-FFF2-40B4-BE49-F238E27FC236}">
              <a16:creationId xmlns:a16="http://schemas.microsoft.com/office/drawing/2014/main" id="{2BD426F1-5AD3-47C5-B770-419BC841A9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6" name="TextBox 8">
          <a:extLst>
            <a:ext uri="{FF2B5EF4-FFF2-40B4-BE49-F238E27FC236}">
              <a16:creationId xmlns:a16="http://schemas.microsoft.com/office/drawing/2014/main" id="{827606D6-9B14-4D89-8567-B6753D0D53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E6B1EA96-3EAD-477E-B0FB-38D9B2A8071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8" name="TextBox 7">
          <a:extLst>
            <a:ext uri="{FF2B5EF4-FFF2-40B4-BE49-F238E27FC236}">
              <a16:creationId xmlns:a16="http://schemas.microsoft.com/office/drawing/2014/main" id="{F01B60A8-5EA9-4550-B177-FBD48126887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9" name="TextBox 8">
          <a:extLst>
            <a:ext uri="{FF2B5EF4-FFF2-40B4-BE49-F238E27FC236}">
              <a16:creationId xmlns:a16="http://schemas.microsoft.com/office/drawing/2014/main" id="{AA12B574-6683-46B4-8A79-CE4E013211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0" name="TextBox 4">
          <a:extLst>
            <a:ext uri="{FF2B5EF4-FFF2-40B4-BE49-F238E27FC236}">
              <a16:creationId xmlns:a16="http://schemas.microsoft.com/office/drawing/2014/main" id="{1EEB3610-39A5-4758-9CC5-8616B10866A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1" name="TextBox 7">
          <a:extLst>
            <a:ext uri="{FF2B5EF4-FFF2-40B4-BE49-F238E27FC236}">
              <a16:creationId xmlns:a16="http://schemas.microsoft.com/office/drawing/2014/main" id="{54983E98-7C64-4780-AB6F-04872311CAF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2" name="TextBox 8">
          <a:extLst>
            <a:ext uri="{FF2B5EF4-FFF2-40B4-BE49-F238E27FC236}">
              <a16:creationId xmlns:a16="http://schemas.microsoft.com/office/drawing/2014/main" id="{E1E8A29F-4C9C-4874-8E62-2261785D030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3" name="TextBox 4">
          <a:extLst>
            <a:ext uri="{FF2B5EF4-FFF2-40B4-BE49-F238E27FC236}">
              <a16:creationId xmlns:a16="http://schemas.microsoft.com/office/drawing/2014/main" id="{3DE68180-8270-4DEA-AEFE-19615365049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4" name="TextBox 7">
          <a:extLst>
            <a:ext uri="{FF2B5EF4-FFF2-40B4-BE49-F238E27FC236}">
              <a16:creationId xmlns:a16="http://schemas.microsoft.com/office/drawing/2014/main" id="{141F424E-43AF-4580-9696-7E337D26260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5" name="TextBox 8">
          <a:extLst>
            <a:ext uri="{FF2B5EF4-FFF2-40B4-BE49-F238E27FC236}">
              <a16:creationId xmlns:a16="http://schemas.microsoft.com/office/drawing/2014/main" id="{96E046C4-AA73-4FFA-8FD4-D7B260F438E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6" name="TextBox 4">
          <a:extLst>
            <a:ext uri="{FF2B5EF4-FFF2-40B4-BE49-F238E27FC236}">
              <a16:creationId xmlns:a16="http://schemas.microsoft.com/office/drawing/2014/main" id="{DDAF9B45-2604-48CB-8BB1-33DB33947C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7" name="TextBox 7">
          <a:extLst>
            <a:ext uri="{FF2B5EF4-FFF2-40B4-BE49-F238E27FC236}">
              <a16:creationId xmlns:a16="http://schemas.microsoft.com/office/drawing/2014/main" id="{2AA7937F-0967-4C1D-8825-7A78D49513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8" name="TextBox 8">
          <a:extLst>
            <a:ext uri="{FF2B5EF4-FFF2-40B4-BE49-F238E27FC236}">
              <a16:creationId xmlns:a16="http://schemas.microsoft.com/office/drawing/2014/main" id="{F9C5CB91-3AA3-4C9C-8B09-5B0E37C410C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DBDFBC42-AE72-4118-A2E5-938DA1FC4B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DEEC539E-B160-4E54-85C7-F85FE519056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92AA1C86-FC77-4618-AF64-34A8EA0A1A1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2" name="TextBox 4">
          <a:extLst>
            <a:ext uri="{FF2B5EF4-FFF2-40B4-BE49-F238E27FC236}">
              <a16:creationId xmlns:a16="http://schemas.microsoft.com/office/drawing/2014/main" id="{11563CD2-EEFD-465D-944E-E3751CA212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3" name="TextBox 7">
          <a:extLst>
            <a:ext uri="{FF2B5EF4-FFF2-40B4-BE49-F238E27FC236}">
              <a16:creationId xmlns:a16="http://schemas.microsoft.com/office/drawing/2014/main" id="{4A9FE436-6D5C-4A8E-BD60-BB9DF055DA3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4" name="TextBox 8">
          <a:extLst>
            <a:ext uri="{FF2B5EF4-FFF2-40B4-BE49-F238E27FC236}">
              <a16:creationId xmlns:a16="http://schemas.microsoft.com/office/drawing/2014/main" id="{F6F7F780-F586-4A7A-8BE3-9AE2151DC91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5" name="TextBox 4">
          <a:extLst>
            <a:ext uri="{FF2B5EF4-FFF2-40B4-BE49-F238E27FC236}">
              <a16:creationId xmlns:a16="http://schemas.microsoft.com/office/drawing/2014/main" id="{92DE27A7-5D96-4497-BF5C-B321FC90CC2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6" name="TextBox 7">
          <a:extLst>
            <a:ext uri="{FF2B5EF4-FFF2-40B4-BE49-F238E27FC236}">
              <a16:creationId xmlns:a16="http://schemas.microsoft.com/office/drawing/2014/main" id="{71BB352E-E031-4D34-8C91-E8680BA2B99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7" name="TextBox 8">
          <a:extLst>
            <a:ext uri="{FF2B5EF4-FFF2-40B4-BE49-F238E27FC236}">
              <a16:creationId xmlns:a16="http://schemas.microsoft.com/office/drawing/2014/main" id="{952FC765-D1C8-4DAB-9DF3-F3972ED8C4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8" name="TextBox 4">
          <a:extLst>
            <a:ext uri="{FF2B5EF4-FFF2-40B4-BE49-F238E27FC236}">
              <a16:creationId xmlns:a16="http://schemas.microsoft.com/office/drawing/2014/main" id="{C2BF5A75-B548-4F40-9382-86B0D6C3940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9" name="TextBox 7">
          <a:extLst>
            <a:ext uri="{FF2B5EF4-FFF2-40B4-BE49-F238E27FC236}">
              <a16:creationId xmlns:a16="http://schemas.microsoft.com/office/drawing/2014/main" id="{81CF8B5F-EBF7-4E98-8B28-464D968A4A4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0" name="TextBox 8">
          <a:extLst>
            <a:ext uri="{FF2B5EF4-FFF2-40B4-BE49-F238E27FC236}">
              <a16:creationId xmlns:a16="http://schemas.microsoft.com/office/drawing/2014/main" id="{9B9191D3-8783-4D5B-B377-3DDFA3FDD73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DC353158-D155-44E9-9DE7-EF836B1B03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88C5D56B-BD4E-436A-90A1-5806B7A8E05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A63C5A65-AB95-47EC-8EB7-193EF499175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4" name="TextBox 4">
          <a:extLst>
            <a:ext uri="{FF2B5EF4-FFF2-40B4-BE49-F238E27FC236}">
              <a16:creationId xmlns:a16="http://schemas.microsoft.com/office/drawing/2014/main" id="{7AD6630D-76A9-4FAC-96FE-7EFDE989806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5" name="TextBox 7">
          <a:extLst>
            <a:ext uri="{FF2B5EF4-FFF2-40B4-BE49-F238E27FC236}">
              <a16:creationId xmlns:a16="http://schemas.microsoft.com/office/drawing/2014/main" id="{00109399-E24D-4FCA-9385-912B6127F97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6" name="TextBox 8">
          <a:extLst>
            <a:ext uri="{FF2B5EF4-FFF2-40B4-BE49-F238E27FC236}">
              <a16:creationId xmlns:a16="http://schemas.microsoft.com/office/drawing/2014/main" id="{95279B02-1A99-4207-96D8-C1F80742299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7" name="TextBox 4">
          <a:extLst>
            <a:ext uri="{FF2B5EF4-FFF2-40B4-BE49-F238E27FC236}">
              <a16:creationId xmlns:a16="http://schemas.microsoft.com/office/drawing/2014/main" id="{684B9434-A7E6-4779-B2E7-D7F5E4C853A5}"/>
            </a:ext>
            <a:ext uri="{147F2762-F138-4A5C-976F-8EAC2B608ADB}">
              <a16:predDERef xmlns:a16="http://schemas.microsoft.com/office/drawing/2014/main" pred="{B8A3880D-5BC8-4EEF-9EFB-0C6838120D2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8" name="TextBox 7">
          <a:extLst>
            <a:ext uri="{FF2B5EF4-FFF2-40B4-BE49-F238E27FC236}">
              <a16:creationId xmlns:a16="http://schemas.microsoft.com/office/drawing/2014/main" id="{87F9A2C1-13AD-4D07-B5A2-C232BB884F2D}"/>
            </a:ext>
            <a:ext uri="{147F2762-F138-4A5C-976F-8EAC2B608ADB}">
              <a16:predDERef xmlns:a16="http://schemas.microsoft.com/office/drawing/2014/main" pred="{17285612-0D98-4389-92E6-9D68B13325C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9" name="TextBox 8">
          <a:extLst>
            <a:ext uri="{FF2B5EF4-FFF2-40B4-BE49-F238E27FC236}">
              <a16:creationId xmlns:a16="http://schemas.microsoft.com/office/drawing/2014/main" id="{2FE600DC-B870-44E3-9A04-6F0D9C98135B}"/>
            </a:ext>
            <a:ext uri="{147F2762-F138-4A5C-976F-8EAC2B608ADB}">
              <a16:predDERef xmlns:a16="http://schemas.microsoft.com/office/drawing/2014/main" pred="{99A87C9D-D133-41BA-97C9-7C491C88E29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0" name="TextBox 4">
          <a:extLst>
            <a:ext uri="{FF2B5EF4-FFF2-40B4-BE49-F238E27FC236}">
              <a16:creationId xmlns:a16="http://schemas.microsoft.com/office/drawing/2014/main" id="{CE7811D6-5E35-4C18-B674-0325C1323C39}"/>
            </a:ext>
            <a:ext uri="{147F2762-F138-4A5C-976F-8EAC2B608ADB}">
              <a16:predDERef xmlns:a16="http://schemas.microsoft.com/office/drawing/2014/main" pred="{B6DF5992-D63F-4052-A6BD-8FD27E98654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1" name="TextBox 7">
          <a:extLst>
            <a:ext uri="{FF2B5EF4-FFF2-40B4-BE49-F238E27FC236}">
              <a16:creationId xmlns:a16="http://schemas.microsoft.com/office/drawing/2014/main" id="{BC07C5A8-1B08-4ACA-9D83-14051822B117}"/>
            </a:ext>
            <a:ext uri="{147F2762-F138-4A5C-976F-8EAC2B608ADB}">
              <a16:predDERef xmlns:a16="http://schemas.microsoft.com/office/drawing/2014/main" pred="{5E79FBD3-C415-4D0E-A6AF-5E1B157F6C6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2" name="TextBox 8">
          <a:extLst>
            <a:ext uri="{FF2B5EF4-FFF2-40B4-BE49-F238E27FC236}">
              <a16:creationId xmlns:a16="http://schemas.microsoft.com/office/drawing/2014/main" id="{ADB4089D-9FF4-49CC-A31C-752D50FDA8D6}"/>
            </a:ext>
            <a:ext uri="{147F2762-F138-4A5C-976F-8EAC2B608ADB}">
              <a16:predDERef xmlns:a16="http://schemas.microsoft.com/office/drawing/2014/main" pred="{8C368587-1122-4F17-B56A-8914260491F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3" name="TextBox 4">
          <a:extLst>
            <a:ext uri="{FF2B5EF4-FFF2-40B4-BE49-F238E27FC236}">
              <a16:creationId xmlns:a16="http://schemas.microsoft.com/office/drawing/2014/main" id="{B0C345DD-9B25-428E-85D4-20578D59800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4" name="TextBox 7">
          <a:extLst>
            <a:ext uri="{FF2B5EF4-FFF2-40B4-BE49-F238E27FC236}">
              <a16:creationId xmlns:a16="http://schemas.microsoft.com/office/drawing/2014/main" id="{808D3466-DC52-42BD-919D-239FEB9B9E9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5" name="TextBox 8">
          <a:extLst>
            <a:ext uri="{FF2B5EF4-FFF2-40B4-BE49-F238E27FC236}">
              <a16:creationId xmlns:a16="http://schemas.microsoft.com/office/drawing/2014/main" id="{8CF40715-928F-4D72-A413-C03EDAFB209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6" name="TextBox 4">
          <a:extLst>
            <a:ext uri="{FF2B5EF4-FFF2-40B4-BE49-F238E27FC236}">
              <a16:creationId xmlns:a16="http://schemas.microsoft.com/office/drawing/2014/main" id="{C3473313-4240-46FC-A2FC-B559F7C5AA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7" name="TextBox 7">
          <a:extLst>
            <a:ext uri="{FF2B5EF4-FFF2-40B4-BE49-F238E27FC236}">
              <a16:creationId xmlns:a16="http://schemas.microsoft.com/office/drawing/2014/main" id="{FCE5CE63-0F8C-4C0F-BD5E-5484A151F34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8" name="TextBox 8">
          <a:extLst>
            <a:ext uri="{FF2B5EF4-FFF2-40B4-BE49-F238E27FC236}">
              <a16:creationId xmlns:a16="http://schemas.microsoft.com/office/drawing/2014/main" id="{BC08D781-0459-450B-8D5D-CC8E1D3C91C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9" name="TextBox 4">
          <a:extLst>
            <a:ext uri="{FF2B5EF4-FFF2-40B4-BE49-F238E27FC236}">
              <a16:creationId xmlns:a16="http://schemas.microsoft.com/office/drawing/2014/main" id="{E5034BB4-01BF-474B-AC86-3CC1707F114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0" name="TextBox 7">
          <a:extLst>
            <a:ext uri="{FF2B5EF4-FFF2-40B4-BE49-F238E27FC236}">
              <a16:creationId xmlns:a16="http://schemas.microsoft.com/office/drawing/2014/main" id="{D3EBB6A8-CA9D-49CE-975C-18E62E7578B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1" name="TextBox 8">
          <a:extLst>
            <a:ext uri="{FF2B5EF4-FFF2-40B4-BE49-F238E27FC236}">
              <a16:creationId xmlns:a16="http://schemas.microsoft.com/office/drawing/2014/main" id="{96C4555F-49C3-434B-BBFF-D4A184352B0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863D9980-1ECD-4B9F-AB29-A9BB3D783B8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3" name="TextBox 7">
          <a:extLst>
            <a:ext uri="{FF2B5EF4-FFF2-40B4-BE49-F238E27FC236}">
              <a16:creationId xmlns:a16="http://schemas.microsoft.com/office/drawing/2014/main" id="{44B40F7E-EDA0-4025-8F8F-B919BF7876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4" name="TextBox 8">
          <a:extLst>
            <a:ext uri="{FF2B5EF4-FFF2-40B4-BE49-F238E27FC236}">
              <a16:creationId xmlns:a16="http://schemas.microsoft.com/office/drawing/2014/main" id="{8A00B998-88F1-4A83-B645-41EE184C49B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5" name="TextBox 4">
          <a:extLst>
            <a:ext uri="{FF2B5EF4-FFF2-40B4-BE49-F238E27FC236}">
              <a16:creationId xmlns:a16="http://schemas.microsoft.com/office/drawing/2014/main" id="{28C1D0FD-627F-4F3F-B02E-095B9FEFFEB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6" name="TextBox 7">
          <a:extLst>
            <a:ext uri="{FF2B5EF4-FFF2-40B4-BE49-F238E27FC236}">
              <a16:creationId xmlns:a16="http://schemas.microsoft.com/office/drawing/2014/main" id="{F4B4ADEE-7A21-42C1-9966-298BF3B2C92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7" name="TextBox 8">
          <a:extLst>
            <a:ext uri="{FF2B5EF4-FFF2-40B4-BE49-F238E27FC236}">
              <a16:creationId xmlns:a16="http://schemas.microsoft.com/office/drawing/2014/main" id="{17FA1CDC-6393-4866-BA7B-5119678424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8" name="TextBox 4">
          <a:extLst>
            <a:ext uri="{FF2B5EF4-FFF2-40B4-BE49-F238E27FC236}">
              <a16:creationId xmlns:a16="http://schemas.microsoft.com/office/drawing/2014/main" id="{A395D70C-C594-4122-A712-DA36BA1CF05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9" name="TextBox 7">
          <a:extLst>
            <a:ext uri="{FF2B5EF4-FFF2-40B4-BE49-F238E27FC236}">
              <a16:creationId xmlns:a16="http://schemas.microsoft.com/office/drawing/2014/main" id="{C67826A3-4DA4-4943-8D00-69746E6460A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0" name="TextBox 8">
          <a:extLst>
            <a:ext uri="{FF2B5EF4-FFF2-40B4-BE49-F238E27FC236}">
              <a16:creationId xmlns:a16="http://schemas.microsoft.com/office/drawing/2014/main" id="{E33F753B-7147-43BB-957D-A9F37A5EC9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1" name="TextBox 4">
          <a:extLst>
            <a:ext uri="{FF2B5EF4-FFF2-40B4-BE49-F238E27FC236}">
              <a16:creationId xmlns:a16="http://schemas.microsoft.com/office/drawing/2014/main" id="{357395AD-363D-45DB-8E3E-A7910F58CFC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2" name="TextBox 7">
          <a:extLst>
            <a:ext uri="{FF2B5EF4-FFF2-40B4-BE49-F238E27FC236}">
              <a16:creationId xmlns:a16="http://schemas.microsoft.com/office/drawing/2014/main" id="{C4F6245E-FEE1-45FD-B3E2-B88A4A8101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3" name="TextBox 8">
          <a:extLst>
            <a:ext uri="{FF2B5EF4-FFF2-40B4-BE49-F238E27FC236}">
              <a16:creationId xmlns:a16="http://schemas.microsoft.com/office/drawing/2014/main" id="{7A8DA258-2F06-4160-AAAD-BD1A3874AA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988E9238-D48A-4DEB-A545-001E3EB3267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778C5937-1E71-403A-A121-8AC06CC3EF3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A13FF2EE-5F85-4B51-91F0-5C340A22591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7" name="TextBox 4">
          <a:extLst>
            <a:ext uri="{FF2B5EF4-FFF2-40B4-BE49-F238E27FC236}">
              <a16:creationId xmlns:a16="http://schemas.microsoft.com/office/drawing/2014/main" id="{2514E4A4-F3FE-4466-8D6C-8D3E9767C0B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8" name="TextBox 7">
          <a:extLst>
            <a:ext uri="{FF2B5EF4-FFF2-40B4-BE49-F238E27FC236}">
              <a16:creationId xmlns:a16="http://schemas.microsoft.com/office/drawing/2014/main" id="{A78148AB-A9D6-4899-AB20-DBA2D4801CA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9" name="TextBox 8">
          <a:extLst>
            <a:ext uri="{FF2B5EF4-FFF2-40B4-BE49-F238E27FC236}">
              <a16:creationId xmlns:a16="http://schemas.microsoft.com/office/drawing/2014/main" id="{FD986C2A-66E5-43E2-82C3-548FEC386F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0" name="TextBox 4">
          <a:extLst>
            <a:ext uri="{FF2B5EF4-FFF2-40B4-BE49-F238E27FC236}">
              <a16:creationId xmlns:a16="http://schemas.microsoft.com/office/drawing/2014/main" id="{E8EA7591-78EF-4437-8EC5-386B898260B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1" name="TextBox 7">
          <a:extLst>
            <a:ext uri="{FF2B5EF4-FFF2-40B4-BE49-F238E27FC236}">
              <a16:creationId xmlns:a16="http://schemas.microsoft.com/office/drawing/2014/main" id="{D0D3A6CF-7336-4031-A7F5-CD39B4C4F7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2" name="TextBox 8">
          <a:extLst>
            <a:ext uri="{FF2B5EF4-FFF2-40B4-BE49-F238E27FC236}">
              <a16:creationId xmlns:a16="http://schemas.microsoft.com/office/drawing/2014/main" id="{A0997005-F5DC-4C3C-A076-62CBB28DF7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3" name="TextBox 4">
          <a:extLst>
            <a:ext uri="{FF2B5EF4-FFF2-40B4-BE49-F238E27FC236}">
              <a16:creationId xmlns:a16="http://schemas.microsoft.com/office/drawing/2014/main" id="{35BF3816-1B3C-42D0-A4FA-44CCF37CE0B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4" name="TextBox 7">
          <a:extLst>
            <a:ext uri="{FF2B5EF4-FFF2-40B4-BE49-F238E27FC236}">
              <a16:creationId xmlns:a16="http://schemas.microsoft.com/office/drawing/2014/main" id="{A9BFFECF-1C88-4C58-B203-81D8B4F4A09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5" name="TextBox 8">
          <a:extLst>
            <a:ext uri="{FF2B5EF4-FFF2-40B4-BE49-F238E27FC236}">
              <a16:creationId xmlns:a16="http://schemas.microsoft.com/office/drawing/2014/main" id="{56662FC0-2414-4D87-8DD6-215CB3BD77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B163F502-F723-4723-A98B-AC0040143C1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D725416A-BFB1-44A5-B7B0-45BC2E95257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AAB0C8D1-6B55-4932-8541-32D006F65EE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9" name="TextBox 4">
          <a:extLst>
            <a:ext uri="{FF2B5EF4-FFF2-40B4-BE49-F238E27FC236}">
              <a16:creationId xmlns:a16="http://schemas.microsoft.com/office/drawing/2014/main" id="{2765902B-6382-4D34-AFEA-C4FC75B8F76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0" name="TextBox 7">
          <a:extLst>
            <a:ext uri="{FF2B5EF4-FFF2-40B4-BE49-F238E27FC236}">
              <a16:creationId xmlns:a16="http://schemas.microsoft.com/office/drawing/2014/main" id="{30D5735E-CD09-4EA1-8B6B-C786A449F69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1" name="TextBox 8">
          <a:extLst>
            <a:ext uri="{FF2B5EF4-FFF2-40B4-BE49-F238E27FC236}">
              <a16:creationId xmlns:a16="http://schemas.microsoft.com/office/drawing/2014/main" id="{221BBC0C-E0E1-44BF-B1D2-7576F8DB5B0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2" name="TextBox 4">
          <a:extLst>
            <a:ext uri="{FF2B5EF4-FFF2-40B4-BE49-F238E27FC236}">
              <a16:creationId xmlns:a16="http://schemas.microsoft.com/office/drawing/2014/main" id="{5C0E92BE-C28F-4A89-A168-F13E779952F4}"/>
            </a:ext>
            <a:ext uri="{147F2762-F138-4A5C-976F-8EAC2B608ADB}">
              <a16:predDERef xmlns:a16="http://schemas.microsoft.com/office/drawing/2014/main" pred="{26D8A035-1F7F-46E3-AFE6-96813BB6DB6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3" name="TextBox 7">
          <a:extLst>
            <a:ext uri="{FF2B5EF4-FFF2-40B4-BE49-F238E27FC236}">
              <a16:creationId xmlns:a16="http://schemas.microsoft.com/office/drawing/2014/main" id="{54D1F6A9-4099-4C6D-80AF-3C24EE642987}"/>
            </a:ext>
            <a:ext uri="{147F2762-F138-4A5C-976F-8EAC2B608ADB}">
              <a16:predDERef xmlns:a16="http://schemas.microsoft.com/office/drawing/2014/main" pred="{9D01B51E-E3EE-40CA-9DCF-19FCAE66761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4" name="TextBox 8">
          <a:extLst>
            <a:ext uri="{FF2B5EF4-FFF2-40B4-BE49-F238E27FC236}">
              <a16:creationId xmlns:a16="http://schemas.microsoft.com/office/drawing/2014/main" id="{33DBD4AB-F563-4D03-9556-5A4782662802}"/>
            </a:ext>
            <a:ext uri="{147F2762-F138-4A5C-976F-8EAC2B608ADB}">
              <a16:predDERef xmlns:a16="http://schemas.microsoft.com/office/drawing/2014/main" pred="{43DCE1B5-1635-4006-B473-CD4CA713535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5" name="TextBox 4">
          <a:extLst>
            <a:ext uri="{FF2B5EF4-FFF2-40B4-BE49-F238E27FC236}">
              <a16:creationId xmlns:a16="http://schemas.microsoft.com/office/drawing/2014/main" id="{6B37F277-5BB5-4DA8-9C4F-F7DACE830C1F}"/>
            </a:ext>
            <a:ext uri="{147F2762-F138-4A5C-976F-8EAC2B608ADB}">
              <a16:predDERef xmlns:a16="http://schemas.microsoft.com/office/drawing/2014/main" pred="{60EB5263-9008-44AF-8640-24B244340B8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6" name="TextBox 7">
          <a:extLst>
            <a:ext uri="{FF2B5EF4-FFF2-40B4-BE49-F238E27FC236}">
              <a16:creationId xmlns:a16="http://schemas.microsoft.com/office/drawing/2014/main" id="{5766EEE7-D9F4-4950-BF3A-A74E546C20D4}"/>
            </a:ext>
            <a:ext uri="{147F2762-F138-4A5C-976F-8EAC2B608ADB}">
              <a16:predDERef xmlns:a16="http://schemas.microsoft.com/office/drawing/2014/main" pred="{86ADC7D7-D675-41A5-A18F-81E9DE643A5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7" name="TextBox 8">
          <a:extLst>
            <a:ext uri="{FF2B5EF4-FFF2-40B4-BE49-F238E27FC236}">
              <a16:creationId xmlns:a16="http://schemas.microsoft.com/office/drawing/2014/main" id="{5CE5F5B4-ACD5-4930-A858-BD03A27CD662}"/>
            </a:ext>
            <a:ext uri="{147F2762-F138-4A5C-976F-8EAC2B608ADB}">
              <a16:predDERef xmlns:a16="http://schemas.microsoft.com/office/drawing/2014/main" pred="{48AD7D56-62A3-41AA-B7B8-10361A18E65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8" name="TextBox 4">
          <a:extLst>
            <a:ext uri="{FF2B5EF4-FFF2-40B4-BE49-F238E27FC236}">
              <a16:creationId xmlns:a16="http://schemas.microsoft.com/office/drawing/2014/main" id="{1C176768-0E50-422C-93A2-9A8BD5C7278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9" name="TextBox 7">
          <a:extLst>
            <a:ext uri="{FF2B5EF4-FFF2-40B4-BE49-F238E27FC236}">
              <a16:creationId xmlns:a16="http://schemas.microsoft.com/office/drawing/2014/main" id="{A174744F-0A5F-462E-80F7-DF27D85ABB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0" name="TextBox 8">
          <a:extLst>
            <a:ext uri="{FF2B5EF4-FFF2-40B4-BE49-F238E27FC236}">
              <a16:creationId xmlns:a16="http://schemas.microsoft.com/office/drawing/2014/main" id="{133DAC0D-DEA0-49B6-BDB0-2B4E7B20670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1" name="TextBox 4">
          <a:extLst>
            <a:ext uri="{FF2B5EF4-FFF2-40B4-BE49-F238E27FC236}">
              <a16:creationId xmlns:a16="http://schemas.microsoft.com/office/drawing/2014/main" id="{984C74B6-1006-48EA-B0C8-26D74F5541C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2" name="TextBox 7">
          <a:extLst>
            <a:ext uri="{FF2B5EF4-FFF2-40B4-BE49-F238E27FC236}">
              <a16:creationId xmlns:a16="http://schemas.microsoft.com/office/drawing/2014/main" id="{B93C2D24-0D8A-4BED-84BF-EA1F3F76506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3" name="TextBox 8">
          <a:extLst>
            <a:ext uri="{FF2B5EF4-FFF2-40B4-BE49-F238E27FC236}">
              <a16:creationId xmlns:a16="http://schemas.microsoft.com/office/drawing/2014/main" id="{F6365C0B-4FE7-4B29-9274-0F3BDFFF344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4" name="TextBox 4">
          <a:extLst>
            <a:ext uri="{FF2B5EF4-FFF2-40B4-BE49-F238E27FC236}">
              <a16:creationId xmlns:a16="http://schemas.microsoft.com/office/drawing/2014/main" id="{3402FB4B-33C4-4DA8-99A0-9B3F3C34143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5" name="TextBox 7">
          <a:extLst>
            <a:ext uri="{FF2B5EF4-FFF2-40B4-BE49-F238E27FC236}">
              <a16:creationId xmlns:a16="http://schemas.microsoft.com/office/drawing/2014/main" id="{98F0463C-359E-4FC9-BFF4-25FA9129399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6" name="TextBox 8">
          <a:extLst>
            <a:ext uri="{FF2B5EF4-FFF2-40B4-BE49-F238E27FC236}">
              <a16:creationId xmlns:a16="http://schemas.microsoft.com/office/drawing/2014/main" id="{B793F986-6E0A-401E-BE69-7C7C88E42AE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9B19D6C1-AFAE-422E-9CFC-69806A8B75A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8" name="TextBox 7">
          <a:extLst>
            <a:ext uri="{FF2B5EF4-FFF2-40B4-BE49-F238E27FC236}">
              <a16:creationId xmlns:a16="http://schemas.microsoft.com/office/drawing/2014/main" id="{E5B52B7A-9772-4AD9-86C3-1D28E5F4FFF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9" name="TextBox 8">
          <a:extLst>
            <a:ext uri="{FF2B5EF4-FFF2-40B4-BE49-F238E27FC236}">
              <a16:creationId xmlns:a16="http://schemas.microsoft.com/office/drawing/2014/main" id="{EDE427FC-BCF7-41E3-B4D9-A89F443062A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0" name="TextBox 4">
          <a:extLst>
            <a:ext uri="{FF2B5EF4-FFF2-40B4-BE49-F238E27FC236}">
              <a16:creationId xmlns:a16="http://schemas.microsoft.com/office/drawing/2014/main" id="{657B87B1-5B24-4A65-AF3C-6F37FA37267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1" name="TextBox 7">
          <a:extLst>
            <a:ext uri="{FF2B5EF4-FFF2-40B4-BE49-F238E27FC236}">
              <a16:creationId xmlns:a16="http://schemas.microsoft.com/office/drawing/2014/main" id="{D7317268-4DE9-441B-9A14-5BD1FEAC699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2" name="TextBox 8">
          <a:extLst>
            <a:ext uri="{FF2B5EF4-FFF2-40B4-BE49-F238E27FC236}">
              <a16:creationId xmlns:a16="http://schemas.microsoft.com/office/drawing/2014/main" id="{B75F5E9A-83C3-403D-8D8F-3AD7B757775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3" name="TextBox 4">
          <a:extLst>
            <a:ext uri="{FF2B5EF4-FFF2-40B4-BE49-F238E27FC236}">
              <a16:creationId xmlns:a16="http://schemas.microsoft.com/office/drawing/2014/main" id="{F0DA8BB9-6173-4A53-81EC-FB708D3287E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4" name="TextBox 7">
          <a:extLst>
            <a:ext uri="{FF2B5EF4-FFF2-40B4-BE49-F238E27FC236}">
              <a16:creationId xmlns:a16="http://schemas.microsoft.com/office/drawing/2014/main" id="{97A103B5-69D2-475F-B144-42F602B2309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5" name="TextBox 8">
          <a:extLst>
            <a:ext uri="{FF2B5EF4-FFF2-40B4-BE49-F238E27FC236}">
              <a16:creationId xmlns:a16="http://schemas.microsoft.com/office/drawing/2014/main" id="{0C9493A3-B9D3-4C94-AC1A-068877B16A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6" name="TextBox 4">
          <a:extLst>
            <a:ext uri="{FF2B5EF4-FFF2-40B4-BE49-F238E27FC236}">
              <a16:creationId xmlns:a16="http://schemas.microsoft.com/office/drawing/2014/main" id="{97E2CE46-65F9-4E8E-A394-4E37809EAFE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7" name="TextBox 7">
          <a:extLst>
            <a:ext uri="{FF2B5EF4-FFF2-40B4-BE49-F238E27FC236}">
              <a16:creationId xmlns:a16="http://schemas.microsoft.com/office/drawing/2014/main" id="{EBD92C0B-7E05-4581-AA05-DC38A356465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8" name="TextBox 8">
          <a:extLst>
            <a:ext uri="{FF2B5EF4-FFF2-40B4-BE49-F238E27FC236}">
              <a16:creationId xmlns:a16="http://schemas.microsoft.com/office/drawing/2014/main" id="{0D4C9A4E-5C4E-4736-8597-BD3D971BA09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90C6F054-C3E5-4114-A5E0-80CBE82DA28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9343CF73-8352-434C-97E7-76C7513C6A0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A597436A-0463-46CD-8E08-02BA2DAA1FE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2" name="TextBox 4">
          <a:extLst>
            <a:ext uri="{FF2B5EF4-FFF2-40B4-BE49-F238E27FC236}">
              <a16:creationId xmlns:a16="http://schemas.microsoft.com/office/drawing/2014/main" id="{F678641F-B6C3-435A-8F02-C339E0A219B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3" name="TextBox 7">
          <a:extLst>
            <a:ext uri="{FF2B5EF4-FFF2-40B4-BE49-F238E27FC236}">
              <a16:creationId xmlns:a16="http://schemas.microsoft.com/office/drawing/2014/main" id="{3C50F0F4-3927-41D8-A184-D53F588BE72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4" name="TextBox 8">
          <a:extLst>
            <a:ext uri="{FF2B5EF4-FFF2-40B4-BE49-F238E27FC236}">
              <a16:creationId xmlns:a16="http://schemas.microsoft.com/office/drawing/2014/main" id="{00223E65-5606-4349-A80D-E60D3BE066D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5" name="TextBox 4">
          <a:extLst>
            <a:ext uri="{FF2B5EF4-FFF2-40B4-BE49-F238E27FC236}">
              <a16:creationId xmlns:a16="http://schemas.microsoft.com/office/drawing/2014/main" id="{C4F4E313-790E-4B7E-A9AA-B13614D2AEE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6" name="TextBox 7">
          <a:extLst>
            <a:ext uri="{FF2B5EF4-FFF2-40B4-BE49-F238E27FC236}">
              <a16:creationId xmlns:a16="http://schemas.microsoft.com/office/drawing/2014/main" id="{56C6763C-E605-4F1F-AAA0-B997350A284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7" name="TextBox 8">
          <a:extLst>
            <a:ext uri="{FF2B5EF4-FFF2-40B4-BE49-F238E27FC236}">
              <a16:creationId xmlns:a16="http://schemas.microsoft.com/office/drawing/2014/main" id="{84794AC9-3F36-4346-AE4B-4638B6E112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8" name="TextBox 4">
          <a:extLst>
            <a:ext uri="{FF2B5EF4-FFF2-40B4-BE49-F238E27FC236}">
              <a16:creationId xmlns:a16="http://schemas.microsoft.com/office/drawing/2014/main" id="{B2CF7D13-591F-4417-AB21-72739CDD7AA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9" name="TextBox 7">
          <a:extLst>
            <a:ext uri="{FF2B5EF4-FFF2-40B4-BE49-F238E27FC236}">
              <a16:creationId xmlns:a16="http://schemas.microsoft.com/office/drawing/2014/main" id="{9D62318A-6B17-4982-B906-689E5002BE5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0" name="TextBox 8">
          <a:extLst>
            <a:ext uri="{FF2B5EF4-FFF2-40B4-BE49-F238E27FC236}">
              <a16:creationId xmlns:a16="http://schemas.microsoft.com/office/drawing/2014/main" id="{CC8EFB0A-F749-45F9-8927-5749E83F4F9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2243C3B1-5D40-43B9-8448-ECE0A354F28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C881C47E-A25C-463E-AD9C-13087549F66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4E1AF288-8EE4-4877-ADB8-FAFAE28F34E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4" name="TextBox 4">
          <a:extLst>
            <a:ext uri="{FF2B5EF4-FFF2-40B4-BE49-F238E27FC236}">
              <a16:creationId xmlns:a16="http://schemas.microsoft.com/office/drawing/2014/main" id="{007D372A-047F-4BC6-9305-EF0C19C0DA8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5" name="TextBox 7">
          <a:extLst>
            <a:ext uri="{FF2B5EF4-FFF2-40B4-BE49-F238E27FC236}">
              <a16:creationId xmlns:a16="http://schemas.microsoft.com/office/drawing/2014/main" id="{181D520B-0AAD-4BB2-996A-95E74074A88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6" name="TextBox 8">
          <a:extLst>
            <a:ext uri="{FF2B5EF4-FFF2-40B4-BE49-F238E27FC236}">
              <a16:creationId xmlns:a16="http://schemas.microsoft.com/office/drawing/2014/main" id="{15996656-755D-439E-9A33-270655C162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7" name="TextBox 4">
          <a:extLst>
            <a:ext uri="{FF2B5EF4-FFF2-40B4-BE49-F238E27FC236}">
              <a16:creationId xmlns:a16="http://schemas.microsoft.com/office/drawing/2014/main" id="{B2D5884C-82B0-4779-AD4A-AA919C64FA29}"/>
            </a:ext>
            <a:ext uri="{147F2762-F138-4A5C-976F-8EAC2B608ADB}">
              <a16:predDERef xmlns:a16="http://schemas.microsoft.com/office/drawing/2014/main" pred="{B8A3880D-5BC8-4EEF-9EFB-0C6838120D2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8" name="TextBox 7">
          <a:extLst>
            <a:ext uri="{FF2B5EF4-FFF2-40B4-BE49-F238E27FC236}">
              <a16:creationId xmlns:a16="http://schemas.microsoft.com/office/drawing/2014/main" id="{AF0A041F-40B1-48A9-AE65-4160D36D85BB}"/>
            </a:ext>
            <a:ext uri="{147F2762-F138-4A5C-976F-8EAC2B608ADB}">
              <a16:predDERef xmlns:a16="http://schemas.microsoft.com/office/drawing/2014/main" pred="{17285612-0D98-4389-92E6-9D68B13325C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9" name="TextBox 8">
          <a:extLst>
            <a:ext uri="{FF2B5EF4-FFF2-40B4-BE49-F238E27FC236}">
              <a16:creationId xmlns:a16="http://schemas.microsoft.com/office/drawing/2014/main" id="{AD5DF691-7337-4344-A768-E5A6C7226FD2}"/>
            </a:ext>
            <a:ext uri="{147F2762-F138-4A5C-976F-8EAC2B608ADB}">
              <a16:predDERef xmlns:a16="http://schemas.microsoft.com/office/drawing/2014/main" pred="{99A87C9D-D133-41BA-97C9-7C491C88E29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0" name="TextBox 4">
          <a:extLst>
            <a:ext uri="{FF2B5EF4-FFF2-40B4-BE49-F238E27FC236}">
              <a16:creationId xmlns:a16="http://schemas.microsoft.com/office/drawing/2014/main" id="{12C63B4F-A0B0-4A02-B02D-D85B597F7AF0}"/>
            </a:ext>
            <a:ext uri="{147F2762-F138-4A5C-976F-8EAC2B608ADB}">
              <a16:predDERef xmlns:a16="http://schemas.microsoft.com/office/drawing/2014/main" pred="{B6DF5992-D63F-4052-A6BD-8FD27E98654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1" name="TextBox 7">
          <a:extLst>
            <a:ext uri="{FF2B5EF4-FFF2-40B4-BE49-F238E27FC236}">
              <a16:creationId xmlns:a16="http://schemas.microsoft.com/office/drawing/2014/main" id="{2D5BA8CA-DEF0-42A8-8533-D7DA2F565A33}"/>
            </a:ext>
            <a:ext uri="{147F2762-F138-4A5C-976F-8EAC2B608ADB}">
              <a16:predDERef xmlns:a16="http://schemas.microsoft.com/office/drawing/2014/main" pred="{5E79FBD3-C415-4D0E-A6AF-5E1B157F6C6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2" name="TextBox 8">
          <a:extLst>
            <a:ext uri="{FF2B5EF4-FFF2-40B4-BE49-F238E27FC236}">
              <a16:creationId xmlns:a16="http://schemas.microsoft.com/office/drawing/2014/main" id="{37D14960-C1FD-4AAA-8704-73CF010A13BE}"/>
            </a:ext>
            <a:ext uri="{147F2762-F138-4A5C-976F-8EAC2B608ADB}">
              <a16:predDERef xmlns:a16="http://schemas.microsoft.com/office/drawing/2014/main" pred="{8C368587-1122-4F17-B56A-8914260491F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3" name="TextBox 4">
          <a:extLst>
            <a:ext uri="{FF2B5EF4-FFF2-40B4-BE49-F238E27FC236}">
              <a16:creationId xmlns:a16="http://schemas.microsoft.com/office/drawing/2014/main" id="{A31D28F7-BC57-4A63-88BD-F9E00A3B8F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4" name="TextBox 7">
          <a:extLst>
            <a:ext uri="{FF2B5EF4-FFF2-40B4-BE49-F238E27FC236}">
              <a16:creationId xmlns:a16="http://schemas.microsoft.com/office/drawing/2014/main" id="{1141100E-FDF6-4B6F-AEA1-48D2B01775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5" name="TextBox 8">
          <a:extLst>
            <a:ext uri="{FF2B5EF4-FFF2-40B4-BE49-F238E27FC236}">
              <a16:creationId xmlns:a16="http://schemas.microsoft.com/office/drawing/2014/main" id="{9E0ED913-8B0D-4C56-A7E4-9EDBDE5D819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6" name="TextBox 4">
          <a:extLst>
            <a:ext uri="{FF2B5EF4-FFF2-40B4-BE49-F238E27FC236}">
              <a16:creationId xmlns:a16="http://schemas.microsoft.com/office/drawing/2014/main" id="{8E194DF1-9F30-4F0F-B016-24DC65F6CC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7" name="TextBox 7">
          <a:extLst>
            <a:ext uri="{FF2B5EF4-FFF2-40B4-BE49-F238E27FC236}">
              <a16:creationId xmlns:a16="http://schemas.microsoft.com/office/drawing/2014/main" id="{92EC00C8-C2E8-4127-B905-361213B39B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8" name="TextBox 8">
          <a:extLst>
            <a:ext uri="{FF2B5EF4-FFF2-40B4-BE49-F238E27FC236}">
              <a16:creationId xmlns:a16="http://schemas.microsoft.com/office/drawing/2014/main" id="{664AE730-21BA-40DB-B610-D57FC0C8BB6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9" name="TextBox 4">
          <a:extLst>
            <a:ext uri="{FF2B5EF4-FFF2-40B4-BE49-F238E27FC236}">
              <a16:creationId xmlns:a16="http://schemas.microsoft.com/office/drawing/2014/main" id="{B3962F2F-93B0-4478-A771-B89B0F9A384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0" name="TextBox 7">
          <a:extLst>
            <a:ext uri="{FF2B5EF4-FFF2-40B4-BE49-F238E27FC236}">
              <a16:creationId xmlns:a16="http://schemas.microsoft.com/office/drawing/2014/main" id="{DB2EAFE1-5683-4E9E-A42E-E5CA4DEB98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1" name="TextBox 8">
          <a:extLst>
            <a:ext uri="{FF2B5EF4-FFF2-40B4-BE49-F238E27FC236}">
              <a16:creationId xmlns:a16="http://schemas.microsoft.com/office/drawing/2014/main" id="{F961A7C5-443A-4C64-A71A-A58508C6C00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E5BA037D-FD99-44EB-9AA3-697E6892CA6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3" name="TextBox 7">
          <a:extLst>
            <a:ext uri="{FF2B5EF4-FFF2-40B4-BE49-F238E27FC236}">
              <a16:creationId xmlns:a16="http://schemas.microsoft.com/office/drawing/2014/main" id="{C2BAD647-FC85-4C82-8C87-BE565C999C6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4" name="TextBox 8">
          <a:extLst>
            <a:ext uri="{FF2B5EF4-FFF2-40B4-BE49-F238E27FC236}">
              <a16:creationId xmlns:a16="http://schemas.microsoft.com/office/drawing/2014/main" id="{11A18ACD-7705-433A-9FBD-6A28C203EF2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5" name="TextBox 4">
          <a:extLst>
            <a:ext uri="{FF2B5EF4-FFF2-40B4-BE49-F238E27FC236}">
              <a16:creationId xmlns:a16="http://schemas.microsoft.com/office/drawing/2014/main" id="{9A140F29-7D7E-4AFC-A538-A925D63C5CE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6" name="TextBox 7">
          <a:extLst>
            <a:ext uri="{FF2B5EF4-FFF2-40B4-BE49-F238E27FC236}">
              <a16:creationId xmlns:a16="http://schemas.microsoft.com/office/drawing/2014/main" id="{2CDAF7AC-A5C0-455B-B368-8470DA0B61D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7" name="TextBox 8">
          <a:extLst>
            <a:ext uri="{FF2B5EF4-FFF2-40B4-BE49-F238E27FC236}">
              <a16:creationId xmlns:a16="http://schemas.microsoft.com/office/drawing/2014/main" id="{F11EE666-1B4C-4AF7-B352-90FDD06646C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8" name="TextBox 4">
          <a:extLst>
            <a:ext uri="{FF2B5EF4-FFF2-40B4-BE49-F238E27FC236}">
              <a16:creationId xmlns:a16="http://schemas.microsoft.com/office/drawing/2014/main" id="{423B3272-D955-407D-88AB-D8506223B4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9" name="TextBox 7">
          <a:extLst>
            <a:ext uri="{FF2B5EF4-FFF2-40B4-BE49-F238E27FC236}">
              <a16:creationId xmlns:a16="http://schemas.microsoft.com/office/drawing/2014/main" id="{E5B94E0D-505A-4E25-BFAB-A239F8DCB77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0" name="TextBox 8">
          <a:extLst>
            <a:ext uri="{FF2B5EF4-FFF2-40B4-BE49-F238E27FC236}">
              <a16:creationId xmlns:a16="http://schemas.microsoft.com/office/drawing/2014/main" id="{DB0F4316-96E5-44F6-893B-02F4A89AC95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1" name="TextBox 4">
          <a:extLst>
            <a:ext uri="{FF2B5EF4-FFF2-40B4-BE49-F238E27FC236}">
              <a16:creationId xmlns:a16="http://schemas.microsoft.com/office/drawing/2014/main" id="{633B82BA-6EDD-43E3-BAF3-012D0DC09D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2" name="TextBox 7">
          <a:extLst>
            <a:ext uri="{FF2B5EF4-FFF2-40B4-BE49-F238E27FC236}">
              <a16:creationId xmlns:a16="http://schemas.microsoft.com/office/drawing/2014/main" id="{BC42F55D-1852-4C12-9BD8-5D590958B54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3" name="TextBox 8">
          <a:extLst>
            <a:ext uri="{FF2B5EF4-FFF2-40B4-BE49-F238E27FC236}">
              <a16:creationId xmlns:a16="http://schemas.microsoft.com/office/drawing/2014/main" id="{A17543A8-D3E5-4276-92A6-C21F468AFEF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93855F5B-BA57-4CDA-8EA6-CBEE0A0EEE6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FA1A89BC-1653-475E-B75E-AA8647435B5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2EF110FE-C422-42D6-8247-8D1989E799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7" name="TextBox 4">
          <a:extLst>
            <a:ext uri="{FF2B5EF4-FFF2-40B4-BE49-F238E27FC236}">
              <a16:creationId xmlns:a16="http://schemas.microsoft.com/office/drawing/2014/main" id="{A5DF6993-BA00-4359-9BAA-638B4E0F33B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8" name="TextBox 7">
          <a:extLst>
            <a:ext uri="{FF2B5EF4-FFF2-40B4-BE49-F238E27FC236}">
              <a16:creationId xmlns:a16="http://schemas.microsoft.com/office/drawing/2014/main" id="{4AEC84DB-EEDF-441B-9689-8A486AE26B0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9" name="TextBox 8">
          <a:extLst>
            <a:ext uri="{FF2B5EF4-FFF2-40B4-BE49-F238E27FC236}">
              <a16:creationId xmlns:a16="http://schemas.microsoft.com/office/drawing/2014/main" id="{642460A9-563F-4576-A3E2-5CE1858F483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0" name="TextBox 4">
          <a:extLst>
            <a:ext uri="{FF2B5EF4-FFF2-40B4-BE49-F238E27FC236}">
              <a16:creationId xmlns:a16="http://schemas.microsoft.com/office/drawing/2014/main" id="{7CBD22DF-1F66-441A-9FD2-A7172ABC835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1" name="TextBox 7">
          <a:extLst>
            <a:ext uri="{FF2B5EF4-FFF2-40B4-BE49-F238E27FC236}">
              <a16:creationId xmlns:a16="http://schemas.microsoft.com/office/drawing/2014/main" id="{49FDD762-2C1B-48FC-8A20-22D29854E86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2" name="TextBox 8">
          <a:extLst>
            <a:ext uri="{FF2B5EF4-FFF2-40B4-BE49-F238E27FC236}">
              <a16:creationId xmlns:a16="http://schemas.microsoft.com/office/drawing/2014/main" id="{EA30C692-FB51-4362-8948-D045B7CC5FF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3" name="TextBox 4">
          <a:extLst>
            <a:ext uri="{FF2B5EF4-FFF2-40B4-BE49-F238E27FC236}">
              <a16:creationId xmlns:a16="http://schemas.microsoft.com/office/drawing/2014/main" id="{F43490FA-5E31-44A5-84C8-8C52C6B98C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4" name="TextBox 7">
          <a:extLst>
            <a:ext uri="{FF2B5EF4-FFF2-40B4-BE49-F238E27FC236}">
              <a16:creationId xmlns:a16="http://schemas.microsoft.com/office/drawing/2014/main" id="{1B17AB66-B6D5-4BD1-A89C-A4369F54F79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5" name="TextBox 8">
          <a:extLst>
            <a:ext uri="{FF2B5EF4-FFF2-40B4-BE49-F238E27FC236}">
              <a16:creationId xmlns:a16="http://schemas.microsoft.com/office/drawing/2014/main" id="{9DCC26FD-1634-4236-A10E-423ABC3395B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A2158F4F-FC78-41CC-AF17-00F4B80F532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62CD674A-43AE-4787-9931-B6EEEB6DAD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80BD4EB2-B149-44E8-94F5-7055AF854DD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00000000-0008-0000-2600-00000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00000000-0008-0000-2600-00000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00000000-0008-0000-2600-00000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B690D6-C1F8-4A85-84BD-6DBD166DFAE3}"/>
            </a:ext>
            <a:ext uri="{147F2762-F138-4A5C-976F-8EAC2B608ADB}">
              <a16:predDERef xmlns:a16="http://schemas.microsoft.com/office/drawing/2014/main" pred="{00000000-0008-0000-2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98318</xdr:colOff>
      <xdr:row>1</xdr:row>
      <xdr:rowOff>198839</xdr:rowOff>
    </xdr:from>
    <xdr:to>
      <xdr:col>8</xdr:col>
      <xdr:colOff>941775</xdr:colOff>
      <xdr:row>4</xdr:row>
      <xdr:rowOff>97874</xdr:rowOff>
    </xdr:to>
    <xdr:pic>
      <xdr:nvPicPr>
        <xdr:cNvPr id="7" name="Picture 4" descr="VIAGS xanh">
          <a:extLst>
            <a:ext uri="{FF2B5EF4-FFF2-40B4-BE49-F238E27FC236}">
              <a16:creationId xmlns:a16="http://schemas.microsoft.com/office/drawing/2014/main" id="{3807B16D-523A-4BFD-BC67-46205A7F302D}"/>
            </a:ext>
            <a:ext uri="{147F2762-F138-4A5C-976F-8EAC2B608ADB}">
              <a16:predDERef xmlns:a16="http://schemas.microsoft.com/office/drawing/2014/main" pred="{40B690D6-C1F8-4A85-84BD-6DBD166D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2863" y="309675"/>
          <a:ext cx="1937967" cy="6056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4">
          <a:extLst>
            <a:ext uri="{FF2B5EF4-FFF2-40B4-BE49-F238E27FC236}">
              <a16:creationId xmlns:a16="http://schemas.microsoft.com/office/drawing/2014/main" id="{3ED4360B-CEF2-4311-A4C1-EF37F0CA5482}"/>
            </a:ext>
            <a:ext uri="{147F2762-F138-4A5C-976F-8EAC2B608ADB}">
              <a16:predDERef xmlns:a16="http://schemas.microsoft.com/office/drawing/2014/main" pred="{0BF49D78-01AF-4556-BE54-33698810557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CCEF7297-65B9-4E0E-B085-B2A20B2B00F7}"/>
            </a:ext>
            <a:ext uri="{147F2762-F138-4A5C-976F-8EAC2B608ADB}">
              <a16:predDERef xmlns:a16="http://schemas.microsoft.com/office/drawing/2014/main" pred="{3ED4360B-CEF2-4311-A4C1-EF37F0CA548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F68DA347-1866-45F8-9728-534981EC2AEB}"/>
            </a:ext>
            <a:ext uri="{147F2762-F138-4A5C-976F-8EAC2B608ADB}">
              <a16:predDERef xmlns:a16="http://schemas.microsoft.com/office/drawing/2014/main" pred="{CCEF7297-65B9-4E0E-B085-B2A20B2B00F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1472551C-6B14-4B82-ACEC-E8A9D6391C3C}"/>
            </a:ext>
            <a:ext uri="{147F2762-F138-4A5C-976F-8EAC2B608ADB}">
              <a16:predDERef xmlns:a16="http://schemas.microsoft.com/office/drawing/2014/main" pred="{F68DA347-1866-45F8-9728-534981EC2AE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CA886E21-1DD2-4A7D-9879-E48E0A6B9C78}"/>
            </a:ext>
            <a:ext uri="{147F2762-F138-4A5C-976F-8EAC2B608ADB}">
              <a16:predDERef xmlns:a16="http://schemas.microsoft.com/office/drawing/2014/main" pred="{1472551C-6B14-4B82-ACEC-E8A9D6391C3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1A0BCE9A-0EB8-49BC-9EBD-9912347E416E}"/>
            </a:ext>
            <a:ext uri="{147F2762-F138-4A5C-976F-8EAC2B608ADB}">
              <a16:predDERef xmlns:a16="http://schemas.microsoft.com/office/drawing/2014/main" pred="{CA886E21-1DD2-4A7D-9879-E48E0A6B9C7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5650924E-E51C-4D0B-8F2F-E9BE40D999B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A8062DCC-1438-4912-873F-05218BF1AAB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CF21337F-07BC-4755-8D72-C6135341FF9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036AA3DC-1C0A-4EAB-A956-29E63AEC619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A8614CD3-DF6F-46C6-83AE-C4E079C569A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1FA2CA24-E9E5-4604-88CA-E9B5DA1F29A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15311707-71C3-4455-AFA8-87B2A35DF43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86D183B7-E005-42E0-B503-7F764DC6D49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127B4BD7-897B-4C5B-8A35-08D3022958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6AFA8C1-47BB-45AF-93A1-DF8A008F853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F4CE0D30-3ACE-4DB3-97C9-262E2FDEF00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3EFE35FB-AFE4-46BA-A2F9-78C19927043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D24E1882-0D49-4E7A-84C7-31B7EF028E0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713BA892-92E0-45A4-9A9E-766D3B501B2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2D8B3CE1-DAC0-4B41-9720-9D40D63D939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77FE6ED1-A2AA-41AC-833B-95E5D27B8C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831AEB7A-F4EC-4F3C-B13F-1A36FD846A5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BA8E93F0-31D5-41E5-A966-F826CA7FB3F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CD03EC28-1063-41C7-BD73-2E3761522D1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0605461D-AB4C-43BA-A265-B55A2DADF1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099EEF10-6726-4269-87A2-67822A6A52B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89E4D90-FBB9-4C23-8BA9-BB622110EB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F737AE03-41D0-42C6-B102-0DE468B1DD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4C01D17-BFE1-4288-8263-1A45952EDE9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B0E2C5C0-9B71-4FD7-A339-CA6DBC1392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0B6F5E9E-9E18-4FD5-A505-0B6A88A2D5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16DB6835-5BF2-4794-9187-3539BC89A54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192BAAFF-9FE0-4880-A84B-C1527317481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A001808A-1BE5-4D16-A9EF-64AFCF9D43A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C22A0EEE-BF3F-4E89-9B8A-A24BA322FA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EB5EBA19-2BBD-4AA5-9BDD-054136515A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2EE80DDD-504F-400E-B953-75C92107474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9B102B5D-B298-46C8-BC2F-3A4B650E23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212C4FD-9FDE-46EA-BA02-5A14464FE5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9D738A5-813D-4F71-8AB0-F8C751E47BE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54EB888-7377-4109-93BF-32C528FFFD5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2700-00000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2700-00000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00000000-0008-0000-2700-00000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00FAC2C-2FD6-4420-A29F-705537E8C96C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6123C05-68D3-4E1A-BD1C-AD8CADDBFF61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BBFBBB3-B1AF-40A9-8914-FD7570C9A9B6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A059C0A-A5CD-44C6-958B-54C268DA1A64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25BE5DB-C9AB-4AA7-81D1-8EED0BC3D774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E81CB7E-06C5-4479-A59F-65ABFFD31BB9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1CCAD74-5FDD-4CB8-A8E0-E27DF463A6A9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47EA022-543D-445E-BB52-0F764A91EA8F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E918A4C-6054-42C2-BF46-CE5EC51B8405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164DD84-87DE-4EF6-8E56-6B3C1ABF28D0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C88882D-D3D7-4ADF-B548-A3C69141ACA0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61E607C-D7F5-480D-B4C7-623A3C9974C7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6937426-165D-4599-BF55-B379EA64EAA6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192B146-B600-4D3C-8782-0731BD4286E8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F4BC2A-0473-478C-8C6A-D7FD034C93A9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16CDFC5-1CE1-4879-AA16-3F68001B329A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F9C9E30-E78E-4435-99D1-B910E9D061FC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E925812-5DBA-4FE8-97D9-15AD7419E792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16E856A-7197-4035-95EE-3B352D7847CB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A140A36-7CE9-45A0-8147-BFEC8E555545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6B28D9F-0199-42A9-AF4F-B4AB39BCAD0C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9892941-2469-4E41-BAA3-6A8DBE79A5CE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128D043-5CD2-45B1-AD61-3B38B64E60E7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1BC25AC-0A26-41FE-BA6D-53B2EB736408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1601F12A-17F8-4609-89E2-B2A8511EB250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A2E606E-0EA1-4F74-AA50-6C45E4BC7CE8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9F67368-54AD-4096-A2F2-E629CA8B8B5C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521DFC8-0B6F-40A8-8944-EC58DA3B4B7F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36996B1-4A5A-4147-B7FA-4F6011A3A295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22E9064-1F35-4E26-AB74-9D10BCD6BCD4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99D9B34-FB1E-4FFA-A67C-40EBCA71758F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5E20745-A7C5-480C-82EF-667211FF9E5A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567AC7D-5CC6-4818-8372-8EEFF410C13D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9D3525A-0F1B-4003-A3E9-B63D46D261A5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A00366B5-B02A-4D62-BA17-B7C3BF71806C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984E5E8-CA76-494D-8573-3242F80591F3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C322470C-0824-483F-A45E-855F8A42D775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DE8305E-9D99-40B8-8979-CD60AC8E2AF5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7EB17D8-A6A1-4C79-9B36-4E7F8369F87D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7EBD9C6-E9EF-4F52-BA0D-5D0D1C4573EB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E95EE0C-18E0-484E-A3CE-BFC6B24D350D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B8D32A2-7C43-4BEE-930C-33962C9E8DB5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4">
          <a:extLst>
            <a:ext uri="{FF2B5EF4-FFF2-40B4-BE49-F238E27FC236}">
              <a16:creationId xmlns:a16="http://schemas.microsoft.com/office/drawing/2014/main" id="{9D01B51E-E3EE-40CA-9DCF-19FCAE66761F}"/>
            </a:ext>
            <a:ext uri="{147F2762-F138-4A5C-976F-8EAC2B608ADB}">
              <a16:predDERef xmlns:a16="http://schemas.microsoft.com/office/drawing/2014/main" pred="{26D8A035-1F7F-46E3-AFE6-96813BB6DB6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7">
          <a:extLst>
            <a:ext uri="{FF2B5EF4-FFF2-40B4-BE49-F238E27FC236}">
              <a16:creationId xmlns:a16="http://schemas.microsoft.com/office/drawing/2014/main" id="{43DCE1B5-1635-4006-B473-CD4CA713535B}"/>
            </a:ext>
            <a:ext uri="{147F2762-F138-4A5C-976F-8EAC2B608ADB}">
              <a16:predDERef xmlns:a16="http://schemas.microsoft.com/office/drawing/2014/main" pred="{9D01B51E-E3EE-40CA-9DCF-19FCAE66761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8">
          <a:extLst>
            <a:ext uri="{FF2B5EF4-FFF2-40B4-BE49-F238E27FC236}">
              <a16:creationId xmlns:a16="http://schemas.microsoft.com/office/drawing/2014/main" id="{60EB5263-9008-44AF-8640-24B244340B87}"/>
            </a:ext>
            <a:ext uri="{147F2762-F138-4A5C-976F-8EAC2B608ADB}">
              <a16:predDERef xmlns:a16="http://schemas.microsoft.com/office/drawing/2014/main" pred="{43DCE1B5-1635-4006-B473-CD4CA713535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4">
          <a:extLst>
            <a:ext uri="{FF2B5EF4-FFF2-40B4-BE49-F238E27FC236}">
              <a16:creationId xmlns:a16="http://schemas.microsoft.com/office/drawing/2014/main" id="{86ADC7D7-D675-41A5-A18F-81E9DE643A5A}"/>
            </a:ext>
            <a:ext uri="{147F2762-F138-4A5C-976F-8EAC2B608ADB}">
              <a16:predDERef xmlns:a16="http://schemas.microsoft.com/office/drawing/2014/main" pred="{60EB5263-9008-44AF-8640-24B244340B8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7">
          <a:extLst>
            <a:ext uri="{FF2B5EF4-FFF2-40B4-BE49-F238E27FC236}">
              <a16:creationId xmlns:a16="http://schemas.microsoft.com/office/drawing/2014/main" id="{48AD7D56-62A3-41AA-B7B8-10361A18E659}"/>
            </a:ext>
            <a:ext uri="{147F2762-F138-4A5C-976F-8EAC2B608ADB}">
              <a16:predDERef xmlns:a16="http://schemas.microsoft.com/office/drawing/2014/main" pred="{86ADC7D7-D675-41A5-A18F-81E9DE643A5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8">
          <a:extLst>
            <a:ext uri="{FF2B5EF4-FFF2-40B4-BE49-F238E27FC236}">
              <a16:creationId xmlns:a16="http://schemas.microsoft.com/office/drawing/2014/main" id="{26C0AA56-FFB6-4D5B-B4B9-0D990EC781C1}"/>
            </a:ext>
            <a:ext uri="{147F2762-F138-4A5C-976F-8EAC2B608ADB}">
              <a16:predDERef xmlns:a16="http://schemas.microsoft.com/office/drawing/2014/main" pred="{48AD7D56-62A3-41AA-B7B8-10361A18E65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59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3C1C09-623A-43A3-9FD3-172848B48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105319</xdr:colOff>
      <xdr:row>1</xdr:row>
      <xdr:rowOff>186963</xdr:rowOff>
    </xdr:from>
    <xdr:to>
      <xdr:col>8</xdr:col>
      <xdr:colOff>956396</xdr:colOff>
      <xdr:row>4</xdr:row>
      <xdr:rowOff>85998</xdr:rowOff>
    </xdr:to>
    <xdr:pic>
      <xdr:nvPicPr>
        <xdr:cNvPr id="60" name="Picture 4" descr="VIAGS xanh">
          <a:extLst>
            <a:ext uri="{FF2B5EF4-FFF2-40B4-BE49-F238E27FC236}">
              <a16:creationId xmlns:a16="http://schemas.microsoft.com/office/drawing/2014/main" id="{BDB88481-1AFC-4CD7-922A-64F332103E13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719" y="295820"/>
          <a:ext cx="1939648" cy="5848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4">
          <a:extLst>
            <a:ext uri="{FF2B5EF4-FFF2-40B4-BE49-F238E27FC236}">
              <a16:creationId xmlns:a16="http://schemas.microsoft.com/office/drawing/2014/main" id="{09C2AA9C-A2E3-4063-9C66-45FCC036DAE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A49526AD-EAFA-4B61-9DA2-49BFD282306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DBF34747-6D7E-4EE3-9325-0917D8F329E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4">
          <a:extLst>
            <a:ext uri="{FF2B5EF4-FFF2-40B4-BE49-F238E27FC236}">
              <a16:creationId xmlns:a16="http://schemas.microsoft.com/office/drawing/2014/main" id="{5828E1E5-8317-4B98-96A9-154B1706FCB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7">
          <a:extLst>
            <a:ext uri="{FF2B5EF4-FFF2-40B4-BE49-F238E27FC236}">
              <a16:creationId xmlns:a16="http://schemas.microsoft.com/office/drawing/2014/main" id="{170D4A9D-BCD1-4443-832C-E6A9D76B880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CF1904E3-F248-4FF6-852B-BE7B325D78A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">
          <a:extLst>
            <a:ext uri="{FF2B5EF4-FFF2-40B4-BE49-F238E27FC236}">
              <a16:creationId xmlns:a16="http://schemas.microsoft.com/office/drawing/2014/main" id="{7D26A3F9-785B-42BF-9924-74EC16903F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7">
          <a:extLst>
            <a:ext uri="{FF2B5EF4-FFF2-40B4-BE49-F238E27FC236}">
              <a16:creationId xmlns:a16="http://schemas.microsoft.com/office/drawing/2014/main" id="{79705CD2-C8A1-45A5-8390-6CA786C54B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EED6AF56-37FE-41BD-9B76-3C2818A2AA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717BEF7-2C23-4E84-923D-345A31467B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F90FC1C9-6FE1-42C2-8EBF-88DA65125B5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E484D6A3-8B16-4357-86D4-D61F1EB6350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4FF5643D-F30A-4DFE-890E-2C53B63F0CC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080CF2C9-5515-431A-8A15-B27AFF4C5A9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1C2426AA-073A-4A86-B714-8615CF407F2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9ACB7F41-CD26-4E15-8F2B-958A8D83A84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0934B6AC-1519-4E69-9298-A656D32C4DE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308589FA-A584-4D87-A97A-BA460F920D7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C4B43F3F-C01A-4E8E-B8F6-F6FF3E2D600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C909E683-CD99-484F-9F38-7A792CE6A1E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7DE0F6C1-CEF5-45EC-BF42-C79BFC96092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9342EA7D-5B88-4583-89E0-DB289EE514E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C894FFFF-B1A3-4213-8177-8E147916A9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6424513A-79EA-4D86-9D2E-FE447050411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DC1DE136-920D-4FB3-AA58-BC44ECCD21E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597232D6-278B-4534-9FD4-86E8C9C0BF2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80396786-0EC8-43E2-A677-28B7AFB5CD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60E2075E-5E68-4682-8A21-0A203BB5F5B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D0C59A99-8D1A-4161-BDAC-245F91E53F4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BFC25237-6F85-41A6-B16F-2DD5BDCC0ED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AC08080F-57DC-4B13-8B15-9BC6717C1F3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D006FDBF-AAF2-4184-AE59-16C525F9283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AB80D34D-3222-4417-AC02-D1C226D6B35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400AF642-62AF-4F04-A5A7-C567892205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75AE594-D7C8-4082-A00B-4CD1178A711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B258D1A7-646E-481C-BFED-F234A9AC22C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2800-000006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2800-000008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2800-000009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2800-00000A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2800-00000B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2800-00000C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00000000-0008-0000-2800-00000D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00000000-0008-0000-2800-00000E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00000000-0008-0000-2800-00000F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17285612-0D98-4389-92E6-9D68B13325CF}"/>
            </a:ext>
            <a:ext uri="{147F2762-F138-4A5C-976F-8EAC2B608ADB}">
              <a16:predDERef xmlns:a16="http://schemas.microsoft.com/office/drawing/2014/main" pred="{B8A3880D-5BC8-4EEF-9EFB-0C6838120D2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99A87C9D-D133-41BA-97C9-7C491C88E29B}"/>
            </a:ext>
            <a:ext uri="{147F2762-F138-4A5C-976F-8EAC2B608ADB}">
              <a16:predDERef xmlns:a16="http://schemas.microsoft.com/office/drawing/2014/main" pred="{17285612-0D98-4389-92E6-9D68B13325C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B6DF5992-D63F-4052-A6BD-8FD27E98654C}"/>
            </a:ext>
            <a:ext uri="{147F2762-F138-4A5C-976F-8EAC2B608ADB}">
              <a16:predDERef xmlns:a16="http://schemas.microsoft.com/office/drawing/2014/main" pred="{99A87C9D-D133-41BA-97C9-7C491C88E29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5E79FBD3-C415-4D0E-A6AF-5E1B157F6C69}"/>
            </a:ext>
            <a:ext uri="{147F2762-F138-4A5C-976F-8EAC2B608ADB}">
              <a16:predDERef xmlns:a16="http://schemas.microsoft.com/office/drawing/2014/main" pred="{B6DF5992-D63F-4052-A6BD-8FD27E98654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8C368587-1122-4F17-B56A-8914260491FC}"/>
            </a:ext>
            <a:ext uri="{147F2762-F138-4A5C-976F-8EAC2B608ADB}">
              <a16:predDERef xmlns:a16="http://schemas.microsoft.com/office/drawing/2014/main" pred="{5E79FBD3-C415-4D0E-A6AF-5E1B157F6C6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84CF5584-C71F-4424-8AA2-62BBA31E828B}"/>
            </a:ext>
            <a:ext uri="{147F2762-F138-4A5C-976F-8EAC2B608ADB}">
              <a16:predDERef xmlns:a16="http://schemas.microsoft.com/office/drawing/2014/main" pred="{8C368587-1122-4F17-B56A-8914260491F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06F759-95D2-4C3A-836F-AEE2D2534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100149</xdr:colOff>
      <xdr:row>1</xdr:row>
      <xdr:rowOff>156211</xdr:rowOff>
    </xdr:from>
    <xdr:to>
      <xdr:col>8</xdr:col>
      <xdr:colOff>941701</xdr:colOff>
      <xdr:row>4</xdr:row>
      <xdr:rowOff>60961</xdr:rowOff>
    </xdr:to>
    <xdr:pic>
      <xdr:nvPicPr>
        <xdr:cNvPr id="26" name="Picture 4" descr="VIAGS xanh">
          <a:extLst>
            <a:ext uri="{FF2B5EF4-FFF2-40B4-BE49-F238E27FC236}">
              <a16:creationId xmlns:a16="http://schemas.microsoft.com/office/drawing/2014/main" id="{22B1DD29-528C-44D1-8262-051D425A7D55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8549" y="265068"/>
          <a:ext cx="1930123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3C497C72-DC01-4B96-92CC-77E8B4F2C5B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C60D5143-3834-45B2-8FF6-7E3CB20FC6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780BAADA-77F0-45A8-A386-4D9F1C7D403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81611B46-3F26-4434-84EA-A751385CE95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0A0014FE-9DA8-4474-83D0-01854AD8370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963C3BB0-EA07-456C-B1BE-A67B5286E2A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303F5A8E-C537-4446-AB1E-13647CFC46A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608FFFFB-5B26-4A42-B547-FD6B6EFEC65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8">
          <a:extLst>
            <a:ext uri="{FF2B5EF4-FFF2-40B4-BE49-F238E27FC236}">
              <a16:creationId xmlns:a16="http://schemas.microsoft.com/office/drawing/2014/main" id="{3A51523E-C89F-4042-8069-96F60F4DBF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88C7C77-D09A-447B-85F6-E6AE48132C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939364BA-1CEE-4EAB-AE42-9E11709D88A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A60C8FE8-06C6-4000-81EC-AD7F5A8E7F5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BF33C457-7211-4E3D-B987-34AF7116CB4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B258012D-7BCE-4D73-85B9-3CC0C9A92E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6A49D7C8-3875-4A4B-A722-B18E5EA1493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56752EE7-ADEE-43FD-9684-778899E9FE0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C31C9A9E-19CD-4B8E-9928-B20124550EF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C5966C00-D60A-443A-84AD-E1244D1B05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62271526-6B80-4E58-BDA8-7001F3EE32F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2E7AE312-7574-46BF-BC58-DAF09A758EF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85DC424B-642C-4C20-A71D-2DA0FCF666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E85F1A98-E35B-4197-8834-466F951325C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F375AD3-1391-4C0A-BED7-D8D964B6C7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FF825C90-A601-493D-B841-222123146FC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472C7B32-2C42-4E41-8D6A-B9A00C8302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757E6168-B452-48D0-A8BD-AF87E16341B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072BDF91-12CA-43C5-B4AB-3AB4D8A4F90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66181959-EEC5-428F-A672-FDD6C34E615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77918092-1922-4200-AD05-4116602F7CA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884E6659-94E1-4818-97F7-11DB98F912A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F59F835F-7187-4CC1-80A9-BCE5CEA052B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3BA86987-E7B8-411A-82F0-FF0534D9CD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EA73A19E-8593-4693-B63F-034754D17B9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893C2F7E-1B6F-4891-A19A-298C05B6169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AABF585-B432-4D42-837D-F39BD692891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4B074A9-8CF4-4920-B0EA-8D49FE0FB83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29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29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29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00000000-0008-0000-2900-00000C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00000000-0008-0000-2900-00000D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00000000-0008-0000-2900-00000E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4AFB51E7-94B0-4ED5-8992-ADF909101899}"/>
            </a:ext>
            <a:ext uri="{147F2762-F138-4A5C-976F-8EAC2B608ADB}">
              <a16:predDERef xmlns:a16="http://schemas.microsoft.com/office/drawing/2014/main" pred="{A852D57F-4849-463E-B328-8EB8FB8F3DC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90CFED20-0863-4D99-9D40-CFAE8E9D1336}"/>
            </a:ext>
            <a:ext uri="{147F2762-F138-4A5C-976F-8EAC2B608ADB}">
              <a16:predDERef xmlns:a16="http://schemas.microsoft.com/office/drawing/2014/main" pred="{4AFB51E7-94B0-4ED5-8992-ADF90910189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B584139A-2B88-49D7-8814-E153EFA90A8E}"/>
            </a:ext>
            <a:ext uri="{147F2762-F138-4A5C-976F-8EAC2B608ADB}">
              <a16:predDERef xmlns:a16="http://schemas.microsoft.com/office/drawing/2014/main" pred="{90CFED20-0863-4D99-9D40-CFAE8E9D133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CA315F30-6113-485F-B762-9AAA86D675C1}"/>
            </a:ext>
            <a:ext uri="{147F2762-F138-4A5C-976F-8EAC2B608ADB}">
              <a16:predDERef xmlns:a16="http://schemas.microsoft.com/office/drawing/2014/main" pred="{B584139A-2B88-49D7-8814-E153EFA90A8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21A690C8-6392-44B2-9FF0-69B9DEE822C7}"/>
            </a:ext>
            <a:ext uri="{147F2762-F138-4A5C-976F-8EAC2B608ADB}">
              <a16:predDERef xmlns:a16="http://schemas.microsoft.com/office/drawing/2014/main" pred="{CA315F30-6113-485F-B762-9AAA86D675C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CE45CB08-7A3B-4591-8393-100B056BAA8F}"/>
            </a:ext>
            <a:ext uri="{147F2762-F138-4A5C-976F-8EAC2B608ADB}">
              <a16:predDERef xmlns:a16="http://schemas.microsoft.com/office/drawing/2014/main" pred="{21A690C8-6392-44B2-9FF0-69B9DEE822C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94F503-C39D-44EB-9DF2-B24977107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86093</xdr:colOff>
      <xdr:row>1</xdr:row>
      <xdr:rowOff>181185</xdr:rowOff>
    </xdr:from>
    <xdr:to>
      <xdr:col>8</xdr:col>
      <xdr:colOff>929550</xdr:colOff>
      <xdr:row>4</xdr:row>
      <xdr:rowOff>80220</xdr:rowOff>
    </xdr:to>
    <xdr:pic>
      <xdr:nvPicPr>
        <xdr:cNvPr id="26" name="Picture 4" descr="VIAGS xanh">
          <a:extLst>
            <a:ext uri="{FF2B5EF4-FFF2-40B4-BE49-F238E27FC236}">
              <a16:creationId xmlns:a16="http://schemas.microsoft.com/office/drawing/2014/main" id="{295703FA-709E-4FCA-9499-D465C242DD53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5528" y="288761"/>
          <a:ext cx="1937151" cy="598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C74DA818-CB78-48E8-872B-CA930AC3C5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6EC5FFAA-321E-4248-93C3-B795C73EF92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A07402C4-31BB-4F1D-8C5D-286EE12B1D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001EB83F-EE77-41B9-9EFB-FC7A1A5439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33F3E42D-A44F-40B2-8C4A-1281214D2B7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F32552F9-4CE9-4D2B-80B3-5748B096D4D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6B9195FF-3F5F-4BD5-B943-2014F3DCFF3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7">
          <a:extLst>
            <a:ext uri="{FF2B5EF4-FFF2-40B4-BE49-F238E27FC236}">
              <a16:creationId xmlns:a16="http://schemas.microsoft.com/office/drawing/2014/main" id="{3F1DF51D-87DD-421D-8744-00B6EBEBCE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8">
          <a:extLst>
            <a:ext uri="{FF2B5EF4-FFF2-40B4-BE49-F238E27FC236}">
              <a16:creationId xmlns:a16="http://schemas.microsoft.com/office/drawing/2014/main" id="{1CFD7505-4B37-42F9-9830-69E71F407CE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3C36544-14A8-4647-9795-31A674E7319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0840B699-4663-403C-B47E-B36C37F6D4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0B953B23-1292-48D3-995B-38A2C66999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774082CA-7C34-4F59-A29F-51D0B1846F3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4E078197-9692-4049-ADB3-89BC913F9AA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58EAD4C3-4CE9-41F1-A1F2-C93ED989691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D1E35F7D-D0EF-4DFF-BB4E-4424B584DE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ABB77ED1-795A-4B99-B397-58E51CE96A5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FF52C125-D832-47B8-AF01-12E15EBFF9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35F1DFF6-10BD-4876-B71A-E0BEF5E0202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02E5CE02-A57A-4EC1-9267-E74864EAB3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BF79616C-51A2-446A-957D-FD93ECD63E0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87E6355B-8437-45AF-B4A3-750AA7C4F2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45FB706-EAE6-43D9-B508-6D72B32BAE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4421FFE-4912-4031-B44A-0CCCDF0C66C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D6143C4C-DF19-43FC-8CE9-47D0CE6D16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8D6B97C0-CFB9-40EB-807A-1D367F514DE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59E763AB-8DD3-4543-A72C-9EDED524A16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9237B998-FA58-476F-B8D0-C5A7D594D8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9FC14058-72A8-48F9-B40D-7FBB6FEC804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1247EA5A-8B6E-45E0-9DDC-4DD3FA8C804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5B0CE62D-80AA-4301-84FD-0979475C9D2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4EC2ED17-E24E-429A-B606-A9DB6FABF7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D65DD1C2-F518-472E-B7BE-FE8CEB8CA3E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64FD8384-56B6-4C6E-A4AE-049FB3E137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CC82B58-837F-41BF-9B3A-FAEF147C5A0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F17068F4-CC38-48C7-B559-AD5B85BAB85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2A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2A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2A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2A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00000000-0008-0000-2A00-00000C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00000000-0008-0000-2A00-00000D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00000000-0008-0000-2A00-00000E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395A4EF6-0825-4E96-BB01-8169083AD90C}"/>
            </a:ext>
            <a:ext uri="{147F2762-F138-4A5C-976F-8EAC2B608ADB}">
              <a16:predDERef xmlns:a16="http://schemas.microsoft.com/office/drawing/2014/main" pred="{4334BFCA-CB12-48DA-8E2A-FD22A82567F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FE862702-B850-4EAC-904A-2EDEEBF56165}"/>
            </a:ext>
            <a:ext uri="{147F2762-F138-4A5C-976F-8EAC2B608ADB}">
              <a16:predDERef xmlns:a16="http://schemas.microsoft.com/office/drawing/2014/main" pred="{395A4EF6-0825-4E96-BB01-8169083AD90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0CD3100D-7587-42FE-BF92-3E421A0716F5}"/>
            </a:ext>
            <a:ext uri="{147F2762-F138-4A5C-976F-8EAC2B608ADB}">
              <a16:predDERef xmlns:a16="http://schemas.microsoft.com/office/drawing/2014/main" pred="{FE862702-B850-4EAC-904A-2EDEEBF5616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368A06AD-7AAC-49C2-BE44-54CD4B122827}"/>
            </a:ext>
            <a:ext uri="{147F2762-F138-4A5C-976F-8EAC2B608ADB}">
              <a16:predDERef xmlns:a16="http://schemas.microsoft.com/office/drawing/2014/main" pred="{0CD3100D-7587-42FE-BF92-3E421A0716F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73889B8D-323F-4DE1-A8A8-70694F9D6A6A}"/>
            </a:ext>
            <a:ext uri="{147F2762-F138-4A5C-976F-8EAC2B608ADB}">
              <a16:predDERef xmlns:a16="http://schemas.microsoft.com/office/drawing/2014/main" pred="{368A06AD-7AAC-49C2-BE44-54CD4B12282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0BDC145F-E853-42A7-9D88-C22110DA4654}"/>
            </a:ext>
            <a:ext uri="{147F2762-F138-4A5C-976F-8EAC2B608ADB}">
              <a16:predDERef xmlns:a16="http://schemas.microsoft.com/office/drawing/2014/main" pred="{73889B8D-323F-4DE1-A8A8-70694F9D6A6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6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A9CEE8-140E-4A75-9654-EA23B04F0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98243</xdr:colOff>
      <xdr:row>1</xdr:row>
      <xdr:rowOff>185058</xdr:rowOff>
    </xdr:from>
    <xdr:to>
      <xdr:col>8</xdr:col>
      <xdr:colOff>939795</xdr:colOff>
      <xdr:row>4</xdr:row>
      <xdr:rowOff>85998</xdr:rowOff>
    </xdr:to>
    <xdr:pic>
      <xdr:nvPicPr>
        <xdr:cNvPr id="27" name="Picture 4" descr="VIAGS xanh">
          <a:extLst>
            <a:ext uri="{FF2B5EF4-FFF2-40B4-BE49-F238E27FC236}">
              <a16:creationId xmlns:a16="http://schemas.microsoft.com/office/drawing/2014/main" id="{5EBC7310-8315-439E-AB0C-ECF24ABE2434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6643" y="293915"/>
          <a:ext cx="1930123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E858C8E5-DB94-40E5-8BF0-D3F4797CECF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43AC1A13-C6ED-4789-B092-1F2946AC12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2349979F-E199-4950-BEFA-2B05877875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6A5E9A67-A192-4333-8465-CA71AF3A2B4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29B2926C-1584-4D5A-9778-533198A9925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D0636B9A-C7DC-4061-A07B-1A3683697F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8AF2B5A8-A0E6-4256-A70C-40EF95FAB57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85399BCB-A141-4441-B800-279E8D5BCBF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0250A4D0-F5C6-46F3-8711-EBC25B499C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FACE90A-CAB5-4E4E-9C4F-7AD144D767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43581C0D-CDEF-4207-98B1-5B54B74F8A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F3B16B5B-E723-4B99-96AF-340E9484E6B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518CC5F6-E4AA-4088-A2F2-42B809A03AA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DCB31004-3CF8-409A-87F9-2F5A04B8A44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93415013-3950-492D-8581-A1C9529E58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757AB0F7-A5BF-4226-B6A1-137BC478A3D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1272F660-3BBB-4CA1-A8F0-D42F8166A84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D608DF13-CCE3-44C7-B9DE-D9B13622AA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4E6B606F-FEDF-4F4A-B901-2D477B644D7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4E0D453B-D815-461A-B562-9B278B9C96C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0078D27D-2212-4FD5-8594-C9586FA0AEE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80EC38E9-FCD8-4C96-97F7-5F4605ED7A8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136C145-7FEA-4D8C-B82E-C321512CC41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C79AC7D-16FE-4A94-9A1C-98507B7A07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6A598540-FF53-4F81-A862-F324ABEF0E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386146A2-B805-4EDF-9B1D-CB857E3B32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CF361E6C-E1C0-4E5D-810F-2B358EADADB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02D370D2-2674-4290-852D-A1CC50B6B1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562C9B29-62E5-479F-8089-C5188F7751A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F984BDB8-5411-4850-9D7A-813E0D40D30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0806581D-109C-4E9F-8901-AC86BF9B68C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DC66557C-068E-422D-9AD3-F166182FC76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B7106C55-3792-47BF-B4EC-66ED76944C1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ADE67B13-7731-40D1-8505-74E68B1D6A6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A6A9BE0-2CFF-488C-B1B5-52AAF9A7BBF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C89B9A1-DFC0-48CE-AB76-D5177DD482A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2B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2B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2B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2B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2B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00000000-0008-0000-2B00-00000C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00000000-0008-0000-2B00-00000D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00000000-0008-0000-2B00-00000E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47F51DB8-8DC7-435F-9D05-C58E8410C3F7}"/>
            </a:ext>
            <a:ext uri="{147F2762-F138-4A5C-976F-8EAC2B608ADB}">
              <a16:predDERef xmlns:a16="http://schemas.microsoft.com/office/drawing/2014/main" pred="{169505AA-065E-41A6-A7E5-081A2C92924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62B73D04-4AA8-4D2D-848F-809547BB0679}"/>
            </a:ext>
            <a:ext uri="{147F2762-F138-4A5C-976F-8EAC2B608ADB}">
              <a16:predDERef xmlns:a16="http://schemas.microsoft.com/office/drawing/2014/main" pred="{47F51DB8-8DC7-435F-9D05-C58E8410C3F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153750EA-D6C9-4FE3-93BE-1EEA0BFD0F0B}"/>
            </a:ext>
            <a:ext uri="{147F2762-F138-4A5C-976F-8EAC2B608ADB}">
              <a16:predDERef xmlns:a16="http://schemas.microsoft.com/office/drawing/2014/main" pred="{62B73D04-4AA8-4D2D-848F-809547BB067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CE092D38-23B8-4698-AD40-12A30322EAF6}"/>
            </a:ext>
            <a:ext uri="{147F2762-F138-4A5C-976F-8EAC2B608ADB}">
              <a16:predDERef xmlns:a16="http://schemas.microsoft.com/office/drawing/2014/main" pred="{153750EA-D6C9-4FE3-93BE-1EEA0BFD0F0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597DAEE6-8E76-40F0-95DC-66FC4B0590A5}"/>
            </a:ext>
            <a:ext uri="{147F2762-F138-4A5C-976F-8EAC2B608ADB}">
              <a16:predDERef xmlns:a16="http://schemas.microsoft.com/office/drawing/2014/main" pred="{CE092D38-23B8-4698-AD40-12A30322EAF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6311C10C-C175-4B04-A154-A3318A656BFC}"/>
            </a:ext>
            <a:ext uri="{147F2762-F138-4A5C-976F-8EAC2B608ADB}">
              <a16:predDERef xmlns:a16="http://schemas.microsoft.com/office/drawing/2014/main" pred="{597DAEE6-8E76-40F0-95DC-66FC4B0590A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283FAF-F2A2-44A2-996F-7353698C6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26" name="Picture 4" descr="VIAGS xanh">
          <a:extLst>
            <a:ext uri="{FF2B5EF4-FFF2-40B4-BE49-F238E27FC236}">
              <a16:creationId xmlns:a16="http://schemas.microsoft.com/office/drawing/2014/main" id="{B415E283-CBB7-42BB-A5B0-3DC611FF9AC7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92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F1814563-6872-46C3-81CF-DFCCFBD7731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6C9D857C-FEF3-43DA-8D00-E2CE75F5AD3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E9C43A89-393D-40B6-A434-72D9312DE8F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A552BE16-D36B-4EB1-BD41-6D9BB58F28E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C7C3CECA-F559-41A7-B7D6-BFC1E9A5CBD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5B2BE26A-5B98-4E54-8BA8-40BDFE5C21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A455ECEB-63D7-483D-9D86-14507271C34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7">
          <a:extLst>
            <a:ext uri="{FF2B5EF4-FFF2-40B4-BE49-F238E27FC236}">
              <a16:creationId xmlns:a16="http://schemas.microsoft.com/office/drawing/2014/main" id="{0B5536C4-C991-4E78-9B0E-A85FCD7FC2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8">
          <a:extLst>
            <a:ext uri="{FF2B5EF4-FFF2-40B4-BE49-F238E27FC236}">
              <a16:creationId xmlns:a16="http://schemas.microsoft.com/office/drawing/2014/main" id="{63435E0F-56E4-4B50-AB53-31C3C2DC7B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6A6717F-3D3C-46F4-A692-EBAF214D7AF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00E3C798-F28F-436C-8959-E48F6DAF45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B9BA60A5-2ED3-4F13-AB1D-4DEE3C486B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91D27936-359E-4F54-B00A-2801B931CA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E48E244E-7535-4C51-A9FD-55E6237A02B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3400C92B-0758-4D78-8EA4-108FD26C12D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FCACD5EF-CD8F-49F1-8538-FDB64187A9B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EA2F6C56-C862-4506-AD91-5F2C97EF8C1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1B2A912D-8CB8-474B-9A16-6815B18894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B33C308B-DA32-4FD6-B428-A02A092E587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0DC59688-120D-4FB7-B483-8267049775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21B66239-E185-46AA-9338-F4C166B6C7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E9EFB2D-7216-4912-94FF-F630BAA8DCB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A8C35A1-59F3-4757-86B7-8CCBEE5672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E4E76E1B-AD40-4C87-8A5B-18639044550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8CCA2907-8F1E-4838-B7F9-5EEDD241F2B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0CCDCC14-657E-4F94-BEEC-48ACBA20CC1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13A52071-4908-40E6-B189-DAD2E40B54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E5641B6E-C756-419F-B823-EF0BB88C3B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0C89F336-1C88-41F2-87CC-FAC3FD33842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F357F73E-5F8B-4AF6-B3E1-301DD294E8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982320EE-76B9-4FFB-B101-C07CDFE964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603A92C1-BD00-4C19-8C1F-E80029B99EF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DF497A2A-9DBF-44E2-85AB-34E7A129C1C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2C4384B1-B71F-4E5D-AE4B-951C6A88ED5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25461752-AD79-4F9D-8547-1181A349FAD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D4A0159-0A3D-4B31-BE74-21008FB92EA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2C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2C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2C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2C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2C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2C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00000000-0008-0000-2C00-00000C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00000000-0008-0000-2C00-00000D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00000000-0008-0000-2C00-00000E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2C00-00000F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2C00-000010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2C00-000011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2C00-000012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2C00-000013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2C00-000014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2C00-00001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2C00-00001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4">
          <a:extLst>
            <a:ext uri="{FF2B5EF4-FFF2-40B4-BE49-F238E27FC236}">
              <a16:creationId xmlns:a16="http://schemas.microsoft.com/office/drawing/2014/main" id="{00000000-0008-0000-2C00-000017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00000000-0008-0000-2C00-00001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00000000-0008-0000-2C00-00001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5A4EDB1E-AA0D-49A5-BD76-786D868A9560}"/>
            </a:ext>
            <a:ext uri="{147F2762-F138-4A5C-976F-8EAC2B608ADB}">
              <a16:predDERef xmlns:a16="http://schemas.microsoft.com/office/drawing/2014/main" pred="{F61CFF95-730C-47EA-80E6-96447F80330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EF923093-CCB0-4ECD-BC9A-4EA0E785524A}"/>
            </a:ext>
            <a:ext uri="{147F2762-F138-4A5C-976F-8EAC2B608ADB}">
              <a16:predDERef xmlns:a16="http://schemas.microsoft.com/office/drawing/2014/main" pred="{5A4EDB1E-AA0D-49A5-BD76-786D868A956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ED27586D-2806-4D94-966F-08BBBE3282B0}"/>
            </a:ext>
            <a:ext uri="{147F2762-F138-4A5C-976F-8EAC2B608ADB}">
              <a16:predDERef xmlns:a16="http://schemas.microsoft.com/office/drawing/2014/main" pred="{EF923093-CCB0-4ECD-BC9A-4EA0E785524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CB8FA485-3C2C-47E1-A938-AFA0C8CF9849}"/>
            </a:ext>
            <a:ext uri="{147F2762-F138-4A5C-976F-8EAC2B608ADB}">
              <a16:predDERef xmlns:a16="http://schemas.microsoft.com/office/drawing/2014/main" pred="{ED27586D-2806-4D94-966F-08BBBE3282B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C6C257A3-9397-472D-A46B-9E47BB5E5CB2}"/>
            </a:ext>
            <a:ext uri="{147F2762-F138-4A5C-976F-8EAC2B608ADB}">
              <a16:predDERef xmlns:a16="http://schemas.microsoft.com/office/drawing/2014/main" pred="{CB8FA485-3C2C-47E1-A938-AFA0C8CF984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824F126E-8946-4B03-8B77-85852688DDF1}"/>
            </a:ext>
            <a:ext uri="{147F2762-F138-4A5C-976F-8EAC2B608ADB}">
              <a16:predDERef xmlns:a16="http://schemas.microsoft.com/office/drawing/2014/main" pred="{C6C257A3-9397-472D-A46B-9E47BB5E5CB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6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EF0932-D461-4F4A-8A8E-D4DF6B317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70068</xdr:colOff>
      <xdr:row>1</xdr:row>
      <xdr:rowOff>168409</xdr:rowOff>
    </xdr:from>
    <xdr:to>
      <xdr:col>8</xdr:col>
      <xdr:colOff>915430</xdr:colOff>
      <xdr:row>4</xdr:row>
      <xdr:rowOff>73159</xdr:rowOff>
    </xdr:to>
    <xdr:pic>
      <xdr:nvPicPr>
        <xdr:cNvPr id="27" name="Picture 4" descr="VIAGS xanh">
          <a:extLst>
            <a:ext uri="{FF2B5EF4-FFF2-40B4-BE49-F238E27FC236}">
              <a16:creationId xmlns:a16="http://schemas.microsoft.com/office/drawing/2014/main" id="{A7241118-83AE-4E92-B0B9-AD5A66B9C23E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9503" y="275985"/>
          <a:ext cx="1939056" cy="603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D06DC0C6-F8D9-454D-B664-1AD8CD0B11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07084B00-2E9F-408F-BADD-F63A82C17C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DBFF0A06-AB0C-40FC-8FBE-770763D49AD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788CD0C6-EDE2-4DAA-823D-D9D64C1D19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A719FF4A-7AE9-45A4-8130-53637CE5D2C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5DA75B36-E345-4728-B977-CBF57C85B2D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9BE26C0A-ED9F-491E-BD6C-3580651530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49BC2A69-39F2-44FD-8A7D-3FA93B84F08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E2681280-FD26-4A8E-924B-78F3AB914A2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39EB125-CBFD-48D4-9822-44A1617204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024952F4-8FD4-421B-9D51-62B69CB2B16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F4E33B8D-21FB-40B0-A921-41D4DCB839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0DD3D38F-0D1E-4B93-909D-A49128E3E1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C352B842-1905-41D1-A17F-7A0724FA418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FF1CD404-580B-4AF4-B451-9EB44A4C2C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BDBF9925-C261-4580-BB16-1AD1FB03042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31DD3589-EF31-4068-86B2-B84E2C36736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66E347F0-75C8-446F-8DDC-0B49C2FB891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4FACB1C8-6F78-4A9C-892F-72D23CE3FAE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AED1627C-885F-40D6-854B-503D99A1C4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E551C64C-416A-4C28-BF88-9A4127D06A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EAD95581-1FEB-4BEB-8431-B79D7227BEB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4F489A37-4E97-4E97-B831-3CC999A9494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A0516739-255A-4100-8519-9FF6D6F763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1CAD08DC-77AA-4701-AA54-F92D963EDF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00D4E53A-C937-4493-81C1-8481EB6A4AB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05F33B81-8B88-4B08-AE3D-E996BAF9A8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CFE10276-CC11-4841-AF60-32CE17909EA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929BA22A-F929-44DF-B4A9-0C17559C411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4F2342F0-B27F-495F-9409-6BE0F182B0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E791CB11-D5F8-4A8E-8E07-584686896F1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0A4EBC55-72FB-46CB-A801-3F95B048EA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E3C32588-981D-4002-AEAA-1813E2812FF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5664E1F4-FB7F-4BA8-9A7B-789EFC769E0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E2EFB424-69C9-4D89-AEBB-BF862B53919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E30D158F-6444-4C09-8A98-C19784B04B2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SpPr txBox="1"/>
      </xdr:nvSpPr>
      <xdr:spPr>
        <a:xfrm>
          <a:off x="127349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SpPr txBox="1"/>
      </xdr:nvSpPr>
      <xdr:spPr>
        <a:xfrm>
          <a:off x="127349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2D00-000006000000}"/>
            </a:ext>
          </a:extLst>
        </xdr:cNvPr>
        <xdr:cNvSpPr txBox="1"/>
      </xdr:nvSpPr>
      <xdr:spPr>
        <a:xfrm>
          <a:off x="127349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SpPr txBox="1"/>
      </xdr:nvSpPr>
      <xdr:spPr>
        <a:xfrm>
          <a:off x="127349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2D00-000008000000}"/>
            </a:ext>
          </a:extLst>
        </xdr:cNvPr>
        <xdr:cNvSpPr txBox="1"/>
      </xdr:nvSpPr>
      <xdr:spPr>
        <a:xfrm>
          <a:off x="127349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2D00-000009000000}"/>
            </a:ext>
          </a:extLst>
        </xdr:cNvPr>
        <xdr:cNvSpPr txBox="1"/>
      </xdr:nvSpPr>
      <xdr:spPr>
        <a:xfrm>
          <a:off x="127349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2D00-00000A000000}"/>
            </a:ext>
          </a:extLst>
        </xdr:cNvPr>
        <xdr:cNvSpPr txBox="1"/>
      </xdr:nvSpPr>
      <xdr:spPr>
        <a:xfrm>
          <a:off x="127349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2D00-00000B000000}"/>
            </a:ext>
          </a:extLst>
        </xdr:cNvPr>
        <xdr:cNvSpPr txBox="1"/>
      </xdr:nvSpPr>
      <xdr:spPr>
        <a:xfrm>
          <a:off x="127349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00000000-0008-0000-2D00-00000C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00000000-0008-0000-2D00-00000D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00000000-0008-0000-2D00-00000E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2D00-00000F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2D00-000010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2D00-000011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2D00-000012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2D00-000013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2D00-000014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2D00-00001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2D00-00001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4">
          <a:extLst>
            <a:ext uri="{FF2B5EF4-FFF2-40B4-BE49-F238E27FC236}">
              <a16:creationId xmlns:a16="http://schemas.microsoft.com/office/drawing/2014/main" id="{00000000-0008-0000-2D00-000017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00000000-0008-0000-2D00-00001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00000000-0008-0000-2D00-00001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36CF2F9C-A706-4804-BD39-EEB86F447A83}"/>
            </a:ext>
            <a:ext uri="{147F2762-F138-4A5C-976F-8EAC2B608ADB}">
              <a16:predDERef xmlns:a16="http://schemas.microsoft.com/office/drawing/2014/main" pred="{B8A54DBD-0C7C-4C47-A89B-97FCC1F64BB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AC5445E0-4010-404A-A30F-EB359BF1C487}"/>
            </a:ext>
            <a:ext uri="{147F2762-F138-4A5C-976F-8EAC2B608ADB}">
              <a16:predDERef xmlns:a16="http://schemas.microsoft.com/office/drawing/2014/main" pred="{36CF2F9C-A706-4804-BD39-EEB86F447A8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D95867BB-0E74-46D0-9FDE-8C17C07E3A09}"/>
            </a:ext>
            <a:ext uri="{147F2762-F138-4A5C-976F-8EAC2B608ADB}">
              <a16:predDERef xmlns:a16="http://schemas.microsoft.com/office/drawing/2014/main" pred="{AC5445E0-4010-404A-A30F-EB359BF1C48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B7496729-5C2E-47AE-936F-84F57416CC44}"/>
            </a:ext>
            <a:ext uri="{147F2762-F138-4A5C-976F-8EAC2B608ADB}">
              <a16:predDERef xmlns:a16="http://schemas.microsoft.com/office/drawing/2014/main" pred="{D95867BB-0E74-46D0-9FDE-8C17C07E3A0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AFCD22C5-DEB9-40F7-84BD-7D41D5D983DC}"/>
            </a:ext>
            <a:ext uri="{147F2762-F138-4A5C-976F-8EAC2B608ADB}">
              <a16:predDERef xmlns:a16="http://schemas.microsoft.com/office/drawing/2014/main" pred="{B7496729-5C2E-47AE-936F-84F57416CC4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BDE761B0-E79B-46F8-9CE9-A9B77476A818}"/>
            </a:ext>
            <a:ext uri="{147F2762-F138-4A5C-976F-8EAC2B608ADB}">
              <a16:predDERef xmlns:a16="http://schemas.microsoft.com/office/drawing/2014/main" pred="{AFCD22C5-DEB9-40F7-84BD-7D41D5D983D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6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2F35B0-907E-45A3-8F89-8C5404A88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89262</xdr:colOff>
      <xdr:row>1</xdr:row>
      <xdr:rowOff>174173</xdr:rowOff>
    </xdr:from>
    <xdr:to>
      <xdr:col>8</xdr:col>
      <xdr:colOff>934624</xdr:colOff>
      <xdr:row>4</xdr:row>
      <xdr:rowOff>75113</xdr:rowOff>
    </xdr:to>
    <xdr:pic>
      <xdr:nvPicPr>
        <xdr:cNvPr id="27" name="Picture 4" descr="VIAGS xanh">
          <a:extLst>
            <a:ext uri="{FF2B5EF4-FFF2-40B4-BE49-F238E27FC236}">
              <a16:creationId xmlns:a16="http://schemas.microsoft.com/office/drawing/2014/main" id="{A770E64D-3348-4BC5-ADC2-C1A209778BFF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7662" y="283030"/>
          <a:ext cx="1933933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5E3F4760-B93D-4206-AB3D-BA4CD98E67D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97D48598-9617-41A5-BAC4-BBE32CADA87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0AD54A7D-944E-404F-BB85-D439783252C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CD78FB73-26E5-41AA-B7AE-916360E91C9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3EE44FA7-E864-4263-9162-11335CE3A9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D03ABDA2-2E95-4F10-9DB0-86B21C39126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48927FD8-D24A-4672-BB84-213D16F4EA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4C03C7CE-70C5-4352-B029-9C5204408F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4C1734C5-0213-4F10-9234-FD010832B89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A6BE011-9E60-4441-A114-F501F7F302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0AB2E1FA-75CA-4BD8-AD6A-4D191E9C28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4F004B08-FE7D-4EBD-91FE-E62BF329ECD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65655023-D9CD-4E11-A040-CB5FB5709D6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4051D705-63F1-4A03-8835-F6665979550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70589B12-8F94-4947-97D7-B8D9145A45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62048949-4337-4E89-AA04-B2E2A07412D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71911E97-C20D-42D0-A2F7-52C91A053C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1DE346F1-D7C1-46D7-BFFB-96019994F6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6FC20B73-DD45-415C-91F8-75EF5CB0B9A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7F87C636-0CCC-4D35-A87C-3753623424D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970040AE-590D-4EEA-BB9C-CCD014CE38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E020521D-D986-40CA-B803-5103E2E2ADA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A4C4393B-BEFD-4B65-8A70-A5090FEE969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BE824A38-5094-4131-8CB9-FF5F785E409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E35D3AE6-C244-44EB-8187-1FBE5E9EB3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BE1C3AEC-724B-494B-822D-07D87A428B3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D8BCD6A2-C7E3-459B-B13F-E9C5F2114AA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4DCF0A38-30D5-4A7A-9A3E-1D2D5B5B01D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B61A2983-69E5-4E75-B47D-8ECC6B20A89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9D4DD2B4-A320-437F-A876-54E38B99B2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8673FFCE-4286-43D8-A888-AAB7EB12165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8AD93D3C-7333-4B83-AAD1-55DDFF65034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DB9B0474-FC58-4168-B25A-0114FC1061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17D45CF-98D4-4FA4-8E31-FA8742DECC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7D5BCE3C-4F07-4EC3-B1C2-ED6DF1965B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191C295E-2F6A-49DE-8248-FDB4E3AED99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2E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2E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2E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2E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2E00-00000C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2E00-00000D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4">
          <a:extLst>
            <a:ext uri="{FF2B5EF4-FFF2-40B4-BE49-F238E27FC236}">
              <a16:creationId xmlns:a16="http://schemas.microsoft.com/office/drawing/2014/main" id="{00000000-0008-0000-2E00-00000E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7">
          <a:extLst>
            <a:ext uri="{FF2B5EF4-FFF2-40B4-BE49-F238E27FC236}">
              <a16:creationId xmlns:a16="http://schemas.microsoft.com/office/drawing/2014/main" id="{00000000-0008-0000-2E00-00000F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8">
          <a:extLst>
            <a:ext uri="{FF2B5EF4-FFF2-40B4-BE49-F238E27FC236}">
              <a16:creationId xmlns:a16="http://schemas.microsoft.com/office/drawing/2014/main" id="{00000000-0008-0000-2E00-000010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2E00-000013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2E00-000014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2E00-00001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2E00-00001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2E00-000017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2E00-000018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2E00-000019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2E00-00001A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00000000-0008-0000-2E00-00001B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00000000-0008-0000-2E00-00001C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00000000-0008-0000-2E00-00001D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2E00-00001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2E00-00001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2E00-000020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2E00-000021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2E00-000022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2E00-000023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2E00-00002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2E00-00002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4">
          <a:extLst>
            <a:ext uri="{FF2B5EF4-FFF2-40B4-BE49-F238E27FC236}">
              <a16:creationId xmlns:a16="http://schemas.microsoft.com/office/drawing/2014/main" id="{00000000-0008-0000-2E00-00002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7">
          <a:extLst>
            <a:ext uri="{FF2B5EF4-FFF2-40B4-BE49-F238E27FC236}">
              <a16:creationId xmlns:a16="http://schemas.microsoft.com/office/drawing/2014/main" id="{00000000-0008-0000-2E00-000027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8">
          <a:extLst>
            <a:ext uri="{FF2B5EF4-FFF2-40B4-BE49-F238E27FC236}">
              <a16:creationId xmlns:a16="http://schemas.microsoft.com/office/drawing/2014/main" id="{00000000-0008-0000-2E00-000028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0CB50C2E-3392-4542-8B87-E522B4BEF64E}"/>
            </a:ext>
            <a:ext uri="{147F2762-F138-4A5C-976F-8EAC2B608ADB}">
              <a16:predDERef xmlns:a16="http://schemas.microsoft.com/office/drawing/2014/main" pred="{CD0037A4-E528-4C3C-B631-3D03F07D840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387C99A2-15B4-4BD8-BEDD-6FDA2F0BC5B3}"/>
            </a:ext>
            <a:ext uri="{147F2762-F138-4A5C-976F-8EAC2B608ADB}">
              <a16:predDERef xmlns:a16="http://schemas.microsoft.com/office/drawing/2014/main" pred="{0CB50C2E-3392-4542-8B87-E522B4BEF64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1BA171F9-B6A9-4FC1-86D1-63C871F814D7}"/>
            </a:ext>
            <a:ext uri="{147F2762-F138-4A5C-976F-8EAC2B608ADB}">
              <a16:predDERef xmlns:a16="http://schemas.microsoft.com/office/drawing/2014/main" pred="{387C99A2-15B4-4BD8-BEDD-6FDA2F0BC5B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7BDA92A7-CA01-4033-8613-68A422FA26AA}"/>
            </a:ext>
            <a:ext uri="{147F2762-F138-4A5C-976F-8EAC2B608ADB}">
              <a16:predDERef xmlns:a16="http://schemas.microsoft.com/office/drawing/2014/main" pred="{1BA171F9-B6A9-4FC1-86D1-63C871F814D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979A022D-CA7A-4872-BA1C-623696D70A7D}"/>
            </a:ext>
            <a:ext uri="{147F2762-F138-4A5C-976F-8EAC2B608ADB}">
              <a16:predDERef xmlns:a16="http://schemas.microsoft.com/office/drawing/2014/main" pred="{7BDA92A7-CA01-4033-8613-68A422FA26A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F5BCED83-1F54-45A1-B300-1A9E4925E59F}"/>
            </a:ext>
            <a:ext uri="{147F2762-F138-4A5C-976F-8EAC2B608ADB}">
              <a16:predDERef xmlns:a16="http://schemas.microsoft.com/office/drawing/2014/main" pred="{979A022D-CA7A-4872-BA1C-623696D70A7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CDC31A-60A1-4224-AF94-C9E158B91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84188</xdr:colOff>
      <xdr:row>1</xdr:row>
      <xdr:rowOff>183089</xdr:rowOff>
    </xdr:from>
    <xdr:to>
      <xdr:col>8</xdr:col>
      <xdr:colOff>929550</xdr:colOff>
      <xdr:row>4</xdr:row>
      <xdr:rowOff>82124</xdr:rowOff>
    </xdr:to>
    <xdr:pic>
      <xdr:nvPicPr>
        <xdr:cNvPr id="5" name="Picture 4" descr="VIAGS xanh">
          <a:extLst>
            <a:ext uri="{FF2B5EF4-FFF2-40B4-BE49-F238E27FC236}">
              <a16:creationId xmlns:a16="http://schemas.microsoft.com/office/drawing/2014/main" id="{05E3773B-2B84-4BD4-A7EC-F9764D020E1C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3623" y="290665"/>
          <a:ext cx="1939056" cy="598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">
          <a:extLst>
            <a:ext uri="{FF2B5EF4-FFF2-40B4-BE49-F238E27FC236}">
              <a16:creationId xmlns:a16="http://schemas.microsoft.com/office/drawing/2014/main" id="{D6F6A97E-970B-44CC-9078-7885867187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7">
          <a:extLst>
            <a:ext uri="{FF2B5EF4-FFF2-40B4-BE49-F238E27FC236}">
              <a16:creationId xmlns:a16="http://schemas.microsoft.com/office/drawing/2014/main" id="{A996E6CA-6D78-4532-B60E-D41388644C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8">
          <a:extLst>
            <a:ext uri="{FF2B5EF4-FFF2-40B4-BE49-F238E27FC236}">
              <a16:creationId xmlns:a16="http://schemas.microsoft.com/office/drawing/2014/main" id="{02930A30-8EFF-4C63-902B-5DB0F1D695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">
          <a:extLst>
            <a:ext uri="{FF2B5EF4-FFF2-40B4-BE49-F238E27FC236}">
              <a16:creationId xmlns:a16="http://schemas.microsoft.com/office/drawing/2014/main" id="{9B63880B-8ADE-4AAB-9674-4A722F466E9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7">
          <a:extLst>
            <a:ext uri="{FF2B5EF4-FFF2-40B4-BE49-F238E27FC236}">
              <a16:creationId xmlns:a16="http://schemas.microsoft.com/office/drawing/2014/main" id="{6EA8E11D-2DA0-4BCA-B925-5860384FD7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8">
          <a:extLst>
            <a:ext uri="{FF2B5EF4-FFF2-40B4-BE49-F238E27FC236}">
              <a16:creationId xmlns:a16="http://schemas.microsoft.com/office/drawing/2014/main" id="{B284F0D1-7DE3-4F17-9059-357834F669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4">
          <a:extLst>
            <a:ext uri="{FF2B5EF4-FFF2-40B4-BE49-F238E27FC236}">
              <a16:creationId xmlns:a16="http://schemas.microsoft.com/office/drawing/2014/main" id="{D0CAE10A-9E8E-42B3-BBD7-323EF55111E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7">
          <a:extLst>
            <a:ext uri="{FF2B5EF4-FFF2-40B4-BE49-F238E27FC236}">
              <a16:creationId xmlns:a16="http://schemas.microsoft.com/office/drawing/2014/main" id="{F5AFE595-CB37-4709-A6D9-96A097F31F9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8">
          <a:extLst>
            <a:ext uri="{FF2B5EF4-FFF2-40B4-BE49-F238E27FC236}">
              <a16:creationId xmlns:a16="http://schemas.microsoft.com/office/drawing/2014/main" id="{45C45F0E-9A14-46B1-9F1D-5A4B6286153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2E5B29D4-831E-45F3-98E7-F378DF6ABFC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7">
          <a:extLst>
            <a:ext uri="{FF2B5EF4-FFF2-40B4-BE49-F238E27FC236}">
              <a16:creationId xmlns:a16="http://schemas.microsoft.com/office/drawing/2014/main" id="{96F5F104-1233-4336-BC7D-7E5E4AB46CD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8">
          <a:extLst>
            <a:ext uri="{FF2B5EF4-FFF2-40B4-BE49-F238E27FC236}">
              <a16:creationId xmlns:a16="http://schemas.microsoft.com/office/drawing/2014/main" id="{08D5BF10-7320-439D-B40F-109EDDDE5A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4">
          <a:extLst>
            <a:ext uri="{FF2B5EF4-FFF2-40B4-BE49-F238E27FC236}">
              <a16:creationId xmlns:a16="http://schemas.microsoft.com/office/drawing/2014/main" id="{EC919367-18D5-4C05-9AA6-1957CAF0A74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7">
          <a:extLst>
            <a:ext uri="{FF2B5EF4-FFF2-40B4-BE49-F238E27FC236}">
              <a16:creationId xmlns:a16="http://schemas.microsoft.com/office/drawing/2014/main" id="{04A6EE02-0463-4567-AEC0-BAD9B0C011C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8">
          <a:extLst>
            <a:ext uri="{FF2B5EF4-FFF2-40B4-BE49-F238E27FC236}">
              <a16:creationId xmlns:a16="http://schemas.microsoft.com/office/drawing/2014/main" id="{301A7FF2-EC43-4CCC-8BCF-9DB1B00044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4">
          <a:extLst>
            <a:ext uri="{FF2B5EF4-FFF2-40B4-BE49-F238E27FC236}">
              <a16:creationId xmlns:a16="http://schemas.microsoft.com/office/drawing/2014/main" id="{75A2A6BE-DFD8-40ED-A33E-E67AA604BCA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2A7FF6C0-DAB4-4B84-A255-D5DBB088C9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7C741667-74A7-4B4E-A4EB-21994172C90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4">
          <a:extLst>
            <a:ext uri="{FF2B5EF4-FFF2-40B4-BE49-F238E27FC236}">
              <a16:creationId xmlns:a16="http://schemas.microsoft.com/office/drawing/2014/main" id="{93484F85-3CB9-4E6C-812F-A55D555480D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7">
          <a:extLst>
            <a:ext uri="{FF2B5EF4-FFF2-40B4-BE49-F238E27FC236}">
              <a16:creationId xmlns:a16="http://schemas.microsoft.com/office/drawing/2014/main" id="{BB84E546-29C0-4633-962B-183CEED8285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E15024F9-B2B1-4A2B-B92D-EEB0D33660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69F1168A-7F5F-418F-BF16-D5A36234459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ADAF8105-77E3-4A90-B5A9-28F79103445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489A0E39-8CAF-46E4-9710-FF3349B8D7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4">
          <a:extLst>
            <a:ext uri="{FF2B5EF4-FFF2-40B4-BE49-F238E27FC236}">
              <a16:creationId xmlns:a16="http://schemas.microsoft.com/office/drawing/2014/main" id="{CE6CAB55-1381-4BC4-9E50-E5E90E1BF51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">
          <a:extLst>
            <a:ext uri="{FF2B5EF4-FFF2-40B4-BE49-F238E27FC236}">
              <a16:creationId xmlns:a16="http://schemas.microsoft.com/office/drawing/2014/main" id="{50BF91DF-2CFC-4963-BCFB-ECCB27DD600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8">
          <a:extLst>
            <a:ext uri="{FF2B5EF4-FFF2-40B4-BE49-F238E27FC236}">
              <a16:creationId xmlns:a16="http://schemas.microsoft.com/office/drawing/2014/main" id="{68AD64A9-E320-4967-A026-AB0E925A30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4">
          <a:extLst>
            <a:ext uri="{FF2B5EF4-FFF2-40B4-BE49-F238E27FC236}">
              <a16:creationId xmlns:a16="http://schemas.microsoft.com/office/drawing/2014/main" id="{05B66CFD-DE8D-4CE4-A82D-E7C53D4B14F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">
          <a:extLst>
            <a:ext uri="{FF2B5EF4-FFF2-40B4-BE49-F238E27FC236}">
              <a16:creationId xmlns:a16="http://schemas.microsoft.com/office/drawing/2014/main" id="{52C6E637-B581-4114-9B5A-B90D739C2E8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8">
          <a:extLst>
            <a:ext uri="{FF2B5EF4-FFF2-40B4-BE49-F238E27FC236}">
              <a16:creationId xmlns:a16="http://schemas.microsoft.com/office/drawing/2014/main" id="{737CCF24-301A-4D9C-99AB-5151881A655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4">
          <a:extLst>
            <a:ext uri="{FF2B5EF4-FFF2-40B4-BE49-F238E27FC236}">
              <a16:creationId xmlns:a16="http://schemas.microsoft.com/office/drawing/2014/main" id="{F4AF52DB-43FD-46B2-9CCA-EFA02758BF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">
          <a:extLst>
            <a:ext uri="{FF2B5EF4-FFF2-40B4-BE49-F238E27FC236}">
              <a16:creationId xmlns:a16="http://schemas.microsoft.com/office/drawing/2014/main" id="{A2452E4B-B4C5-4ECF-A5C0-DB228F7F1B1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8">
          <a:extLst>
            <a:ext uri="{FF2B5EF4-FFF2-40B4-BE49-F238E27FC236}">
              <a16:creationId xmlns:a16="http://schemas.microsoft.com/office/drawing/2014/main" id="{575EC275-48FE-45AC-A53A-DD949143CCE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C16FC930-1FBA-48B9-AD72-799D1550099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1FB70431-D6D3-48E0-B960-D4F0D1B9CC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7BB21240-C388-4F83-86B2-5460BEB743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2F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2F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2F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2F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2F00-00000C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2F00-00000D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2F00-00000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2F00-00000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00000000-0008-0000-2F00-000010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00000000-0008-0000-2F00-000011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00000000-0008-0000-2F00-000012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2F00-000013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2F00-000014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2F00-00001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2F00-00001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2F00-000017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2F00-000018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2F00-000019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2F00-00001A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00000000-0008-0000-2F00-00001B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00000000-0008-0000-2F00-00001C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00000000-0008-0000-2F00-00001D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2F00-00001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2F00-00001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2F00-000020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2F00-000021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2F00-000022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2F00-000023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2F00-00002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2F00-00002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4">
          <a:extLst>
            <a:ext uri="{FF2B5EF4-FFF2-40B4-BE49-F238E27FC236}">
              <a16:creationId xmlns:a16="http://schemas.microsoft.com/office/drawing/2014/main" id="{00000000-0008-0000-2F00-00002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7">
          <a:extLst>
            <a:ext uri="{FF2B5EF4-FFF2-40B4-BE49-F238E27FC236}">
              <a16:creationId xmlns:a16="http://schemas.microsoft.com/office/drawing/2014/main" id="{00000000-0008-0000-2F00-000027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8">
          <a:extLst>
            <a:ext uri="{FF2B5EF4-FFF2-40B4-BE49-F238E27FC236}">
              <a16:creationId xmlns:a16="http://schemas.microsoft.com/office/drawing/2014/main" id="{00000000-0008-0000-2F00-000028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F814260-A965-4B0E-8B35-E44D6C369E4B}"/>
            </a:ext>
            <a:ext uri="{147F2762-F138-4A5C-976F-8EAC2B608ADB}">
              <a16:predDERef xmlns:a16="http://schemas.microsoft.com/office/drawing/2014/main" pred="{1A1FAB10-3DDA-438E-903F-4D6C44A431E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9463B91F-4B3A-4C4E-8867-371B68A38C83}"/>
            </a:ext>
            <a:ext uri="{147F2762-F138-4A5C-976F-8EAC2B608ADB}">
              <a16:predDERef xmlns:a16="http://schemas.microsoft.com/office/drawing/2014/main" pred="{4F814260-A965-4B0E-8B35-E44D6C369E4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1E80FF78-C8DB-40B1-9579-241BE6B8A9E5}"/>
            </a:ext>
            <a:ext uri="{147F2762-F138-4A5C-976F-8EAC2B608ADB}">
              <a16:predDERef xmlns:a16="http://schemas.microsoft.com/office/drawing/2014/main" pred="{9463B91F-4B3A-4C4E-8867-371B68A38C8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262C3EA9-5138-4A47-B699-151E7C4E50C3}"/>
            </a:ext>
            <a:ext uri="{147F2762-F138-4A5C-976F-8EAC2B608ADB}">
              <a16:predDERef xmlns:a16="http://schemas.microsoft.com/office/drawing/2014/main" pred="{1E80FF78-C8DB-40B1-9579-241BE6B8A9E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3479185B-6E22-4D26-A12F-65F941CC2F82}"/>
            </a:ext>
            <a:ext uri="{147F2762-F138-4A5C-976F-8EAC2B608ADB}">
              <a16:predDERef xmlns:a16="http://schemas.microsoft.com/office/drawing/2014/main" pred="{262C3EA9-5138-4A47-B699-151E7C4E50C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376B9A76-6040-42B9-A8B6-E5EA66B048A4}"/>
            </a:ext>
            <a:ext uri="{147F2762-F138-4A5C-976F-8EAC2B608ADB}">
              <a16:predDERef xmlns:a16="http://schemas.microsoft.com/office/drawing/2014/main" pred="{3479185B-6E22-4D26-A12F-65F941CC2F8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B62111-B8B5-4C02-A039-8218794B5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77128</xdr:colOff>
      <xdr:row>1</xdr:row>
      <xdr:rowOff>161350</xdr:rowOff>
    </xdr:from>
    <xdr:to>
      <xdr:col>8</xdr:col>
      <xdr:colOff>922490</xdr:colOff>
      <xdr:row>4</xdr:row>
      <xdr:rowOff>62290</xdr:rowOff>
    </xdr:to>
    <xdr:pic>
      <xdr:nvPicPr>
        <xdr:cNvPr id="3" name="Picture 4" descr="VIAGS xanh">
          <a:extLst>
            <a:ext uri="{FF2B5EF4-FFF2-40B4-BE49-F238E27FC236}">
              <a16:creationId xmlns:a16="http://schemas.microsoft.com/office/drawing/2014/main" id="{3DA8BE31-A994-467A-801E-6AA8E462645C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6563" y="268926"/>
          <a:ext cx="1939056" cy="6001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">
          <a:extLst>
            <a:ext uri="{FF2B5EF4-FFF2-40B4-BE49-F238E27FC236}">
              <a16:creationId xmlns:a16="http://schemas.microsoft.com/office/drawing/2014/main" id="{C613B1AE-5A5E-46DC-A340-99EC954527E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7">
          <a:extLst>
            <a:ext uri="{FF2B5EF4-FFF2-40B4-BE49-F238E27FC236}">
              <a16:creationId xmlns:a16="http://schemas.microsoft.com/office/drawing/2014/main" id="{810DBA13-D2DD-4699-BC6E-4E74BB69890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8">
          <a:extLst>
            <a:ext uri="{FF2B5EF4-FFF2-40B4-BE49-F238E27FC236}">
              <a16:creationId xmlns:a16="http://schemas.microsoft.com/office/drawing/2014/main" id="{3FF40546-A1AE-4399-BADC-21BF2F2B6D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">
          <a:extLst>
            <a:ext uri="{FF2B5EF4-FFF2-40B4-BE49-F238E27FC236}">
              <a16:creationId xmlns:a16="http://schemas.microsoft.com/office/drawing/2014/main" id="{0E7D0EE5-2C4E-4F6A-B743-14964BB602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7">
          <a:extLst>
            <a:ext uri="{FF2B5EF4-FFF2-40B4-BE49-F238E27FC236}">
              <a16:creationId xmlns:a16="http://schemas.microsoft.com/office/drawing/2014/main" id="{5B767C92-B4BB-4BF3-9EAF-6D888479A2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8">
          <a:extLst>
            <a:ext uri="{FF2B5EF4-FFF2-40B4-BE49-F238E27FC236}">
              <a16:creationId xmlns:a16="http://schemas.microsoft.com/office/drawing/2014/main" id="{1B464EEA-346E-422B-9B37-4DC7D6DC31C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4">
          <a:extLst>
            <a:ext uri="{FF2B5EF4-FFF2-40B4-BE49-F238E27FC236}">
              <a16:creationId xmlns:a16="http://schemas.microsoft.com/office/drawing/2014/main" id="{96289F2B-8BD8-46EF-8DA1-69B79DAB24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7">
          <a:extLst>
            <a:ext uri="{FF2B5EF4-FFF2-40B4-BE49-F238E27FC236}">
              <a16:creationId xmlns:a16="http://schemas.microsoft.com/office/drawing/2014/main" id="{65EBFB5A-DA35-4771-9D40-B3BA2423F2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8">
          <a:extLst>
            <a:ext uri="{FF2B5EF4-FFF2-40B4-BE49-F238E27FC236}">
              <a16:creationId xmlns:a16="http://schemas.microsoft.com/office/drawing/2014/main" id="{45E0EA3D-2636-43A2-9899-E1B9772CC5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C49324D8-E2EC-4B4C-9741-B5EC4AACB76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7">
          <a:extLst>
            <a:ext uri="{FF2B5EF4-FFF2-40B4-BE49-F238E27FC236}">
              <a16:creationId xmlns:a16="http://schemas.microsoft.com/office/drawing/2014/main" id="{ED879295-D1E4-4210-9084-D2955DABFF8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8">
          <a:extLst>
            <a:ext uri="{FF2B5EF4-FFF2-40B4-BE49-F238E27FC236}">
              <a16:creationId xmlns:a16="http://schemas.microsoft.com/office/drawing/2014/main" id="{6D22C15D-7867-4A52-B571-813CD85E451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4">
          <a:extLst>
            <a:ext uri="{FF2B5EF4-FFF2-40B4-BE49-F238E27FC236}">
              <a16:creationId xmlns:a16="http://schemas.microsoft.com/office/drawing/2014/main" id="{BF8226B6-3697-4031-AAEB-40B6C32B4E2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7">
          <a:extLst>
            <a:ext uri="{FF2B5EF4-FFF2-40B4-BE49-F238E27FC236}">
              <a16:creationId xmlns:a16="http://schemas.microsoft.com/office/drawing/2014/main" id="{200733D2-656F-4195-8EB4-D6D7258791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8">
          <a:extLst>
            <a:ext uri="{FF2B5EF4-FFF2-40B4-BE49-F238E27FC236}">
              <a16:creationId xmlns:a16="http://schemas.microsoft.com/office/drawing/2014/main" id="{C05E7B72-B001-48C0-A1D2-A93ABADE803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4">
          <a:extLst>
            <a:ext uri="{FF2B5EF4-FFF2-40B4-BE49-F238E27FC236}">
              <a16:creationId xmlns:a16="http://schemas.microsoft.com/office/drawing/2014/main" id="{8843A1FB-C902-45DC-B898-38BB90DF75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CB3F81C1-5E7D-498F-9F45-A458F529C8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D97942A7-58C0-44E6-B3BC-4B081DC9B2C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4">
          <a:extLst>
            <a:ext uri="{FF2B5EF4-FFF2-40B4-BE49-F238E27FC236}">
              <a16:creationId xmlns:a16="http://schemas.microsoft.com/office/drawing/2014/main" id="{86BF0E89-DA21-4991-BEBD-8B599833B3E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7">
          <a:extLst>
            <a:ext uri="{FF2B5EF4-FFF2-40B4-BE49-F238E27FC236}">
              <a16:creationId xmlns:a16="http://schemas.microsoft.com/office/drawing/2014/main" id="{6E448505-5A4E-446C-B80B-40D31CB411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3ECA728F-7853-4F75-B506-3ADC997E6AC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7E7897FD-5A29-4818-9601-1795D28A717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22BC9668-4138-47E0-B42C-1E4776876F5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14B8094F-2091-4743-88EC-172EA3B3BE9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4">
          <a:extLst>
            <a:ext uri="{FF2B5EF4-FFF2-40B4-BE49-F238E27FC236}">
              <a16:creationId xmlns:a16="http://schemas.microsoft.com/office/drawing/2014/main" id="{1BD219B7-6329-4444-AB90-2C0CDB7214F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">
          <a:extLst>
            <a:ext uri="{FF2B5EF4-FFF2-40B4-BE49-F238E27FC236}">
              <a16:creationId xmlns:a16="http://schemas.microsoft.com/office/drawing/2014/main" id="{9313B8E4-2806-4752-B405-A97358F54C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8">
          <a:extLst>
            <a:ext uri="{FF2B5EF4-FFF2-40B4-BE49-F238E27FC236}">
              <a16:creationId xmlns:a16="http://schemas.microsoft.com/office/drawing/2014/main" id="{09994316-CBE3-495C-930E-0FF3AA80B7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4">
          <a:extLst>
            <a:ext uri="{FF2B5EF4-FFF2-40B4-BE49-F238E27FC236}">
              <a16:creationId xmlns:a16="http://schemas.microsoft.com/office/drawing/2014/main" id="{C4B6BAFE-CAF3-45B7-B0F0-746B7BFA46E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">
          <a:extLst>
            <a:ext uri="{FF2B5EF4-FFF2-40B4-BE49-F238E27FC236}">
              <a16:creationId xmlns:a16="http://schemas.microsoft.com/office/drawing/2014/main" id="{D8854196-1B74-41E0-A82E-3FCD18E749E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8">
          <a:extLst>
            <a:ext uri="{FF2B5EF4-FFF2-40B4-BE49-F238E27FC236}">
              <a16:creationId xmlns:a16="http://schemas.microsoft.com/office/drawing/2014/main" id="{33F71D1B-00EE-44D1-8F8C-9C6561C93EB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4">
          <a:extLst>
            <a:ext uri="{FF2B5EF4-FFF2-40B4-BE49-F238E27FC236}">
              <a16:creationId xmlns:a16="http://schemas.microsoft.com/office/drawing/2014/main" id="{DB688D5A-EA00-44C2-991C-1D6863760F5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">
          <a:extLst>
            <a:ext uri="{FF2B5EF4-FFF2-40B4-BE49-F238E27FC236}">
              <a16:creationId xmlns:a16="http://schemas.microsoft.com/office/drawing/2014/main" id="{FF878D9E-2F12-4EA9-A459-5775516A52F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8">
          <a:extLst>
            <a:ext uri="{FF2B5EF4-FFF2-40B4-BE49-F238E27FC236}">
              <a16:creationId xmlns:a16="http://schemas.microsoft.com/office/drawing/2014/main" id="{799D0D1B-F209-40C8-AC26-98E3882CDB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602C5676-9D53-4B3F-AD7C-F55126A227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EC6F7DC-B341-4941-B5A7-B90E49317D5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AE7B7C54-7F74-48EE-9EBC-F2A4364C5B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30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30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30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30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30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00000000-0008-0000-3000-00000C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00000000-0008-0000-3000-00000D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00000000-0008-0000-3000-00000E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3000-00000F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3000-000010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3000-000011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3000-000012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3000-000013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3000-000014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3000-00001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3000-00001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4">
          <a:extLst>
            <a:ext uri="{FF2B5EF4-FFF2-40B4-BE49-F238E27FC236}">
              <a16:creationId xmlns:a16="http://schemas.microsoft.com/office/drawing/2014/main" id="{00000000-0008-0000-3000-000017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00000000-0008-0000-3000-00001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00000000-0008-0000-3000-00001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3000-00001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3000-00001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3000-00001C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3000-00001D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3000-00001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3000-00001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3000-000020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3000-000021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00000000-0008-0000-3000-000022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00000000-0008-0000-3000-000023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00000000-0008-0000-3000-000024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26FCD483-4B8B-4932-8878-C0329F6369D9}"/>
            </a:ext>
            <a:ext uri="{147F2762-F138-4A5C-976F-8EAC2B608ADB}">
              <a16:predDERef xmlns:a16="http://schemas.microsoft.com/office/drawing/2014/main" pred="{AE1FD1A4-EFA5-447A-B610-87668536C70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CF1B9709-B000-416E-B70F-4CF42E98DB16}"/>
            </a:ext>
            <a:ext uri="{147F2762-F138-4A5C-976F-8EAC2B608ADB}">
              <a16:predDERef xmlns:a16="http://schemas.microsoft.com/office/drawing/2014/main" pred="{26FCD483-4B8B-4932-8878-C0329F6369D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57E56E46-F587-4AC6-A0E2-7A707C244444}"/>
            </a:ext>
            <a:ext uri="{147F2762-F138-4A5C-976F-8EAC2B608ADB}">
              <a16:predDERef xmlns:a16="http://schemas.microsoft.com/office/drawing/2014/main" pred="{CF1B9709-B000-416E-B70F-4CF42E98DB1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1F77FF05-BE32-4183-B78A-33DA26E832E5}"/>
            </a:ext>
            <a:ext uri="{147F2762-F138-4A5C-976F-8EAC2B608ADB}">
              <a16:predDERef xmlns:a16="http://schemas.microsoft.com/office/drawing/2014/main" pred="{57E56E46-F587-4AC6-A0E2-7A707C24444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8A517E00-355E-4FAA-AF39-07BB44ACEDC2}"/>
            </a:ext>
            <a:ext uri="{147F2762-F138-4A5C-976F-8EAC2B608ADB}">
              <a16:predDERef xmlns:a16="http://schemas.microsoft.com/office/drawing/2014/main" pred="{1F77FF05-BE32-4183-B78A-33DA26E832E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B9DEBCF4-4E52-4188-98FB-32DE89C5E0F3}"/>
            </a:ext>
            <a:ext uri="{147F2762-F138-4A5C-976F-8EAC2B608ADB}">
              <a16:predDERef xmlns:a16="http://schemas.microsoft.com/office/drawing/2014/main" pred="{8A517E00-355E-4FAA-AF39-07BB44ACEDC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37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C3A0EE-02B5-4E31-BF32-1AD84D264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107832</xdr:colOff>
      <xdr:row>1</xdr:row>
      <xdr:rowOff>186338</xdr:rowOff>
    </xdr:from>
    <xdr:to>
      <xdr:col>8</xdr:col>
      <xdr:colOff>947479</xdr:colOff>
      <xdr:row>4</xdr:row>
      <xdr:rowOff>91088</xdr:rowOff>
    </xdr:to>
    <xdr:pic>
      <xdr:nvPicPr>
        <xdr:cNvPr id="38" name="Picture 4" descr="VIAGS xanh">
          <a:extLst>
            <a:ext uri="{FF2B5EF4-FFF2-40B4-BE49-F238E27FC236}">
              <a16:creationId xmlns:a16="http://schemas.microsoft.com/office/drawing/2014/main" id="{9BF4685E-FBB8-454D-AAA2-F227090A94A1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7267" y="293914"/>
          <a:ext cx="1933341" cy="603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">
          <a:extLst>
            <a:ext uri="{FF2B5EF4-FFF2-40B4-BE49-F238E27FC236}">
              <a16:creationId xmlns:a16="http://schemas.microsoft.com/office/drawing/2014/main" id="{49C15D8E-CFDA-4FFD-BD00-D22613BE24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7">
          <a:extLst>
            <a:ext uri="{FF2B5EF4-FFF2-40B4-BE49-F238E27FC236}">
              <a16:creationId xmlns:a16="http://schemas.microsoft.com/office/drawing/2014/main" id="{0135636B-5C35-486D-8ECB-3D386AEF600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8">
          <a:extLst>
            <a:ext uri="{FF2B5EF4-FFF2-40B4-BE49-F238E27FC236}">
              <a16:creationId xmlns:a16="http://schemas.microsoft.com/office/drawing/2014/main" id="{44AC13AE-D1B5-4399-AFC4-6F1F7FC7008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">
          <a:extLst>
            <a:ext uri="{FF2B5EF4-FFF2-40B4-BE49-F238E27FC236}">
              <a16:creationId xmlns:a16="http://schemas.microsoft.com/office/drawing/2014/main" id="{ED7CA62F-C54B-425E-AC8C-D37F2F26E6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7">
          <a:extLst>
            <a:ext uri="{FF2B5EF4-FFF2-40B4-BE49-F238E27FC236}">
              <a16:creationId xmlns:a16="http://schemas.microsoft.com/office/drawing/2014/main" id="{AC510876-165D-4AD3-8E03-F2DBB4A9B07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8">
          <a:extLst>
            <a:ext uri="{FF2B5EF4-FFF2-40B4-BE49-F238E27FC236}">
              <a16:creationId xmlns:a16="http://schemas.microsoft.com/office/drawing/2014/main" id="{DF1A86D1-5787-42A6-AC67-E67A249BDA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4">
          <a:extLst>
            <a:ext uri="{FF2B5EF4-FFF2-40B4-BE49-F238E27FC236}">
              <a16:creationId xmlns:a16="http://schemas.microsoft.com/office/drawing/2014/main" id="{7605A526-0BF2-4E44-A31A-0518D946841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7">
          <a:extLst>
            <a:ext uri="{FF2B5EF4-FFF2-40B4-BE49-F238E27FC236}">
              <a16:creationId xmlns:a16="http://schemas.microsoft.com/office/drawing/2014/main" id="{9174B7CA-2E19-46F5-A64D-4B205C501CF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8">
          <a:extLst>
            <a:ext uri="{FF2B5EF4-FFF2-40B4-BE49-F238E27FC236}">
              <a16:creationId xmlns:a16="http://schemas.microsoft.com/office/drawing/2014/main" id="{95C64EE2-406D-44FA-84AD-D13D3F501E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B4BF48BD-A778-4CF7-966C-09D00984508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7">
          <a:extLst>
            <a:ext uri="{FF2B5EF4-FFF2-40B4-BE49-F238E27FC236}">
              <a16:creationId xmlns:a16="http://schemas.microsoft.com/office/drawing/2014/main" id="{25770DB4-ABC9-4D92-9F07-EA9D521A8D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8">
          <a:extLst>
            <a:ext uri="{FF2B5EF4-FFF2-40B4-BE49-F238E27FC236}">
              <a16:creationId xmlns:a16="http://schemas.microsoft.com/office/drawing/2014/main" id="{6195E8D2-EB70-444C-A2FE-CCB9BE591A9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4">
          <a:extLst>
            <a:ext uri="{FF2B5EF4-FFF2-40B4-BE49-F238E27FC236}">
              <a16:creationId xmlns:a16="http://schemas.microsoft.com/office/drawing/2014/main" id="{7820F9A8-3126-4333-BDD6-9E6EDA462E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7">
          <a:extLst>
            <a:ext uri="{FF2B5EF4-FFF2-40B4-BE49-F238E27FC236}">
              <a16:creationId xmlns:a16="http://schemas.microsoft.com/office/drawing/2014/main" id="{9F1E70DB-386D-4007-A430-8655301F40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8">
          <a:extLst>
            <a:ext uri="{FF2B5EF4-FFF2-40B4-BE49-F238E27FC236}">
              <a16:creationId xmlns:a16="http://schemas.microsoft.com/office/drawing/2014/main" id="{83592DF9-0079-4716-BBA2-C0A2A8400EB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4">
          <a:extLst>
            <a:ext uri="{FF2B5EF4-FFF2-40B4-BE49-F238E27FC236}">
              <a16:creationId xmlns:a16="http://schemas.microsoft.com/office/drawing/2014/main" id="{005F5561-78A5-4B94-80A2-8A44BA740A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617879F0-3634-4255-B6D6-A3FB34E688D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3BC3D730-3258-4766-90D0-07BB5E5F6B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4">
          <a:extLst>
            <a:ext uri="{FF2B5EF4-FFF2-40B4-BE49-F238E27FC236}">
              <a16:creationId xmlns:a16="http://schemas.microsoft.com/office/drawing/2014/main" id="{784B20FA-BABF-4C1F-8072-A7644AA17B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7">
          <a:extLst>
            <a:ext uri="{FF2B5EF4-FFF2-40B4-BE49-F238E27FC236}">
              <a16:creationId xmlns:a16="http://schemas.microsoft.com/office/drawing/2014/main" id="{123BD1EF-CB7E-4373-B0EB-D25259D7891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2A547DF1-2904-43AD-AFA2-6A3FDC7AC5F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327FE349-C210-4FFB-BCC7-EF868B42B5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64022D20-0C6A-4FDF-9A85-D36102BC875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3EC3B3BE-94F1-4F27-8A7F-6DE9A2DFE1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4">
          <a:extLst>
            <a:ext uri="{FF2B5EF4-FFF2-40B4-BE49-F238E27FC236}">
              <a16:creationId xmlns:a16="http://schemas.microsoft.com/office/drawing/2014/main" id="{C1175E2C-87DF-48C5-92F4-DF41FFFD20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">
          <a:extLst>
            <a:ext uri="{FF2B5EF4-FFF2-40B4-BE49-F238E27FC236}">
              <a16:creationId xmlns:a16="http://schemas.microsoft.com/office/drawing/2014/main" id="{F179D048-BB2F-4954-948F-40BD1F00801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8">
          <a:extLst>
            <a:ext uri="{FF2B5EF4-FFF2-40B4-BE49-F238E27FC236}">
              <a16:creationId xmlns:a16="http://schemas.microsoft.com/office/drawing/2014/main" id="{60DC1ECC-0E38-455B-8A9C-22D68F9284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4">
          <a:extLst>
            <a:ext uri="{FF2B5EF4-FFF2-40B4-BE49-F238E27FC236}">
              <a16:creationId xmlns:a16="http://schemas.microsoft.com/office/drawing/2014/main" id="{F3445B5C-2D0F-4DD3-B3CB-D07FD5B4066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">
          <a:extLst>
            <a:ext uri="{FF2B5EF4-FFF2-40B4-BE49-F238E27FC236}">
              <a16:creationId xmlns:a16="http://schemas.microsoft.com/office/drawing/2014/main" id="{BC1DDDAE-0588-400E-A1DC-79432351F13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8">
          <a:extLst>
            <a:ext uri="{FF2B5EF4-FFF2-40B4-BE49-F238E27FC236}">
              <a16:creationId xmlns:a16="http://schemas.microsoft.com/office/drawing/2014/main" id="{984DEF22-F53B-43B4-A987-EAF370355F9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4">
          <a:extLst>
            <a:ext uri="{FF2B5EF4-FFF2-40B4-BE49-F238E27FC236}">
              <a16:creationId xmlns:a16="http://schemas.microsoft.com/office/drawing/2014/main" id="{4C8615D0-703B-4AC7-909C-65A7FFC25EE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">
          <a:extLst>
            <a:ext uri="{FF2B5EF4-FFF2-40B4-BE49-F238E27FC236}">
              <a16:creationId xmlns:a16="http://schemas.microsoft.com/office/drawing/2014/main" id="{5BD19926-FAB1-40D6-937C-C2A845BEA5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8">
          <a:extLst>
            <a:ext uri="{FF2B5EF4-FFF2-40B4-BE49-F238E27FC236}">
              <a16:creationId xmlns:a16="http://schemas.microsoft.com/office/drawing/2014/main" id="{1056BE7D-82AD-4BD7-8E58-9D269BFC1B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B7B3ADB-2441-4C65-A74D-A3BDC598E3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4D693A00-FC8E-4AED-9DF2-02CF9017FC7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E4DB792E-CDCC-41B2-A431-F84A460938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SpPr txBox="1"/>
      </xdr:nvSpPr>
      <xdr:spPr>
        <a:xfrm>
          <a:off x="127825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3100-000006000000}"/>
            </a:ext>
          </a:extLst>
        </xdr:cNvPr>
        <xdr:cNvSpPr txBox="1"/>
      </xdr:nvSpPr>
      <xdr:spPr>
        <a:xfrm>
          <a:off x="127825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3100-000007000000}"/>
            </a:ext>
          </a:extLst>
        </xdr:cNvPr>
        <xdr:cNvSpPr txBox="1"/>
      </xdr:nvSpPr>
      <xdr:spPr>
        <a:xfrm>
          <a:off x="127825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3100-000008000000}"/>
            </a:ext>
          </a:extLst>
        </xdr:cNvPr>
        <xdr:cNvSpPr txBox="1"/>
      </xdr:nvSpPr>
      <xdr:spPr>
        <a:xfrm>
          <a:off x="127825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3100-000009000000}"/>
            </a:ext>
          </a:extLst>
        </xdr:cNvPr>
        <xdr:cNvSpPr txBox="1"/>
      </xdr:nvSpPr>
      <xdr:spPr>
        <a:xfrm>
          <a:off x="127825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3100-00000A000000}"/>
            </a:ext>
          </a:extLst>
        </xdr:cNvPr>
        <xdr:cNvSpPr txBox="1"/>
      </xdr:nvSpPr>
      <xdr:spPr>
        <a:xfrm>
          <a:off x="127825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3100-00000B000000}"/>
            </a:ext>
          </a:extLst>
        </xdr:cNvPr>
        <xdr:cNvSpPr txBox="1"/>
      </xdr:nvSpPr>
      <xdr:spPr>
        <a:xfrm>
          <a:off x="127825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3100-00000C000000}"/>
            </a:ext>
          </a:extLst>
        </xdr:cNvPr>
        <xdr:cNvSpPr txBox="1"/>
      </xdr:nvSpPr>
      <xdr:spPr>
        <a:xfrm>
          <a:off x="127825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3100-00000D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3100-00000E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3100-00000F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3100-000010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3100-000011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3100-000012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3100-000013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3100-000014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00000000-0008-0000-3100-00001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00000000-0008-0000-3100-00001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00000000-0008-0000-3100-00001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3100-00001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3100-00001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3100-00001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3100-00001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3100-00001C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3100-00001D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3100-00001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3100-00001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00000000-0008-0000-3100-000020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00000000-0008-0000-3100-000021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00000000-0008-0000-3100-000022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3100-000023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3100-000024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3100-00002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3100-00002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3100-000027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3100-000028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3100-000029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3100-00002A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00000000-0008-0000-3100-00002B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00000000-0008-0000-3100-00002C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00000000-0008-0000-3100-00002D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8018EF41-B66E-4B08-B5D0-F8731CF0ED5F}"/>
            </a:ext>
            <a:ext uri="{147F2762-F138-4A5C-976F-8EAC2B608ADB}">
              <a16:predDERef xmlns:a16="http://schemas.microsoft.com/office/drawing/2014/main" pred="{D843DB48-2B03-49EF-AA76-8C3C8E03E9F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5AA53870-4CF8-40A2-A332-F3DFD8AA2FE8}"/>
            </a:ext>
            <a:ext uri="{147F2762-F138-4A5C-976F-8EAC2B608ADB}">
              <a16:predDERef xmlns:a16="http://schemas.microsoft.com/office/drawing/2014/main" pred="{8018EF41-B66E-4B08-B5D0-F8731CF0ED5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116BFF69-7A18-4A7A-B8D0-0E8E3A09E5A8}"/>
            </a:ext>
            <a:ext uri="{147F2762-F138-4A5C-976F-8EAC2B608ADB}">
              <a16:predDERef xmlns:a16="http://schemas.microsoft.com/office/drawing/2014/main" pred="{5AA53870-4CF8-40A2-A332-F3DFD8AA2FE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C0148298-0A5B-4067-AC85-F7258EAC824F}"/>
            </a:ext>
            <a:ext uri="{147F2762-F138-4A5C-976F-8EAC2B608ADB}">
              <a16:predDERef xmlns:a16="http://schemas.microsoft.com/office/drawing/2014/main" pred="{116BFF69-7A18-4A7A-B8D0-0E8E3A09E5A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75D21B26-B5F5-49DE-89C6-65F0FD586598}"/>
            </a:ext>
            <a:ext uri="{147F2762-F138-4A5C-976F-8EAC2B608ADB}">
              <a16:predDERef xmlns:a16="http://schemas.microsoft.com/office/drawing/2014/main" pred="{C0148298-0A5B-4067-AC85-F7258EAC824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3C16CEF6-DEF9-4019-8FFD-70BE975853EF}"/>
            </a:ext>
            <a:ext uri="{147F2762-F138-4A5C-976F-8EAC2B608ADB}">
              <a16:predDERef xmlns:a16="http://schemas.microsoft.com/office/drawing/2014/main" pred="{75D21B26-B5F5-49DE-89C6-65F0FD58659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6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0F50F6-BE02-4BA5-AED5-EB2DBA1C4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100222</xdr:colOff>
      <xdr:row>1</xdr:row>
      <xdr:rowOff>184984</xdr:rowOff>
    </xdr:from>
    <xdr:to>
      <xdr:col>8</xdr:col>
      <xdr:colOff>947489</xdr:colOff>
      <xdr:row>4</xdr:row>
      <xdr:rowOff>84019</xdr:rowOff>
    </xdr:to>
    <xdr:pic>
      <xdr:nvPicPr>
        <xdr:cNvPr id="47" name="Picture 4" descr="VIAGS xanh">
          <a:extLst>
            <a:ext uri="{FF2B5EF4-FFF2-40B4-BE49-F238E27FC236}">
              <a16:creationId xmlns:a16="http://schemas.microsoft.com/office/drawing/2014/main" id="{27DDD7D1-0400-4B87-B760-44858B52A24F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767" y="295820"/>
          <a:ext cx="1941777" cy="6056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4">
          <a:extLst>
            <a:ext uri="{FF2B5EF4-FFF2-40B4-BE49-F238E27FC236}">
              <a16:creationId xmlns:a16="http://schemas.microsoft.com/office/drawing/2014/main" id="{3B7CC361-5ED2-45EA-ADEC-0FEB0B8B8AE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7">
          <a:extLst>
            <a:ext uri="{FF2B5EF4-FFF2-40B4-BE49-F238E27FC236}">
              <a16:creationId xmlns:a16="http://schemas.microsoft.com/office/drawing/2014/main" id="{B2A7C350-09BD-4FFE-B422-9F13150556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8">
          <a:extLst>
            <a:ext uri="{FF2B5EF4-FFF2-40B4-BE49-F238E27FC236}">
              <a16:creationId xmlns:a16="http://schemas.microsoft.com/office/drawing/2014/main" id="{CA8AF685-1128-4DEE-97E3-EAF152F746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4">
          <a:extLst>
            <a:ext uri="{FF2B5EF4-FFF2-40B4-BE49-F238E27FC236}">
              <a16:creationId xmlns:a16="http://schemas.microsoft.com/office/drawing/2014/main" id="{0DDE13ED-4964-48B5-8613-C85BBF4084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7">
          <a:extLst>
            <a:ext uri="{FF2B5EF4-FFF2-40B4-BE49-F238E27FC236}">
              <a16:creationId xmlns:a16="http://schemas.microsoft.com/office/drawing/2014/main" id="{B4015216-F688-4776-9000-62B8D75B3E7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8">
          <a:extLst>
            <a:ext uri="{FF2B5EF4-FFF2-40B4-BE49-F238E27FC236}">
              <a16:creationId xmlns:a16="http://schemas.microsoft.com/office/drawing/2014/main" id="{C7D5F313-EAC2-4B36-BB42-2466112B40E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4">
          <a:extLst>
            <a:ext uri="{FF2B5EF4-FFF2-40B4-BE49-F238E27FC236}">
              <a16:creationId xmlns:a16="http://schemas.microsoft.com/office/drawing/2014/main" id="{63F1E869-B6CD-4322-9A1E-43ED260FB6E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67C770AB-BD0A-4C84-A6C2-7A4AFA6FAF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2164D255-98BF-478B-B7F3-BAE19BA6C7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6F01F36B-2642-41F8-A249-B5C671F1D3E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7">
          <a:extLst>
            <a:ext uri="{FF2B5EF4-FFF2-40B4-BE49-F238E27FC236}">
              <a16:creationId xmlns:a16="http://schemas.microsoft.com/office/drawing/2014/main" id="{4B616D4B-46A4-42B2-8863-4381E285705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E1BB52D7-03C5-48BB-A0CE-AFC1661B8E5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4">
          <a:extLst>
            <a:ext uri="{FF2B5EF4-FFF2-40B4-BE49-F238E27FC236}">
              <a16:creationId xmlns:a16="http://schemas.microsoft.com/office/drawing/2014/main" id="{71D98102-5C55-49CF-B54C-1C06DA79441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7">
          <a:extLst>
            <a:ext uri="{FF2B5EF4-FFF2-40B4-BE49-F238E27FC236}">
              <a16:creationId xmlns:a16="http://schemas.microsoft.com/office/drawing/2014/main" id="{4EABD029-646F-4907-9482-B6273DD306A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8">
          <a:extLst>
            <a:ext uri="{FF2B5EF4-FFF2-40B4-BE49-F238E27FC236}">
              <a16:creationId xmlns:a16="http://schemas.microsoft.com/office/drawing/2014/main" id="{5F294DE3-95E7-4635-BDE1-A5828A82E7C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4">
          <a:extLst>
            <a:ext uri="{FF2B5EF4-FFF2-40B4-BE49-F238E27FC236}">
              <a16:creationId xmlns:a16="http://schemas.microsoft.com/office/drawing/2014/main" id="{FC9406CA-9F47-4B81-8806-9501D349EAD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">
          <a:extLst>
            <a:ext uri="{FF2B5EF4-FFF2-40B4-BE49-F238E27FC236}">
              <a16:creationId xmlns:a16="http://schemas.microsoft.com/office/drawing/2014/main" id="{9C59CA7F-11D5-44B8-AC47-952C00A857C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8">
          <a:extLst>
            <a:ext uri="{FF2B5EF4-FFF2-40B4-BE49-F238E27FC236}">
              <a16:creationId xmlns:a16="http://schemas.microsoft.com/office/drawing/2014/main" id="{7A392DF2-6AF7-4197-9C39-5B4CA20082E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4">
          <a:extLst>
            <a:ext uri="{FF2B5EF4-FFF2-40B4-BE49-F238E27FC236}">
              <a16:creationId xmlns:a16="http://schemas.microsoft.com/office/drawing/2014/main" id="{8E630E70-009A-4030-ACCF-BC08E9257B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">
          <a:extLst>
            <a:ext uri="{FF2B5EF4-FFF2-40B4-BE49-F238E27FC236}">
              <a16:creationId xmlns:a16="http://schemas.microsoft.com/office/drawing/2014/main" id="{741A6CAB-27DB-483F-A981-B5445FAE14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8">
          <a:extLst>
            <a:ext uri="{FF2B5EF4-FFF2-40B4-BE49-F238E27FC236}">
              <a16:creationId xmlns:a16="http://schemas.microsoft.com/office/drawing/2014/main" id="{CA0CBB74-0207-4C2C-8FC9-BC3703C00ED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641CA9D-D474-4B53-AE21-1B2D1DF48C1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57C2D85-BE52-4FED-A49E-CC559B4F688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77AA7FA1-630E-4194-8D03-A60EB46442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4">
          <a:extLst>
            <a:ext uri="{FF2B5EF4-FFF2-40B4-BE49-F238E27FC236}">
              <a16:creationId xmlns:a16="http://schemas.microsoft.com/office/drawing/2014/main" id="{00332E61-FE7A-406F-9F7B-08694167C8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7">
          <a:extLst>
            <a:ext uri="{FF2B5EF4-FFF2-40B4-BE49-F238E27FC236}">
              <a16:creationId xmlns:a16="http://schemas.microsoft.com/office/drawing/2014/main" id="{33400499-0254-4266-8E85-DCF6D66E148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">
          <a:extLst>
            <a:ext uri="{FF2B5EF4-FFF2-40B4-BE49-F238E27FC236}">
              <a16:creationId xmlns:a16="http://schemas.microsoft.com/office/drawing/2014/main" id="{C5632362-14A8-41FE-B903-DBB43D787DC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4">
          <a:extLst>
            <a:ext uri="{FF2B5EF4-FFF2-40B4-BE49-F238E27FC236}">
              <a16:creationId xmlns:a16="http://schemas.microsoft.com/office/drawing/2014/main" id="{E03AADBA-A574-4010-96E5-A59F5ED38C6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7">
          <a:extLst>
            <a:ext uri="{FF2B5EF4-FFF2-40B4-BE49-F238E27FC236}">
              <a16:creationId xmlns:a16="http://schemas.microsoft.com/office/drawing/2014/main" id="{0E357A5F-1246-4023-AC29-2A963329DC2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8">
          <a:extLst>
            <a:ext uri="{FF2B5EF4-FFF2-40B4-BE49-F238E27FC236}">
              <a16:creationId xmlns:a16="http://schemas.microsoft.com/office/drawing/2014/main" id="{549888EB-C066-4699-A5AC-BE23F181747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4">
          <a:extLst>
            <a:ext uri="{FF2B5EF4-FFF2-40B4-BE49-F238E27FC236}">
              <a16:creationId xmlns:a16="http://schemas.microsoft.com/office/drawing/2014/main" id="{8862FD3A-A7AD-4368-B7E0-C1BEEC042C7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7">
          <a:extLst>
            <a:ext uri="{FF2B5EF4-FFF2-40B4-BE49-F238E27FC236}">
              <a16:creationId xmlns:a16="http://schemas.microsoft.com/office/drawing/2014/main" id="{694F0B6B-B55A-4C8B-9FCF-7F0233ADEF1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8">
          <a:extLst>
            <a:ext uri="{FF2B5EF4-FFF2-40B4-BE49-F238E27FC236}">
              <a16:creationId xmlns:a16="http://schemas.microsoft.com/office/drawing/2014/main" id="{EEC1597B-EEFF-46B6-BBF8-971098BB94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5A6C8F5F-3176-48E2-9FC8-46965949EE9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7AD60588-6DA3-4FDB-8D5F-6096B5FC781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EA591729-F354-49A4-B623-B8F5F5CD388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3200-000006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3200-000007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3200-000008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3200-000009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3200-00000A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3200-00000B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3200-00000C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3200-00000D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3200-00000E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3200-00000F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3200-000010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3200-000011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3200-000012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3200-000013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00000000-0008-0000-3200-00001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7">
          <a:extLst>
            <a:ext uri="{FF2B5EF4-FFF2-40B4-BE49-F238E27FC236}">
              <a16:creationId xmlns:a16="http://schemas.microsoft.com/office/drawing/2014/main" id="{00000000-0008-0000-3200-00001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8">
          <a:extLst>
            <a:ext uri="{FF2B5EF4-FFF2-40B4-BE49-F238E27FC236}">
              <a16:creationId xmlns:a16="http://schemas.microsoft.com/office/drawing/2014/main" id="{00000000-0008-0000-3200-00001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3200-000017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3200-000018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3200-000019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3200-00001A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3200-00001B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3200-00001C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3200-00001D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3200-00001E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00000000-0008-0000-3200-00001F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00000000-0008-0000-3200-000020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00000000-0008-0000-3200-000021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3200-000022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3200-000023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3200-000024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3200-000025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3200-000026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3200-000027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3200-000028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3200-000029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00000000-0008-0000-3200-00002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00000000-0008-0000-3200-00002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00000000-0008-0000-3200-00002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386D3529-C795-4B42-A9BD-0EDD2DA15C17}"/>
            </a:ext>
            <a:ext uri="{147F2762-F138-4A5C-976F-8EAC2B608ADB}">
              <a16:predDERef xmlns:a16="http://schemas.microsoft.com/office/drawing/2014/main" pred="{3BAA1CDE-0A9F-42DA-AB60-A27117F9D54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54EFCEA9-138A-4E39-BC1B-E54D2B3487FC}"/>
            </a:ext>
            <a:ext uri="{147F2762-F138-4A5C-976F-8EAC2B608ADB}">
              <a16:predDERef xmlns:a16="http://schemas.microsoft.com/office/drawing/2014/main" pred="{386D3529-C795-4B42-A9BD-0EDD2DA15C1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93D8C73A-0C6A-4789-B0E5-BC5FA3A462C4}"/>
            </a:ext>
            <a:ext uri="{147F2762-F138-4A5C-976F-8EAC2B608ADB}">
              <a16:predDERef xmlns:a16="http://schemas.microsoft.com/office/drawing/2014/main" pred="{54EFCEA9-138A-4E39-BC1B-E54D2B3487F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E30D9160-82E6-408C-9FA3-9DA0EB774866}"/>
            </a:ext>
            <a:ext uri="{147F2762-F138-4A5C-976F-8EAC2B608ADB}">
              <a16:predDERef xmlns:a16="http://schemas.microsoft.com/office/drawing/2014/main" pred="{93D8C73A-0C6A-4789-B0E5-BC5FA3A462C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116EE19C-1238-447C-873D-0899A7D9BD62}"/>
            </a:ext>
            <a:ext uri="{147F2762-F138-4A5C-976F-8EAC2B608ADB}">
              <a16:predDERef xmlns:a16="http://schemas.microsoft.com/office/drawing/2014/main" pred="{E30D9160-82E6-408C-9FA3-9DA0EB77486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68F961F9-F657-4143-8516-8679F2F44798}"/>
            </a:ext>
            <a:ext uri="{147F2762-F138-4A5C-976F-8EAC2B608ADB}">
              <a16:predDERef xmlns:a16="http://schemas.microsoft.com/office/drawing/2014/main" pred="{116EE19C-1238-447C-873D-0899A7D9BD6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25EE6A-FC86-4625-ACF2-2A185EA18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76472</xdr:colOff>
      <xdr:row>1</xdr:row>
      <xdr:rowOff>165192</xdr:rowOff>
    </xdr:from>
    <xdr:to>
      <xdr:col>8</xdr:col>
      <xdr:colOff>921834</xdr:colOff>
      <xdr:row>4</xdr:row>
      <xdr:rowOff>66132</xdr:rowOff>
    </xdr:to>
    <xdr:pic>
      <xdr:nvPicPr>
        <xdr:cNvPr id="46" name="Picture 4" descr="VIAGS xanh">
          <a:extLst>
            <a:ext uri="{FF2B5EF4-FFF2-40B4-BE49-F238E27FC236}">
              <a16:creationId xmlns:a16="http://schemas.microsoft.com/office/drawing/2014/main" id="{BF8F92E5-D8BA-4E8D-AE33-7B15E9369685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872" y="274049"/>
          <a:ext cx="1933933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76607DEF-037C-45F7-ABF8-8FFAAD05791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678D9B5D-F752-4E0E-A870-71B215DFCE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F14D1A73-7264-45C8-8EF2-8C50C961F79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47ABBA48-C36D-42D8-BF3F-4369426952A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5E0EF5BC-79D5-4B0A-9474-AC3F0253144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BBF4913B-D33D-42D1-9AF1-C4C4191B12B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42AF51AF-AFCB-488E-BE72-DE56E792C3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905C6FE9-288F-45D1-AC7C-00CB153552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3753354C-03DD-497A-805D-790E6FFFC4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BF23E62E-0E4C-4926-BB60-C1FA3200828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594D2A44-25AC-485D-A375-46F2D5A07A1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C906791D-B5AF-43CD-B36C-E6BE86619D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4">
          <a:extLst>
            <a:ext uri="{FF2B5EF4-FFF2-40B4-BE49-F238E27FC236}">
              <a16:creationId xmlns:a16="http://schemas.microsoft.com/office/drawing/2014/main" id="{EE8C8572-1084-4BA1-8BA4-24D7E919010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876B5581-1827-49C5-AA38-70207D995FA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E29F473D-B919-4180-9AD6-9FDE3D8D6C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C7D4F531-2FAA-476C-AA60-D196CB65145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AADE2899-6029-4CE0-B59C-E8D2DFF2E9C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0B7F952F-1107-47BD-B9B2-75D250AD1B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4">
          <a:extLst>
            <a:ext uri="{FF2B5EF4-FFF2-40B4-BE49-F238E27FC236}">
              <a16:creationId xmlns:a16="http://schemas.microsoft.com/office/drawing/2014/main" id="{586490AC-1541-41B7-8BE5-8FB9C931F9D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">
          <a:extLst>
            <a:ext uri="{FF2B5EF4-FFF2-40B4-BE49-F238E27FC236}">
              <a16:creationId xmlns:a16="http://schemas.microsoft.com/office/drawing/2014/main" id="{4B97A513-009C-47E8-A583-49F9CA0D76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8">
          <a:extLst>
            <a:ext uri="{FF2B5EF4-FFF2-40B4-BE49-F238E27FC236}">
              <a16:creationId xmlns:a16="http://schemas.microsoft.com/office/drawing/2014/main" id="{507B5AAB-5937-4A02-BE5E-404342FB53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34C0FF16-8EF1-43B9-8893-9D225EF9801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8BFDE8BB-213F-4890-A3E2-1D42EF9BA7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4400D11C-82F4-4FBF-9797-ED37B6558F7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4">
          <a:extLst>
            <a:ext uri="{FF2B5EF4-FFF2-40B4-BE49-F238E27FC236}">
              <a16:creationId xmlns:a16="http://schemas.microsoft.com/office/drawing/2014/main" id="{9256B495-5CF2-4AA4-B54A-A10616E3F2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">
          <a:extLst>
            <a:ext uri="{FF2B5EF4-FFF2-40B4-BE49-F238E27FC236}">
              <a16:creationId xmlns:a16="http://schemas.microsoft.com/office/drawing/2014/main" id="{03B01F1C-4577-45A6-B9BA-6F9C6723E8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">
          <a:extLst>
            <a:ext uri="{FF2B5EF4-FFF2-40B4-BE49-F238E27FC236}">
              <a16:creationId xmlns:a16="http://schemas.microsoft.com/office/drawing/2014/main" id="{571AAFBF-393B-4252-95B1-32897780E9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4">
          <a:extLst>
            <a:ext uri="{FF2B5EF4-FFF2-40B4-BE49-F238E27FC236}">
              <a16:creationId xmlns:a16="http://schemas.microsoft.com/office/drawing/2014/main" id="{318F44C7-1559-493E-ABF2-13CDBF89BD8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ACD2CBA0-792E-4C44-AEE4-64937FB5634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DC092330-B257-4D4B-8F26-337FD35DF5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A128991F-0649-4D79-B3DD-B9D499BD31E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4430678F-ED1E-4A99-9068-7DA37546C1B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0E651614-3A0A-4AA0-A540-CB452EF81D5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2BDCB07C-9685-40B8-8D85-664E467C3C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99163257-4D02-4A6D-91AD-FD9871D5CF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3661304-606F-4DCA-ABAE-DEA5617191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3300-00000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33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33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33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33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33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33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3300-00000C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3300-00000D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3300-00000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3300-00000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3300-000010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3300-000011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3300-000012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3300-000013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00000000-0008-0000-3300-00001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7">
          <a:extLst>
            <a:ext uri="{FF2B5EF4-FFF2-40B4-BE49-F238E27FC236}">
              <a16:creationId xmlns:a16="http://schemas.microsoft.com/office/drawing/2014/main" id="{00000000-0008-0000-3300-00001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8">
          <a:extLst>
            <a:ext uri="{FF2B5EF4-FFF2-40B4-BE49-F238E27FC236}">
              <a16:creationId xmlns:a16="http://schemas.microsoft.com/office/drawing/2014/main" id="{00000000-0008-0000-3300-00001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3300-000017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3300-000018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3300-000019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3300-00001A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3300-00001B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3300-00001C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3300-00001D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3300-00001E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00000000-0008-0000-3300-00001F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00000000-0008-0000-3300-000020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00000000-0008-0000-3300-000021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3300-000022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3300-000023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3300-00002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3300-00002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3300-00002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3300-00002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3300-00002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3300-00002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00000000-0008-0000-3300-00002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00000000-0008-0000-3300-00002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00000000-0008-0000-3300-00002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32A427-C95A-48C8-A857-D1FC59A61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6" name="Picture 4" descr="VIAGS xanh">
          <a:extLst>
            <a:ext uri="{FF2B5EF4-FFF2-40B4-BE49-F238E27FC236}">
              <a16:creationId xmlns:a16="http://schemas.microsoft.com/office/drawing/2014/main" id="{1ED9299A-1125-407A-BF71-A9F6AD2B2605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92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8AF96BB3-2130-487E-9001-B20AA9F543B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222B35FF-5AB7-45E0-AA47-203AD4E868D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8F73FCE5-B22B-4BA1-9733-451F98E54CE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8C8E6588-8C79-4A14-90DD-D95E6234FBF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B7192CE9-D14B-47FF-8810-FF916B9DD67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D6B0DEDF-DCDF-46CE-BF38-DF9AE3A6A4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AA204DD0-E9EC-4A98-88CA-BF4A8C2A983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5B6E67AF-297A-4550-9652-97E756B9AED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06C85D64-11BA-4F09-819E-C4B2911519D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26D7C5D4-D0F8-4FA3-89E7-A8723366909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941D0D4B-A4DD-4176-B3AB-01BF50033DC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C1B051C4-D2A6-43FC-AC10-D8303B48EA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A68C9E21-D61C-4945-84F2-D618E99DE2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37140D1F-B5D7-4C41-A791-BA67A748A97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3454F6C7-925B-458F-8CA6-00A5B30DB2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950E8B3B-F564-41AB-8ABD-98563ED221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7F30E1D2-588C-4FBA-AF54-886519AC448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94F769D7-EABE-42D9-8DA3-41D1CA89700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D32BB331-6BDC-4962-B826-E66E2CF1711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3E43622C-7EC9-4934-8620-9C7D58C5974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442808CF-5A67-4BE4-A2EE-405E5C79E79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B6822E44-E6D1-4808-8AEC-8747112DCB3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CCFBD681-FDE7-4912-A385-8691D53094F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480B9F94-524D-40B7-B237-083AF8C4C39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C5A4EEA9-6A64-41EA-BB57-607578F0E4B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9D0CEF32-3A34-4DB4-825A-A8BD49CC45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2028ABC1-C76C-4A83-BA2E-CF974172FC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27C45947-8ADC-426C-9947-3CB722CDE4B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AEE5E00D-4AFC-4FA3-9F8A-8319A7DF792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95192933-455E-4B3D-B7ED-B8573AB4859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1663688C-C433-40ED-B4B5-D99994A6CDD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7A422FFE-6A1E-4A60-A01D-D52AD66FBE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844291DF-8D9E-4ECB-A9C8-C924EC1C258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41BDF1AE-F0DF-492E-A5EA-2720F6608B9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F067CE10-52C9-4758-9801-6908D756496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4E293497-3BC6-4D0F-8303-BF37A035357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34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34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34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34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34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34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3400-00000C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3400-00000D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3400-00000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3400-00000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3400-000010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3400-000011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3400-000012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3400-000013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00000000-0008-0000-3400-00001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7">
          <a:extLst>
            <a:ext uri="{FF2B5EF4-FFF2-40B4-BE49-F238E27FC236}">
              <a16:creationId xmlns:a16="http://schemas.microsoft.com/office/drawing/2014/main" id="{00000000-0008-0000-3400-00001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8">
          <a:extLst>
            <a:ext uri="{FF2B5EF4-FFF2-40B4-BE49-F238E27FC236}">
              <a16:creationId xmlns:a16="http://schemas.microsoft.com/office/drawing/2014/main" id="{00000000-0008-0000-3400-00001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3400-000017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3400-000018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3400-000019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3400-00001A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3400-00001B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3400-00001C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3400-00001D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3400-00001E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00000000-0008-0000-3400-00001F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00000000-0008-0000-3400-000020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00000000-0008-0000-3400-000021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3400-000022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3400-000023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3400-00002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3400-00002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3400-00002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3400-00002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3400-00002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3400-00002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00000000-0008-0000-3400-00002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00000000-0008-0000-3400-00002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00000000-0008-0000-3400-00002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4AF8E-F5D9-4739-8F52-AC767F53B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72663</xdr:colOff>
      <xdr:row>1</xdr:row>
      <xdr:rowOff>169001</xdr:rowOff>
    </xdr:from>
    <xdr:to>
      <xdr:col>8</xdr:col>
      <xdr:colOff>923740</xdr:colOff>
      <xdr:row>4</xdr:row>
      <xdr:rowOff>66131</xdr:rowOff>
    </xdr:to>
    <xdr:pic>
      <xdr:nvPicPr>
        <xdr:cNvPr id="46" name="Picture 4" descr="VIAGS xanh">
          <a:extLst>
            <a:ext uri="{FF2B5EF4-FFF2-40B4-BE49-F238E27FC236}">
              <a16:creationId xmlns:a16="http://schemas.microsoft.com/office/drawing/2014/main" id="{BF009A15-0724-4D08-A26E-9BDD7537C107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1063" y="277858"/>
          <a:ext cx="1939648" cy="582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7A9C9369-D1BF-47DA-99A9-ACECFC63458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4FDB1257-6494-437C-9937-CE1AA0A1495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69B65A18-BCD5-4605-A2F3-6D6D7621356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487F4716-E1C4-465E-94A8-76380A7866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BE43A9C1-8DD2-4123-86EF-F3991B41D65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76B14650-2DC7-48A7-B77B-C985E663C82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192C5621-C76D-45E0-A0AF-6D77920CA6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A4D2B155-01E9-47F6-83A4-1FD192A9BC0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9784DB64-81CF-421A-AA91-621ED206CE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7EE67858-86A0-4207-B21A-65EC6BAC394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6408BE7E-5738-46F9-AABD-97EA69AEC9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E79216C5-1EB7-4703-8FCB-E89AEBD1D43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1949E520-1C93-4475-B73E-0E231E94348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9E2D468A-21F6-47A0-8853-7C53D3ED7EA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D9D649E0-BF28-451A-B730-64754A53961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8AC310F1-089C-41FD-881B-AE2E811679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72BB9AA1-7F3E-4644-BD76-365C8FDAFBD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F93846E9-768E-4844-8BFE-B3D7566B68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F6233538-F17D-4DBC-BCCF-1EAAECF7275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71AF57AD-65FA-4772-9B1C-3722CCCE1E8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C6A1DAE2-BA60-4389-8EBA-6AE342889F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560A684-C1DC-4121-BEDA-C6F717C608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5DAF8719-76AA-49FF-BBFE-036B16A29E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E0FE2BD-E03F-4E8E-9AD1-E87B76770E2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EBABB6E4-278C-44C2-BBA8-2BC06724811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3366C938-4C53-4537-91DE-19253B355CE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FEF97C42-896A-4622-882A-5A53C4D12F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2861D8BE-5A52-454A-8965-68606DB329E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A01C54C9-F8E3-49E4-937D-8777214BB1E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03FE13DC-3E7B-494F-A2D7-06D5EEFE7EF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2DE27199-1C6C-4AA0-A575-5A3A83C267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D4B1E00A-A844-4180-8E0B-083D14D2AA3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54CB79C6-D7DE-4DB7-8E2F-EB22870BD1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4447054E-434D-48B7-8D2B-88AE8B943BA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52BA7B01-0B9A-4060-A087-CB4774CCD4A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8A46678-E0A8-4716-A8BF-F06C5DEC6F6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35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35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35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35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35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35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35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3500-00000C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3500-00000D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3500-00000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3500-00000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3500-000010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3500-000011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3500-000012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3500-000013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00000000-0008-0000-3500-00001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7">
          <a:extLst>
            <a:ext uri="{FF2B5EF4-FFF2-40B4-BE49-F238E27FC236}">
              <a16:creationId xmlns:a16="http://schemas.microsoft.com/office/drawing/2014/main" id="{00000000-0008-0000-3500-00001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8">
          <a:extLst>
            <a:ext uri="{FF2B5EF4-FFF2-40B4-BE49-F238E27FC236}">
              <a16:creationId xmlns:a16="http://schemas.microsoft.com/office/drawing/2014/main" id="{00000000-0008-0000-3500-00001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3500-000017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3500-000018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3500-000019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3500-00001A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3500-00001B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3500-00001C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3500-00001D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3500-00001E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00000000-0008-0000-3500-00001F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00000000-0008-0000-3500-000020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00000000-0008-0000-3500-000021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3500-000022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3500-000023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3500-00002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3500-00002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3500-00002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3500-00002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3500-00002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3500-00002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00000000-0008-0000-3500-00002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00000000-0008-0000-3500-00002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00000000-0008-0000-3500-00002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A3F08B-9411-4B2E-98A7-4C281B77C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6" name="Picture 4" descr="VIAGS xanh">
          <a:extLst>
            <a:ext uri="{FF2B5EF4-FFF2-40B4-BE49-F238E27FC236}">
              <a16:creationId xmlns:a16="http://schemas.microsoft.com/office/drawing/2014/main" id="{24248618-46F5-4C8F-AD63-D6ECBD8FAFEC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92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B946A883-C4A8-4081-900A-B477082B200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1FD55CD5-B504-4655-9046-A9896E6EBC9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ACD88BE0-3DEA-4AD3-B65D-DA25A68F08A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3F8D89BA-04EB-4329-9E46-2DD67D81D14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5E42E721-F356-40E2-B124-F99776D8CA3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8F0DE256-8951-4B7E-B1FE-F79BED21416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F2A66735-A1E1-4C6B-AF02-E11B242FB2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89C8B3AD-30B7-4122-BC8A-64B6D7E2338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125A9951-9A8C-40FC-9246-669B7F7F738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CCF5298-6271-4E37-8B3B-C5EF15F6D90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516252F7-4E19-4E2D-8BFC-1882B36896F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D8052E59-966A-4149-8AAD-574E3F29EC2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351683B6-1F12-4888-97A4-4BE0E44AB84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1B1013CB-961D-4BAC-A272-46A85E5922F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2C93E07B-FD8A-442B-8204-B1EC8045C4E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5CEFC5CA-F166-48F1-B065-9327E1AEFCC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DC073437-7811-435F-939C-5BAB4C90543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7B011F1A-CE1D-4B52-9598-499FF052AF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1757915B-0C8C-4916-AAF3-B5D2CCC92A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4AD8095E-2704-4587-B6ED-2DC7829E09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94291A20-CD72-4DB3-A480-454D85252B8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3FFE4E7-0C3D-442C-B30F-27F6E31F82B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51C9831A-5747-48A0-94E8-CB6B94833A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44B1754C-987E-48E9-8E3C-8EB1CA9541D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939F89-7539-409C-ADD3-C4D0719F804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52342C0-FD68-428C-8CE4-3D91769951A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4794866-14ED-4445-9AA3-29EE499F1C6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55C3C3B-F13E-4196-96E4-851FAC57BBD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CF9303A-E4CB-4D4D-9DE6-1117C8ABE95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C18B8A8-2ACB-471D-AD78-FCFE233C755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1DB1D26-1E82-4669-A89A-064CF6704DE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E4FF969-6626-4D20-BCE4-CDF8731F7A9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319A77D-2EB7-4124-A571-86B0F142D47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5025143-DA56-46AA-BF37-F5103190AA3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339FB79-2524-4CD9-AC90-91D244B8B12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1F6EA15-46A9-421B-99F7-F9F6413ADF3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4BA36E1-FE34-4987-BE96-161C487788C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36799D0-3605-4822-84FD-9DFB0DE8B51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60E4A8B-6A31-44A5-97F4-1BAA6655D20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7A264AA-EA10-4EF3-82D6-6D76EC551B6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5FAC9B85-8653-42EE-9F10-3A351BAEF95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369412DE-B49B-40D9-89BA-534D13AF8B5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BE73A46F-FA93-4E6C-B472-DA4951AC18B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E852045-6C6C-45A4-ACDC-99AD8C3AB66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DDCC7B2-CC2B-4FED-8391-0167224839E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5A4AF17-2AB0-4E10-B027-2FC1BD0316B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736DAED-F858-40E1-A855-501F69A837C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3F1C02C-F6BC-494A-BB0C-19B3AA5E0F3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1EE6954-4391-487C-9DBD-8A73736D425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A2B62E0-C565-4343-8269-13E3725E1FB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931DF87-E4BD-47C9-890B-1778A721D90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D2DE9A00-1F62-41B6-AB2F-6A1908BD4C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CF9E3461-5A0F-4990-9C9F-249128C821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135B6555-2173-4BA9-9096-680D74434C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932C067-39B5-4E74-9591-1C01FB27D5C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E21BC51-857F-4DB4-84CF-FFEF46B459B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F5AF9C7-BEA9-4E32-899E-76DB06A56B2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E2080FF-2795-4221-8998-5A8698D47A2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6CBADBC-83B5-4F3E-9155-A51D9739D1B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928BA8F-E42B-49E8-B315-4B4A5D50089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823BC8E-BE53-4E7E-80C8-F60AB10BB2B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4B3ADB1-83B5-48D1-A6F6-AC968999477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769B32BF-8F0F-49B2-8FF9-EFA049C8DF9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741FBA85-5BCA-472D-9D57-BEF2EA52119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E8261E10-2CA0-4F6D-BE59-D9C10B43A31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58563-50B1-42F4-9E05-73C0C25F9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4BCD3D99-5416-4155-96C9-8CEB28E893D3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72721B0D-549E-4D2D-AFD1-27CC8B2CAB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11A49CAD-9EAD-4320-9457-86EBE447B69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A4FAAD48-B678-47A7-ADE0-2CC15BEE05B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6EA2927E-5992-433C-AECC-A42A5DCB67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3FC85D79-5B81-407C-A5E0-C4991F546C8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046F0123-3382-4C09-98AF-B3960B29DF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9D52EB5C-F9BD-4152-AC39-EE420B48C2C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5E61D721-5F27-410D-AE1E-B8DDF6B4F8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F141D399-D3B3-4A51-BBFA-7EC0C4FA3C3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C5A1D1E-DD47-4486-A38D-EE60EE00E1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89E1CEE8-4C14-4297-BE79-0069EFF9B7A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BD0F83BD-C96E-4903-A49E-912AC8FC27E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718C262F-69A5-467C-807B-E6058559EAF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9EA9CC7E-5DF0-4A50-B544-515F21912DB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22514F92-8647-4E1C-A5A4-A72D0B0F6D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4F3C7203-BEF1-4C61-9701-33A4884CC29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70FF96D2-A551-41E9-8A9F-2BDA873D101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593793A2-BF34-42D6-A7ED-145B5ED70DA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9224D631-8666-45B5-B80F-A8029026B49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9836F245-3EE4-443B-8DD4-6E21E75911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3744F8C1-00EC-4482-A981-81C4EF68DDD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52D6058-064C-4C75-AED0-4E11183A6D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BA93F55F-022C-4F8A-9BA4-C7E2790001D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66D50957-A59B-4061-BDEE-855140D3C96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C2A7B3-976B-49C5-8027-653F6EE8A21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1F68FB-3458-4E5B-B485-4DA83894325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863163-BCF1-4BD4-8E73-0EC7096A344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53BD1FA-D83D-452E-81FE-894B51931D8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B6C0BD-49F1-4118-995A-A1DB6A0A1AC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BE97D77-0917-4BC1-B78A-F19ACD3963F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AC0ED20-5178-43BE-BDA8-E8F7C09E496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B278692-69D1-4172-B286-14DABF05E94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D3A155D-6F99-4F04-A953-7A874B7DBE5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6D6E509-24CF-41DB-AC7B-0D295B80174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578109A-7485-437C-ACDA-59AAE868F9C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54E19BF-5D9A-4BB9-ACC3-87058AF44F1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87E23E1-B5D9-4DE6-B317-8686ACF1181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9D13045-EFCF-44EC-9EDB-E4CB31596E6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13DCDB8-3764-42E9-918A-C8C077D3BD3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18630F2-E6AA-42E1-95D9-48AEDF12AA2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1E663131-9E2D-4FB2-ACE9-0B777E20AA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FCA2D10E-B81C-443D-8AC0-782DBBF7BD2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654EDD48-ABDB-47D7-B7EF-FB8CA6E83E7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0259904-FEC9-4AE7-AAE6-565C5B03CD4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588EDB2-21FD-4B01-9144-79F1CA58A7C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8EBA82A-4029-483D-A405-0B0DFBCD7A9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BAAFD4E-6795-4FD0-A200-7F80573F788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7E3BC49-B369-4C5C-84FC-388D81479BB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EB49023-F4A5-4186-B703-14CA6CAF471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CF07662-470A-4F29-AAF0-1F9377E9168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543487D-ABEA-4E95-B69B-7A98A9CFDC7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CBAE4D49-D8C3-4BCD-BD09-6442F978A98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C32262C6-46A2-4886-915E-89E275B6D3E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0020FB0E-3D95-4437-AF44-AD704318EBD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59F3710-464B-4095-BB31-DA9661B13A1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6B777C9-FE39-4687-B9BA-0D5BE39A55F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7334B52-1069-45B2-84BC-7F0A4DD92AB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A564A50-B83A-4895-B121-BD182F6FDE7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AD1E0B6-E582-4272-A63E-DF71D1E9052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D1C46F5-E5B2-4CD0-87EC-7C84E663B08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09A859C-1E6A-49FC-9597-22CFC9B9BFB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29B6F96-28B7-49EB-B4A0-93226947FBB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BB6A1619-6CCB-4D8B-9515-A77A7225C4D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62367276-D6D4-4254-B0D2-9CE3ED0D290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5397EA7D-BACC-4BD1-9F97-6B9732DF942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49EE9D-56A9-40BA-A1C7-7526BDC4A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433C89BF-B1FB-45C7-A657-A526C90C1CD7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A4D21F36-0452-4DA9-B7B2-A0289F637A1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FE639B9A-4DD2-4997-8B59-C6BE226E4BD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4688A679-EA0A-472B-94E9-0AC802109DD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B20CD87D-37CA-4947-AB7B-801B4D33516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C58A2E9E-87AB-4FB4-A01E-1F910F6F9B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43171370-7718-488B-90D6-837C1DA1A12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E1B8C0A3-53A2-48B2-B341-9756C79D97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A979557E-6ABC-4A3F-A7DE-294D91C56B6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B0C5D226-4070-44D6-9289-7BFF3295F27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5C63ABE1-4F4D-4031-BA43-5837B6BBA47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91A01AA7-8344-447D-A65E-660E6FA6B4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DB549A99-93B5-41D9-984A-E324E419F2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BF57C145-F9F9-4EC3-AC97-4B117932368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2615C15A-94DC-4880-A42B-C46BB8BD44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276A649F-5C5C-42DE-BD6B-C633D4D7ABC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113888DC-8AF8-4347-B4FB-8B4EB08BCAA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69B4A5AC-2A3F-450E-B5B3-9DA7D7A6A45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0B8A23C3-E887-4EA5-A53E-F9E679A48EC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477AFE40-FB72-409D-8BDE-26433C52973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58F5818B-ED4D-44A5-818D-EB859E13810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0FF35F8B-3535-4FB8-98A6-AFA27EA447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B880B52-66D7-4044-B566-C9AD9FC242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7D9EFC43-E08A-4B23-9986-6DA34FA590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21E10627-D823-4BFB-8A55-BC6668B6CFB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5F15C4-966B-4B24-8447-53C83FCEC91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FA14503-A85A-43C7-A39A-16D382C34A6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0E3A0EC-0A73-444A-87D4-AAC623787D8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1ABB6E0-7D1F-4632-A931-3AFF8693854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A4A1C85-C9BD-44DA-A1F3-06E6CF9E95F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5B333C3-91ED-4158-A9B1-D3C5388E532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6FE91D5-DFFC-4FDD-ACB7-C1A67074EAE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D7D966A-EC7B-44E5-B3D6-9E288323D48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34C7C4B-0FD0-484A-BACF-999753E1AD8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3F2173B-B308-493B-B9AF-F3D3DD49833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2648298-3FB6-4406-9198-BFB055584FB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E737315-C6D2-4CE2-9C07-123144251C9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097E335-7863-4022-9FCC-4939FD82015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463F582-EA7D-4EA9-9588-9879F3072B4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5C4FCB1-C063-4FF0-AD13-2868140BF27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FE1AEDE-2E37-486E-ADA5-366A38A85CB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D02BA850-B2F5-4406-B64E-1987EF1CB1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C23F5905-E5B1-44B3-AD83-55AB0E6D08F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41FD9FF4-B611-4B03-B14A-15FAB29D1D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C8858A3-8AD2-40DF-84F5-A20A296D47B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11AC203-402C-442F-B083-3E52064C5BE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4EC80AE-338C-41F1-8575-E142232C772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800E5CE-FDE7-463F-B225-C4310963BFE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3918F63-57A6-47B3-B93E-371BD374637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5A5AE82-07C0-45CD-87DA-14121BB58DC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5D74D3E-CD28-4B51-97C3-3AC64E129A1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FFDA0AF-2119-44BF-872B-779DC26E94D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AF8A9969-4D20-455E-925E-26237F1D65F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EAF12233-A939-4CA7-9B08-4819BDEC845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D1EC10FA-97E7-491B-9CD5-C786AAD4E3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D11BFC8-5996-4044-B532-BB7C1C6909E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C106428-18D9-453B-BF02-5C290DF36BD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202C401-C01E-4DC0-87F9-B3B38E2D97A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B93C97D-3BCD-4AE7-94D1-22C4531DB7C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EC42898-4DBD-44E3-A28E-EABB1E5C528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38781D1-82FA-4325-B344-97319201F9C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490A2BA-B44B-47D6-80BE-A25638933CB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853565C-F885-41FB-B117-01663A5BFFF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5F7C441A-98E6-498E-803D-3C492A7DF87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325882A6-416D-4D37-8727-E27F9F5777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389B9DE4-1A3A-4CAC-957E-715E4894F5B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DB5FBD-C050-4D5E-B2B6-3D3DCA501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93D0352B-E329-4D2D-BA75-881BE57B7E7F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24A5DAEE-A26D-4AFD-8F84-0B88C72D8B4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FB6C6668-DEF9-4CB9-A5EF-C2B1DE9404F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2C3F8162-96E3-484C-8828-06E89AD846D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19BA39BC-843E-4BBE-ADDC-75012EA6D60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16311E58-EB34-48E7-8E2D-661D2177175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1EE7A779-7A14-4652-B808-060A76AE2FD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00474DCB-7EAD-499A-A03D-421755AF868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5BC0FBA2-1430-48C2-9ACA-24FAE253FD4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FF2008C7-31BA-4DAA-8032-1E752B33D24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B1C7A6B-8DAE-4356-A195-3CC93A0469A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836BB40F-1B09-472A-AC5E-A3449B3F245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6723B1E1-2A0B-415F-AB82-6288355704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5D050CBF-DC45-4FF5-A535-99608729B1E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77656EB8-E801-4F21-8BED-3EC7301C2C4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5D07A62A-16A5-4799-ACD7-9440DD5837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DBEFBA74-A1DB-4C52-95EE-74652FEFAB4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26FB4DC9-DE39-403F-9E6C-3CCB6D4A6D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82FF714B-ACB4-47BB-851E-D3B95B24A9E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EC7645F0-F488-4346-BF8C-95D5CC70C9E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574C77FF-FEAE-4EDC-831C-C4B2F06502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C45C4228-47A8-414D-B00D-DBDD8E358A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449A0F1-BC00-4DC9-9DED-0DDC0F434F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E7485074-0779-40A0-80A5-8192535ED26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5D7012B-49ED-410A-A30F-470A8D4E9B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44C70E-DE18-42D9-B3FE-32DB5B50324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824112C-6FFC-48F9-8A1E-72C4044D50B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C9AEC24-0E24-4E08-A1BF-FA5042D7469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BE30527-2402-4024-889E-DA6E5967058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FA1B74-E178-410F-9243-4B2627D3D10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1CCF62B-9CBB-49B3-9435-C624BE6083E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9F66110-6389-4168-9CFF-D587ECCEE05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38BEA75-54B0-4828-89DB-B8ECEB2B270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E514348-7F96-4D01-B3D9-575DAFDA193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9AD7EAD-DAFB-4CF9-8427-C5BED9A22BB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967C2B9-E697-4445-BD8E-BF615A66963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E9168A0-FF69-4147-AFD9-7A1EBF30323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BA27D18-C1A2-44BA-AD71-06160D87297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4CD2A36-45C0-470A-B460-9D567028D19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9B0C617-B5A0-4DFF-A44B-AC9384F988A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7C0CE5-EDAC-4659-82B2-DE86AEE5EDB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7A4858B7-00AC-4F09-9A59-B84FA8CC75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E45CC50F-A0C1-45C1-AB29-37DD0BD886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979897C6-58A8-4BB8-9323-DAC9E970BD2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8588218-8469-4AB5-8980-D9AB489B74E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E2DB34B-0255-4E46-A2C5-E51D1111227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A51EAAB-46C4-424F-8689-DEE76D76378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9D5474D-7511-4945-9859-330A9BAD7A3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CD8BFCF-FAEB-464D-8F90-3BBEA030457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186DFD3-1059-45EA-A3E3-EAA247BE0B1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2E89D76-354D-4FDB-8FC3-77BCE37C853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D4CC099-1E73-4A6D-909C-F08CBC637F5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1746C8E0-F156-465E-B51E-BDAAA129802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7890A32C-289D-4BC0-967F-36B08E0E14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09E578E4-A289-409B-84F4-84BE83092C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498B837-2620-4140-8BC4-997B99B1398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9B3C582-21EE-4D49-9A67-AB4B7CA3926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76DE57F-296A-4DBA-A8A4-9D6A572D8F4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6C6BDB3-1785-468F-B452-0594D25F00B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F1EA1A0-8E5C-40CD-8177-7D6E4F96191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9B37AF02-C324-4590-8BA3-7ADD66ADD3E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4628006-F4A3-4105-8EAC-02B7EB88DD6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FACB53E-7358-4A63-B06F-B59615ED518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7EF526E1-4C31-479B-850B-CBEE8666D01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B443D8BF-6D11-496B-B563-DBC26ECB5BE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AC1801A1-05F1-4FB8-93E7-DD2F33158FE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4C2653-2CDC-49A7-A0CD-53641AE4D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13491FD0-3AA4-4C0E-A9C0-E48C76E6724F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C9DE100C-0504-439F-B420-E0C949522E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793E94EC-D4D8-4A29-8379-DE84D1770F6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61C2A232-60B9-4CBE-A76B-4DFDD3FC55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C4C7CF06-4DE9-4E54-BACB-D77F4EF273C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DBC33170-1EA6-40E3-8D77-26DB3682B8E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3A375826-6E25-43CA-93B0-E169C05317B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C5798996-1F5F-46B1-888C-9B75FF5D71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393BFD07-9946-4F60-BF38-5C7245A26FE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1A66B899-9927-4F95-9C95-E9FE502ECC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8A92C40-2A17-42EC-BD70-D72DFED66E1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822FADE6-E63C-4844-A928-31B79DAB4AB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08302735-F598-4EC5-8CDF-8C64685D897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B1C04648-15DC-4A3A-9289-A8DE43AC9E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5B1E1780-78B9-417B-912A-291B58AEBB6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ED9D6E74-9574-49B4-8E81-40DACF784F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17A89BFB-4E4E-46E6-8822-C50618E18B7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99E3E5BE-3EEF-4E5D-98CA-6CE5387C367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7E63AA3C-64F6-4E79-A76D-833E9148E44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54205DDE-B9A0-42B5-9CFA-F9D78B1597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B0E3A33E-3A3D-4C76-AD9C-3481DDD8FA5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8540C61B-CB22-4179-9272-50B0FFE92D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1242CE0B-A074-47AC-A68D-34AB8561D53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40A8C0E-97D7-4BBB-AC8A-F4A9E780E9D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ECA9B038-2170-4AFE-B96F-F0B4CA19DE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9FCEEA-1C46-4146-B6D8-883E505F5C7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90103D6-0E2C-4141-8B0D-96F56577068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CCD40D4-E690-44E0-B126-C47C5F0C57C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B364F8-5DA2-4830-B914-1BFE9E1F509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DEDE0D7-1829-4B2F-854A-7C4088E203A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66EA493-AEFB-4BF9-857A-B2D48F0E69F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29A5661-50FE-4EE9-A218-61223AE8E54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ACC1896-50EF-4163-8A2A-B8FECB9463E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D83650B-C6FD-4D47-ABC1-629BC572A8A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E8684A3-A707-475E-84AA-955B5DD57A7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37BED3F-8014-4878-B51E-AD9E29C8679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8B5DAF5-ED41-40A0-B7EA-45C8E83502C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36AEE66-164E-4B67-A30C-2765F5FDE6F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D6D5288-F775-409F-B494-D1806AD53C8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8B84E79-7194-480B-BF22-9B753E3CE08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486D7AD-C71B-4939-ABCB-49B3C5EE358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5E942F41-B72B-4861-A714-6107B0781F1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08027E7B-B78F-4B24-B8A4-A9649E86FB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0DBEB0D2-C685-449B-978A-77DB7675180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8DA16B8-2596-487E-B74E-2E7A2FC67DE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B718312-1184-4BA5-9CDA-F34AF5D109A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BC51313-7B73-4843-9AF8-8A3D47EA239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8A75743-9348-4B1C-AA09-BBE8A4A517F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F95341A-5F58-47C3-8E73-476EDB6DAA1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EB05983-E823-442C-906F-92E551B4B04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DCBE195-81B4-4F0E-9C9D-495516376F6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27C8286-06B7-41FD-8169-890BADC81DE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640A1D92-1FD2-4BC6-97FF-1D6A9DCF27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2088AEFC-C6EE-4BC5-B697-62B09810C82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F57BD22C-25C7-428D-8E93-2356C73D049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780C1F8-7E5C-4576-9FE8-9742B77C1A6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75CEA85-C693-4ACB-86CC-8301FA42A07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BF8D143-50D7-46B9-9259-BDF2D467B94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E5E33D5-EF8F-499F-8F88-8254347B19E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575CDB8-1799-4264-846B-1FAFFDCBE03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F6385A3-4598-4516-AB4B-27244B65057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64D2575-8A96-42A9-B96D-14E9CD46EA6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15F9E14-BE26-499A-9C32-6AFF560A8BE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C98FC536-0441-46A9-B03D-7DEED5D87B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B3636003-8A5D-450D-8CDF-1EF68EE7E9A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3C943B04-1E7A-4338-9531-F7CD5542B1D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CD69A9-DD30-4924-B17D-2F5592469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E0006807-AB5F-4E47-9979-747919193284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443DA374-7918-49B2-9574-0879F4915E3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4DC904BE-0A0C-4C6B-B523-1B089C9833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7F70F6BA-C128-45B3-8698-05F03399656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BC0C9B5D-36C0-4C06-BED9-C0C670119BA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886A8C13-390C-4D7E-9093-02A3F72A77E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1EFDE068-7C40-4A7D-9A97-6222DB4044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C1A2F2DA-6F53-474B-9D3B-23441B4B14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2CD80002-A682-4E7A-88D9-2A0FF27237C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CFDD503A-4267-4850-A697-926CB620CC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4B28D74-0D1A-4B7E-A33D-F7B01FE05C5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7FD51920-C5DF-474B-B761-DFA838F0637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20506F6E-7DD0-40A1-AE9C-841673BA818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88A2F391-87D4-4163-BDF7-B1EDD65590D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278531BB-3158-4745-BAF1-03A63177CBF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ABD83A47-3E7D-4C21-811F-39774FD1381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0619BDCB-C013-4C57-9B07-77BC85CC751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3AF8870A-6AB4-42E0-BF34-2ECC99BA1A8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0F2F404E-CA40-4011-8AEA-865306DEBB5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6097C307-A736-4078-A03E-830F6CD2396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5543BA02-DC94-4E94-AC02-0F592F5385C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FBE0D423-B35A-4A77-A9C4-B2F482302E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121D9A6-8AF6-404C-9967-9604373BD1C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395DB8E0-8E42-4B88-90CE-24C764D9D8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16CCF63-8105-4952-8E66-223BB81199A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82D9FF-8AF5-4C35-B490-DC7CE3C3ACC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648BAE0-0A95-4AD1-81B5-6B134059BFA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89FE1F7-58F8-4FEA-BF98-0C079AD0329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13DC371-161A-4C93-9091-080561A0B07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7A1C229-64E8-4CC6-ACDA-26BEB533D06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14814A1-48D7-4FB8-9EA1-5B81BB4C9C4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E080C4F-D7DF-479B-8FE3-F423B7FA302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89EEBFC-DCD3-454C-8DA4-57E637B0709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10B3769-D055-42BE-807B-ABA3694CD0A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618714-E7D3-4109-B6BB-B51768D3A5A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E7DE3DD-C1D0-4C44-9B74-D4F0DAF8E8E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B978CBD-C8F3-41B1-B220-98E4A4055E5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07C7695-6A54-42D2-A30D-CE30D17DD5D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FFAE18E-C270-499F-B8DF-7C9350987D1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39BA793-F52C-4B8D-BAD0-503EB554097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A964B05-4E42-4DDE-88F6-BED9969B116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651740AC-FE89-4357-97C0-9FAE890D424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2BBF6D10-257C-4E4D-8482-ADE4EDCA09B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79FC1D89-85AD-4B9C-A009-8796A8EDDCD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3F9FD25-EE2B-426E-86AD-DD6822982D7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DE410F5-E829-4381-9AFF-0435F88D46F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979C325-4803-44B4-BECF-1D4F8FF73C3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8E3F8AD-6A72-4C0A-BAF2-C8EA8321D0D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34DEDAC-DC03-454B-A6B4-829CDA1F96F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AABAB05-9488-44D7-8F91-234656C3BE1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6E1D5C0-03F7-4ABC-ADD2-C79B1284137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36D4C87-A6A3-4CE1-97C3-94F9CFDB647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4B830EEA-508D-42DE-AD90-5A2F476A1A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B4D79B27-7343-4939-9E6B-0B913B5C6E5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084ACEC1-5E0E-4A48-8E48-3A0A2DF31C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07A983D-5168-49ED-9B10-6C9BCD6E809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65A0256-38D2-43C8-8B62-999F286688B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F858B44-C4A0-438D-BB76-6D7CE02AB5A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21B275C-6264-415C-8993-93C0B719F77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D62B098-E78A-4E70-BF6B-32F108CEC4C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F1018D3-2791-416C-88FD-AD7E7CDB9E9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1DA23788-990D-475D-9F56-E99D8B0C8B5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3EC8489-9079-4E6F-B19A-28E35130DE9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A832E499-F47A-411C-8B3C-8600C174AD7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2B3C21DC-41BF-4E20-AE6D-1EEEEB4D8E1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7295E8D1-25AC-4373-91B4-ADC6A5CA7A1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5325D5-105E-41FE-A852-FEDB3B725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DFDBC5F1-5D49-468B-86B5-EC7599826A30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23215F11-A05B-4255-813E-BCDB25B00FD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2E214189-E137-40BB-832B-FD36F8A587C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B5F4751B-53EA-491E-89C6-7DFA2050488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B22146A2-E3D1-4720-B1D6-EEBA43B3855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7AF9193E-A714-485A-9A14-D8C672F544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82870590-117B-4DDF-9AAB-7E7F75D2305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A8BC252A-E6AC-42EE-9169-DDE14D026E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822C0628-2B7D-484C-BADC-260C7A3C204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35E56096-E28D-4299-87CE-7E5C441EDEF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8986A14-CFD4-436C-BD27-53109CD96AF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1D29F00A-8409-4A01-A2C4-A1E4CD1E9D8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488FCCF7-920B-4A19-BCF1-8B8D5D1A3CD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D7020810-A005-4B3C-9C95-D9A96082714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1E742196-9FBE-4EB8-912E-03B2C16F706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C6F8209C-5309-484E-B558-80074FB61BF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35B52B01-FFEF-417A-BD4D-A873EEE999F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53A6E245-115B-4CE3-BF9D-21B3C10D2FB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7E2C33C3-EB79-4FE0-B367-F33801AB26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886416B8-C889-4A2D-A927-7EF9122010A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CBBA8909-48F6-4BAC-966C-60A2B76520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75116F72-22CF-4010-9272-CE2D4656224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D5B98D8C-8DBC-4ABA-A6FF-33F336C878A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A3BDC6D9-A6F5-4C37-B4B5-141B4C78598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16FBA12-3BE5-4D68-817E-B6CA4B15270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95708C-DBA0-4CA3-B864-594A4288186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0D50182-FD65-4DC8-9B7C-ED6E31700DC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099AD98-1999-4CBC-96F1-4AA0EB1027D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F3AA7AC-3830-42D9-A67C-34C89157199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418200B-6C9B-43D9-8917-85578CC433E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592660-B106-47D3-84A6-F016873F86F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660D636-79DD-40C7-9F41-35E1EE1B0EE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B3F9BDE-53AF-408E-A631-293EA94C06C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FC49192-2C91-432A-9894-E878398C5E4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C47C922-D427-4091-949D-093CBFFC211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1EE0128-1E70-4CF7-968F-2A785520282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3D0FE5A-1293-41E2-980C-060C583E158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19EDA51-159B-489B-B7DD-149DD58D1B1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E46A403-84A0-43F4-936A-50926B16C9A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52DF3F3-A466-4576-B43A-AB9CCC9E3E7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EAD4722-B623-47A6-B6A3-0168941E0B8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BFBDC09F-53D6-4CD5-91CE-1BFB4C27C7F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7824B1D5-FC80-4817-B4D4-E1FA60D860A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895465B5-9568-484C-B065-1C8420D688A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51FDCDE-67F3-4CBC-88D2-13274CE500A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56D821E-154B-4B98-9383-4690E03E9C6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CFF85FB-E84C-468E-98C3-33889C68D0D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D8F4A75-67FA-49D1-8134-207B0A554F7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3F5FF1A-3F46-402C-B316-17E59497A04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C2004FA-7458-4242-BD44-E788283A642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EBB643F-CE39-4282-8BA0-703887AA0F8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C8D4063-BD48-4D25-A7DA-2F5FF448575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5AE4B9EF-BE64-49EA-852D-29F863B56B3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3A226F88-41F7-444C-A83D-1AAD3F654B6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1D1E2B7F-B9D7-491D-BCC3-4D8EC66355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649910F-9933-48F6-BE4C-949CD300011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87439C3-A44D-4590-981E-D78DA9BD371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98DC082-1543-466F-B9EA-6BD34CCADC9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7CD0351-A928-4657-AF0E-11B0CBC2BBA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8E737D5-6EFF-46B5-82A0-5D212D3A37A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47F1ED6-BF09-4D43-980A-6099931F1D6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610B547-B987-4CB2-90A0-20E20F81D7C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BB6E8B5-8C52-4747-99A1-C5FAC4985C9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5FF6E353-A331-459F-84A1-C71DADEC28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80F5506A-3BDD-401F-9C9D-D018AE307AA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442722D0-E85D-4CF7-BA04-893DC245125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AA6F64-07CA-4BFF-A369-C42B4DA94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AC716277-660C-49E5-8681-686F94A1AB9D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3FCB9065-44D3-4659-8E5B-21EEA56D13E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E06F25F7-E53F-4B1E-8736-F7498F16658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682C323D-D5BA-4ADB-90FF-3AC3A010705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D65803A1-68BA-4D77-B134-AA8C4F31FA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5C3F0066-A273-4C83-BE4E-0B70E651C2F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C4FFBFF4-477D-4CD9-970D-F3851A12BB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04885A82-9FE3-4AE0-BCC3-5E1546590EC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F22B47DC-CBBE-4155-997C-93CF1EC29F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B409F921-999A-4B18-90A9-140276E19AB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B8AFDE5-E1EC-4C6D-80EA-FBEA6250D1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20689222-51CA-466E-9E78-EA571661A95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E5FB8824-97CA-451B-AE79-AD409FB308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998086BC-0C08-4775-A851-3F5BA14E50A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D0D7FDAA-5DE2-4FF3-9AA3-9AEAEBF7EE3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ABE91AE7-07B8-4CAF-A238-2ACD42619C0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AF25BFBA-ACF0-416F-B33A-60DF5A7D642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16ED1428-4085-4A48-9AB4-B15A8C1DA86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81CAE118-38DF-4B61-91F2-5C5D506B009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B4463278-22FD-417B-A20E-7C42773914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65FA7EDE-3003-42E0-A2B2-7C960C411D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418B7B30-B65A-4B67-B645-DF1A8BBC76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9024CE3-3CFA-42AF-BDF7-7553B5DC86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1D9844B8-507F-464B-87C3-E14F220144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3482CBD6-D8ED-4729-9E3B-2A7847B1F99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A09D3DD-49DD-4226-8D3A-7DE0193CE63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34707D3-A7EC-40C4-88DF-34E63EECD98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22ED278-CBE4-4B4D-8D5C-70F86EBE698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C82367E-FDCA-4919-9A20-C94BE490DB9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6908469-041A-4687-A777-C5794400DED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A570B37-C198-487B-A3DC-EA2335A777E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6C4DE22-DC56-47D1-86D4-D6B3F365E44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2962081-8BE0-4694-99F5-A8E407253E9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6EEEEBB-3262-458D-91CD-EC528827BED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841920D-A055-4D97-919A-3552B54668D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917C09F-24D1-4884-B9AA-67C2918536F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1094E2D-F7D0-4729-AB05-2D3D19E9A4B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1DE7876-0E9B-4FEB-9981-1841D5ED3BC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A49D5EC-13DD-49B3-8B6B-367F58E1CA4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FE234CD-67A6-4E42-8EB2-B1F56669CC9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16B7F46-ECF2-44CB-B120-39084834B4B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A349F287-D80F-4037-9E27-43EC15E041E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25173F83-E90B-4C40-A3DB-6132EC5E6A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C716DD7F-ECA3-4356-91DF-19F3CDF2B8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540B163-E7F0-4DDF-9931-88DD0D4E63E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96AAEF7-FA15-4A0C-94D3-F6CE1AE7CBC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1BB6D3D-5EFB-4358-BA07-699A8670010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0639C08-1183-4896-AD18-C3D00BE162E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13BE1EF-2A3E-4FED-8817-6132F00794E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C5DD36C-6E11-43CA-A191-6A89A7D0736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9D2DFE1-4E1A-43C2-B57D-D1FA401E682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7C96A7B-8692-441D-A31A-4C646803181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73FC92AD-25F3-4A9B-BB51-527F3B0BC4E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6E45618D-098F-45CB-87DA-4F1B9B6B2C9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82F30314-2925-4393-AC10-1D0920B3443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A0CEBAA-C82F-4453-A907-89FBEF19A9D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3EC4583-894B-4E42-88D4-D6DB464F6EC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D80A02F-1042-4BFA-B48C-2AF87CC8AA3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F15AF89-D3C2-43ED-B784-E3743917539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4147E1B-BD3F-4BF1-8A03-3AEF60C87BC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1083546-7F74-4A56-B4D7-0A914091DC6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359F7B7-6FE8-4289-9572-88E6B2DFC93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162288A-1CF1-49AC-8919-3689CC58D87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14B410B3-F976-4E60-AC12-F7909F6336F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D46148D8-9AF8-49FE-B347-270639F8EF1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D19A0FB6-561C-4456-937F-ED0619C461B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468A57-B50E-4022-81C7-2C3A62978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8865106D-048E-4404-99E5-AF3423AAB523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B09A04C0-BD53-4696-8E65-CE3E37103DF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AE01F949-DD4A-44DF-9751-D0EEAB677B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D2750661-3C06-490B-BF78-AC633512661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5EEF205D-2549-426D-899E-7078CB64B4F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98F9EB30-A506-4346-BD1C-23A8ADBB027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4B38CC7C-8F91-40D8-8D3F-E49343CCDBB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43BDE8F0-C53F-481B-8DEB-D4E6DCF4DF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042A35CB-0C2B-46C7-A3F6-3B5ED817152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F6D58170-DA1A-4AEC-93D3-4C9D8C54BB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BCBE8CE4-7D20-437B-88F2-A13F3E1C5A5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42D48D77-81E8-4E4F-805D-344B74A6904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C3F75537-DC9B-4D60-9202-BCB413B11C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F224FB57-4C12-42AA-9E56-C89A1D5D915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DCBD17CF-3169-40F9-86E4-90BC7E1EDE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B7FEB5BF-9947-45B9-8465-0FD31EE3342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DF4A67A3-0B43-4FC3-AE7D-F5E44C87DF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4306AD7C-593F-4A49-A1EF-5C5A1EB7D97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F9B88A46-5456-4D97-B7A4-EF1302E6CB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29FF1468-40E3-45C2-90AC-F65FDC72BCC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7C9B3BA2-C5CA-4773-A76C-20BBC3C28EA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F24458E7-493B-4AB6-9D3B-C2D22F81449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FF8C4DB7-340A-4289-A033-92A8D59C973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356DED3-BC47-41EA-A315-98798DC0892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653D38A1-797A-4717-893A-A8935315765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C2DD5A5-E547-4153-AEC9-91EB20920CD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1617C5-D337-46BB-BA63-D504BAED17A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BB16AE6-7033-4FFA-BE9A-4E71CF11C52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8CEE98F-19BD-44F1-9984-8EA0E532DB7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A2B19D0-6018-4289-8095-E1D9B5B208C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FBF122D-65A1-40C3-9B17-05BD8AF4EF2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348E2FD-E9A5-4109-A323-45DF9EF7E08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25A0040-A629-4AF7-A83E-555F59D63C7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34E4DE-28D5-4817-ABB3-6926A39F8AA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4C477B4-0105-4198-A3AB-FE1F1D0DD7A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F3FC92F-EC47-4AA1-8BB3-C8F2C6C8668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4E1D2D6-A218-47EC-AAAA-87D497658BD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02C7CC2-D7C0-4D5D-935C-F4D9416A25C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2EC6683-8186-4868-B6A6-6CC84B730B4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126FF8B-6B61-43E9-B2F0-B33816C5EDB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CA2A862-C0BB-42FB-AFDD-427E799630B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D816C64C-A3EE-4EAD-8B3E-A62C0E2848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6248DB9F-CFCD-4B50-9E68-169867B4B8A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4F7DDC49-FE1B-452A-B517-C6F3DFD285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ABF8FC6-722A-495A-9137-656981FB7FF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D954AD4-8420-4355-BF81-50AF58DAF2A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09D2784-9D1D-4B91-906E-BF1A8D634EB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E66509F-D30C-4FA1-B5E4-9A7951A016F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97D4558-ABA6-4491-8AD4-DC9559B369E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2CC6FAB-2FE7-47AC-A3F9-972D29D5702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186FF5E-0C42-4BBE-8D2C-F3E4B930D81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98ACDB2-138B-49D0-9166-820F76C6BD2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F02C4856-C405-4A4E-85D9-0BC665A26E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E6749A76-A67B-4863-AB43-1F399EAA0D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56984859-9F98-4BB4-8075-692CFED8FC6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3E23C79-204E-4589-9D89-5481635A4B0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2A8BF4F-B2F2-4A0B-BDB7-E51CFCD8CC1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3766C63-9F87-44F5-B06F-EC30F7D01F2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3CF77D0-8695-4D79-BD0B-AE065492CFB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C113F63-6F25-4B9D-AF5B-0D7B71A8B6A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AFC132E-B8EB-47E1-986C-46CEF1F48BE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CC849E0-F816-4500-96F6-56BDDDDD79A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40BA536-2865-4F0A-8855-537D56A2A42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B8C6360E-21AB-419C-A773-63D9894C1D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ED51D018-C5BC-49D5-BD83-CEDA243B5D1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8CFA59D9-0287-478B-B702-5ECF97A1CFE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5557E9-4BB5-4DA2-A079-4BB6D2E7E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14049008-46DC-4ED8-8E6B-DE8A2E728C4D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6941FF9E-166E-4636-8669-CCC83C29184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9951AEBD-9E14-41BB-85E7-9BB9A054C6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6BAA4B9E-A817-4B0C-B2A2-52545F9C526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EFBD65B5-6E71-40D3-B946-570D38F57B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5622A235-3084-43B0-AFFF-DE3A46A9CB3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7327BE41-AC9D-4266-BA01-46FFC1B8472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17D7160B-5547-4DCC-8144-3E506E3885F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3A1D3AD5-CE9D-43F6-98FC-42205E8C2F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0FA95149-089E-498A-989B-38B5C664695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C2D0938-BF58-4C4D-8557-A1C24026643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62CC1813-6D6E-4C9D-B24B-C82B358DE12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06695874-6802-4FD4-A090-15D699F67C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D0863E00-A034-46C6-B19C-3E74E9C47CE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BA7A02E9-5D4E-49AC-B4C8-DF87A8833B0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183C88EB-A0E2-4CC5-A594-53C31B28C7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39BAC27A-3BAE-4B92-B562-497BE01FA65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07091256-1D04-4730-A541-400FB23119A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A4764F37-559B-4D9F-8C48-BA8B6E79B5F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1C6C1523-4852-4D06-B332-558580DADA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FE5DB4F1-633E-4C93-9678-8DF57E9EDC6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A7AC7B2D-F0F1-481A-9B1C-F22ADE74FCA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221AD4E-0393-4C33-A0E6-CFFF39B2A7E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B87B5B39-1039-45AA-B755-63118811D84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2714FDE2-9308-402F-9564-631D0B1A66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F0C666-9123-48DB-BCD1-91D5CDAFA53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6BEEE20-F1F5-4B65-AEB7-2B11ACCF5C7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6F3250A-9884-4622-80F1-A8564333EEF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0249819-907E-46DB-85BD-84CE05F133C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A6CF354-D89D-4DC2-AB2F-B0D4FDE6E7A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86C247A-6288-4E04-95A0-D6062B1A7BA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2E57945-9D53-47DB-A2A9-39FDC9D2BA1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BF8A939-E756-4F39-8B65-D149C7818CA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2154D44-A0E3-4508-90A5-DD849B27722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2F75AC3-4BBF-4A47-8B70-AC4AD7F3169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BE29244-ADC0-4384-8992-C3D7DBAD55C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31979B1-A359-4560-9725-1E536BEE3FB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C73F1A9-1D2F-4DD4-859E-B9B897DA1D5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594038C-871E-4791-B36E-82FD5931523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755BAEC-9E8B-4569-A4A8-13A097110ED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030FC89-C6EE-4556-9F9E-4DEB2993F6B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49DA946C-661E-4F50-AEF7-B4704FD14CF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CB1925F7-6429-43B5-955E-A0442CBC440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8EDB8597-4360-4811-93E1-326364D33C4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6A0AE69-4C08-4FE1-B108-3E6DB19C315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BCA8197-3399-45D8-927F-5904D28A5D9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79516AB-294D-4A20-A251-000D8E8B64A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B4A5723-5553-48EC-8CC6-8BCC3889FBB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4461D7B-F7B3-4A44-8836-BBA2BFC640C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8CAB8E0-86CA-4913-8082-D210BFAF015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C4DFCE5-5398-4D29-AE35-50A35935FCB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C4DC91F-8245-4609-B1B6-06C4A98DFCF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204A36FB-8B08-49F7-927D-561AB963E37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20B51023-0241-4B62-A9C3-33864C59C30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20994544-9C2A-4A92-99C8-201F2263F1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810D5F3-9106-40B4-B825-9ADD5C3DBA9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9A45725-79F5-4B37-961D-2D92F949481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FDFC48A-C3AC-4989-973D-C0426E5880C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5FB72BC-B44D-4D70-A9B0-7F9018C9744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804CF97-C265-4A3A-A510-85DCE5ED8B3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A2D7AC9-A88B-4C20-97FA-A7B6689A109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98A77BA-3191-436C-98DD-6B6F674CE67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0C13D53-D653-412E-9F01-7B26244A78A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D4A1FDFA-8DAB-49E2-A7DC-AEF575F0BD9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DB71F797-17EA-4CE8-8A43-29ECA8ECA17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ECE382F8-94D0-4FF7-9237-886C636C5B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2DBCCA-771B-4527-80BA-9B7E4B5D3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F6CCCBD0-1092-4EB3-9968-1B27EC23254D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0122ECAE-332C-492F-8A53-170C1AB9318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9069EDA1-08E2-4F50-8932-496A5FF7415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7F98A8FA-2978-41C7-855F-0F9DF3ECB08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DEDE0595-2778-48B7-87B1-68BD0C2B7C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9857D0CF-022F-4118-A8A6-07EDCA29010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1B0E8193-89EC-444C-8FDF-417941C730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D9919453-6AA6-47C5-B3AB-2951AB3F914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30862BA3-FA79-49FB-BDC1-C3356F08023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7ECF391B-774B-4BAA-A0B4-A9BD9D73A52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B8ACCC2-DDB7-4D36-8B3D-AAF66957D32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DCCFEE4A-0D22-4C24-BC1B-0925AE0572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F48F1E14-095D-4636-B3E3-D8ECA6189F0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FCC8603C-0608-4CAE-BCF5-3C63AB8D97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A6CAD8E1-D244-4C99-9FA3-594EABF6437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A24474C3-5A8A-4337-8670-ABB3B6BFD9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4F9276C7-062F-4BE7-95F8-27B8F74D8DE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3CABCB10-03B0-4902-8254-37438416AFE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FF9F2663-183E-43EB-9D74-3A90FF9F736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6930A506-87CF-4DA4-A87B-1D9079D2512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9272E1D9-DDBE-40AB-AB43-FFF3B8AF219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E57C7A4E-3376-4CA0-BBA2-7BFF2B252F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D6B9F9D6-AA96-476E-9CFB-C619F83276E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B7122AA0-1B6B-46ED-B5A8-61B42BF15B2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798F713-589A-41DB-B4B7-2DA31FDEF9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B233412-46AC-4BE4-A381-A0ABCA6FE01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A2F7FB-4C26-4AA7-9987-0CEB0B7D6AC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F1F1370-C411-4F0E-902A-218075860D2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3425455-8390-4BDE-B5D0-E1F54404464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E2046C6-6D3F-4D98-B871-4F1EF8DB645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0CB0063-03FC-4E8A-8955-99DD6CD5946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37AD618-8CD7-45C4-AB19-FD7A1130AB5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FC67083-6B01-4532-84D9-7E637A14057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4A19250-1B98-4BFF-A0F4-3176CFDC9AB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B9064CD-D813-4BCD-9169-95DB3E440F4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C75158C-9FA8-49E9-B5AF-8B90D8F156A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588E025-73B3-4C52-9AC9-502F7A74015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65A7237-B6DE-4B00-8AB0-A7FD8A78A9D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058BFC1-FCD4-41AB-AD19-727711785C4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D546B33-4D9B-4AC8-BCAD-E060368E695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C4135F4-08F6-496C-B019-FC9978F5715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3A003AFE-B4DD-498A-B8E6-7CFB2510C97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42E75D81-3378-4CF0-99B8-55CB1BD2D8F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6027E2C8-5166-426A-80C4-37120279CB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D8118D8-4D5B-4A7C-BEF5-19DF6C162CA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D31A7BD-3E3B-4A7E-92B1-CE51A67F36A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E1F4B74-A785-4ECC-827A-090707973D4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BB31439-B0C1-4EA1-84CC-69F7F465AC5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6A682DC-3622-4878-94AB-8C40E401073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F0B8CC5-5D33-4472-A5F7-29182D6FD42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EE9ACFE-9310-4E45-8C4A-DC8DC888E92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8ED0B52-DBAC-4FC6-808F-99290338B0C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13BC0D85-5C4A-46E5-BE9D-72C9487A72C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F17FC5AC-89D4-4FD1-81F5-437E75FD0B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8E6955D7-AA0B-4E4E-A9A8-B8EA190B61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F47BE11-1F54-4595-A21E-05EEA99D06B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E940C3E-06F3-48A5-B088-837776095EB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D2CB2D6-91B1-4805-9AC4-FC2C8F8F865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9DC0A21-DB53-4B78-8A9D-47727EA40EC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B1CEEC2-2F7D-4BD2-AB9A-655F84A8DB2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730D715-8902-4081-A406-0E5C3990394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6FA39F3-A6B1-4A52-A683-1318944D077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31605FE-AF6C-4509-A3B2-C47DC667F60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CB9B3955-6782-4BFB-9E81-66B8CDD471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51887DC5-B108-4BD2-8105-342F3D4BD63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AA681035-D135-40E3-A671-C57066BC96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D5216-E416-48A2-866B-31A3CDAA7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17032209-4AB0-4A4D-8AB0-8113F31E6C13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D9A91C15-BBF9-4AA2-9497-D0733C80B5C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950E3F14-A02F-4E6C-AA8B-D2422EBBF9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B7CDED0B-A26E-4DD7-9473-08DD9E8262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C080C872-A8D8-46FA-AEB1-7C3C5B79EC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C6A2064E-8057-47D2-9E27-6747DA10BC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5BA00202-29BF-4494-83C5-B80A1C33AA8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82A354E8-6CA0-4F84-97FD-F8C8724343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825982CC-41AA-4115-8011-261B482F17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A31921A7-7822-497A-BF55-C015CD757D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BAEBEDE6-E74D-490E-BFCF-8871EADC3BE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5E4E6CC8-AB8A-4579-B550-6DB174C27D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3D841336-E2C2-4B2E-AC6B-6205AD5EE75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001BF960-B0D1-4F5B-89B5-C427B730E6B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07DDF1CC-6E68-495C-B3B2-37A2ABB3AE1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409AA2DB-BCC5-45EA-A582-68782E22CD7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49852350-1E7A-4644-9950-87E9702922F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784E40D2-CF65-40EA-9165-E30D65A328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0FE8E016-C499-43DE-AFE7-BA8594AD74D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7C32C7F7-422F-441F-B9CD-1A49569304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65D2F541-4DFB-4354-A555-3D38C141E08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12C3881A-2181-400D-B927-3C4D4D33AA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41A047D-E004-4BDB-8E01-DCBEEB0FF2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20315C3-CE1E-489E-B24E-382D36F6386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FB00E2BA-1EC1-4E04-AE4E-9C9679F8B5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F3B7C3-0066-43F0-AA9D-0C24D249B41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7A6EA5B-900A-4501-AC4F-0DE7F589FA1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86B217E-16A1-4D8B-B1EF-9B7078E3DCD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BEF11D9-A687-4897-9588-44A2BD0DD38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FF619A1-AF89-4D54-85E6-0A0DB724842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EF7B1F1-1811-4711-AE97-AB3566952D0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DA9CD00-3634-448D-A750-C9DBC64092C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ED18277-7C56-4C64-AF0B-5EBC2DEF4FA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6DF5670-6819-4E7A-90DF-B8935F8BD36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310FA91-B628-47F2-9568-73EF6D2A44A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D5F5659-9FE2-42B0-8969-5FDB10C64C1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2324F30-3683-41A2-B368-162BFC71681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F439F49-3F63-4985-BF9F-E6CD64D57F8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47C3D54-2DCA-45A2-B597-2F2A0A3419E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E994D45-52CC-47C8-AEC7-FA650E03607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5E80D3C-6218-4C69-8EB2-A2069763FF0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A7BE3D66-BD0E-4C92-B0B7-B3D5B4C4824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5279CDF0-1F63-4B76-B1FD-23674D08BF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615EC782-305A-45AE-9583-37DD25223E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265B442-00E7-42CD-8292-0B570329645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87BC96A-4DEB-4CBE-83AE-ECDCA6D02F3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3FA8726-5D85-44E7-940B-48AB6A620E9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8256734-30EC-491A-90EF-7A7AF880614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303191C-C6BE-4541-A5CD-6225E0B6BE9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480908B-1C0D-4F1C-92B8-92D2B31245D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8E18C60-500D-4820-B58C-8CFA7B52704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079391F-AA5A-4853-9261-821C31163FD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27AD3FB7-4017-4A6F-8A3F-EA9F9EDD9F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BA305D47-426D-448A-8CCF-1B3CBB7C507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D5631C79-14BD-42B8-B450-34930311448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0218506-DF07-4681-B0B8-38B81D729EB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4155436-676B-4083-88E7-8B147A142E3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298AA23-FC0C-47A0-A02A-FCAF9C01608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42E941C-3F10-4A57-A2D1-9A423DF58EA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7DB7310-12FC-43E8-A8EE-BDB003BA50F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E71FFD1-F0D5-4808-B089-BDBB10D10C7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40A1BF5-F3AB-48BA-B250-A1AAFF20FE0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0A23035-CAF4-4BC6-898D-4D2542A3251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46906CF5-AB58-4D27-AB11-8851F5E9230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E7ED777A-2DF3-4139-9D2E-EE76C0BC90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FFD00C5A-3130-4DCD-A3CD-A005BDED53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F404F2-6A51-491A-8FA7-385AC24B2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B011F326-07E4-422B-AF0B-BDE79F631E69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5E45EB74-A2EE-4A41-B04F-57D954B7EE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F033FC0E-C3CB-4B04-A7A1-5A7D617838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7DCF7488-5EA2-4A32-9F46-8610504548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6DF7596C-551C-496E-AC76-915FFA8D30C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9B21743D-A70E-476D-8CBC-5A8CB8E1FE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E7CBD639-6B39-49BB-8095-D5D122EF04A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5094676F-7593-4DDA-A0A9-727CB79A54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5CF58FC5-189C-498D-9A17-DA0D989EB3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BB10D163-AF2B-4136-AFCF-ECF42A40DD7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21BECD7-8743-4654-AF4F-490208CDBF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0DAA3204-0066-4FD2-A2CB-76D5B89963A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3459B036-5756-40E8-BB62-6FAF553981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F19960D8-A169-40C9-9F47-8B445BEF177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DD9CD86A-AD20-4136-81CE-D6E00B9FCC7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FA426A1F-C6F0-48A8-88D9-B4415CD9F19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79D73B81-D1A7-48B6-A731-0B370EA6D7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1A15E98A-EA85-41A4-8146-CEB61742C7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D9C7CF9F-94CD-485E-AB42-5E5A44F6B2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03A0AC4D-D179-45C2-BD62-6423D56A627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F35A5F66-914D-43EF-A4FC-B4A7A8ADE94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82B61197-94FD-4FB7-91DE-A102A1C9931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5465BE6D-5A32-40F5-95F9-9BEC917BCA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865FD76-C50C-4470-8AE0-50FB611744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71221D26-4C8D-4434-A30A-15ADA202221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8EBD964-D75A-4580-957A-B91A3249B2B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A6075B-5181-4529-B7D3-163C28976CE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6D082E6-9EFC-475E-B576-94929B9B717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B49F50A-8E6B-4C6B-8D2F-3D1499DDED0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D7E2CE5-5FAD-4608-8328-ECB5935F95D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BAF081B-4D3A-40CC-A877-2948EDE816E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73A54D5-F54F-42C3-86E3-844580D245F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CBC592D-C780-44F1-B979-71BFFFEEBB9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EC02107-52CA-444E-AF83-4CFAA6AA214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05CFED1-6EB2-4041-9140-EF9629B9D3D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8CCA1AA-CE3A-4BE4-A448-14EAF2D7A15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46682CC-9C11-42B5-A4B4-11CA1950491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6C28B3A-85DD-4B6B-BBF1-F8040FB1BFD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CD30101-86DC-4B20-AFD0-9E9A5590E36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4511983-E502-48BD-A755-3F2C2EE34A8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50DA1BE-1A97-46C4-BB2A-B8E880FE6F0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7FDB9469-13D7-4272-93CC-435CA94166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580E07FC-91BC-433F-9415-CA64B4BCCD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7F484322-E2D9-407C-BABB-A1E4138232C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62A9EE9-05DE-47EF-8A58-7872FEA060E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1FB089B-9D07-4B77-AE06-3CCAF1E0C36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BE9F0F8-90C8-4C31-9CFE-0E222AC48A6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2AE56EB-9184-4481-945C-2E0364F9AE4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B5825C1-B5B1-4D1D-BDFE-AE415DE2088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214CCC7-A63F-4BA3-9F66-CE748E426D5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28650A9-2DF2-4178-9EDA-BB3867F6E23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39C033E-381D-435B-8F96-6A8268F9196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A0253B00-1CC3-40B6-8DBA-AB80D4D2DAE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ADC49834-BD99-4EBD-BCCC-7CD3B6AD851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D9923ADF-A78A-42A2-BB73-413C9A95FDD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07C0EBA-CF55-40A3-B97C-1C76D31EB6E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4C9BF74-6D77-4C12-AE12-7C62E000626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B721DFF7-A2F2-4EFE-99AD-2C1CE8BFBBE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F9B0C46-30A9-401C-976E-8AEC24C0579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2A16616-BEBC-42E1-96D2-06FEBC14040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C8C09C9-C65F-41C0-B8F2-DCB995A80B7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C1DF4FE-1CAC-4341-833C-13B7D2E1056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513C33E-48FE-48F0-8380-1AA034CC6C3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71A2018E-EAD8-4F44-9A87-6EE23A07C85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B000B0F5-A337-4FF4-9B02-B6EEB61A545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242A6346-A281-45A5-A73E-195988B8CFA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899B73-F2BE-4158-BD01-66FCD0F0E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E28D535B-5B02-4E77-A722-89D77800D226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5B530422-FE30-46ED-A5F8-8F32F3A7801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30DBF8FE-49F0-45DF-824B-D121A2426D6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009648E9-1701-4C35-A288-2CBCA68557C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98B82BDB-8C42-46E7-9B85-3E606898F8D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AF89D001-417E-4540-9536-3A4AB19F214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B73CA99A-112F-4750-BB07-FA47BF05AE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18816450-2BD9-4648-9EA9-3A76DE7417F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1E10366D-C91C-4010-9D83-4E5E5A48B13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C90738C5-0EF9-40E2-A818-B9DA0909B2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D1AB158-0C9B-432A-9635-F8E1539EC8D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A6F37439-C79B-44B8-B7A8-469C94DAC95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CCA178A2-095F-4501-A347-A5E28AC88AD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74B000BA-61E7-4868-99E6-202868EBD47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9407ABB9-276E-425F-A7BF-47287FEC4D7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4D7C8C0A-918A-481A-BE8D-415E5B86AB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328FD88F-6791-46A1-8830-600AFCFBBB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E10EF0C8-068D-4B5A-A84E-DED9F382C88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C15B4F30-5B7A-4B38-A793-3E25803905B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EC5EF35B-DB6B-4304-82C0-8327EDA5113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6478905C-EE46-4EF0-822D-5DCA28B7594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CCC56A63-D3EC-4E99-8BA3-9E7B839636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49DAC7A6-1660-4AD7-B90A-71DB498C57A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F58674B-1935-458D-8951-8FCA768A120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1A6A5D4C-8986-4D3E-B5E9-4B3B4992EF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BADE10-68A1-4348-AF2F-FB0D258ECDB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095C55F-2521-4110-B28F-47D12672F2B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CA2C2FA-1448-4646-8ADA-A8FC744CB1E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258F44E-0246-4540-9A94-8B39D3DB51E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3E087E6-8B0B-4CBC-BC6F-C8E5A26AD22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89A2C5-82AD-4811-AA32-9F39A6F185D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FC9FE90-01EA-4218-A0D6-474C92B262E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0E9CD8F-EEF5-4335-8C52-218C045800F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BD6957A-7C9C-4810-90FC-B89935FCFB6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00AD72C-3EC0-4EDC-ACA8-69F69A376A6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028F5DC-32DF-4400-945E-E4415A9ADB1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20E47A5-AE15-4264-9346-1F7224C4485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602F469-CBF1-42EC-A0A0-75E6C360052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DF00FA6-42D4-411F-80EF-1A3AFA30D63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CF53657-832D-438C-BD96-E3485EBFBFC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15C0ED2-9DC1-47FC-94E2-564C684EC70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720817BC-69ED-4E9D-B704-8161B90413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96BEF956-84CB-4469-857F-DC1F749B00E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D2D8D343-DC99-4273-AF32-3DE6838888F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44B8B6F-2465-4260-A3C1-5850D914432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AC515CC-AF6E-4224-819D-4931D8D8AD8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67F820F-552B-4E32-8531-B454237B4BB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DFB21D2-1C44-4BF9-BC02-F49FBECCA6D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1F164AC-5936-4ED6-B869-2C131DDE4E3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EF450E8-A971-40DB-B8D4-C12BF9FFF3F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AFA3F0A-12B8-43DC-9878-4CAE9E6E43B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7B0280C-5F05-46A4-BB85-68507540E2C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9745FD21-A0E0-411A-AAF6-14F9BADFFDC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8DB7840F-6946-4F0D-A07B-B639E49A393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B823E5FF-8B5F-4724-BFCF-E80F3ED571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58A7EB8-6B00-4716-BCAC-B758B3F8CC8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D1DFBA8-1CE0-4206-8942-A1F6B78968E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C3F7638-0CAE-4753-9ADC-6CAB56A2718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726A296-73EF-4208-85F3-7FE1335843E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309D753-8BA6-4782-BACF-29B52F722E2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F821564-2130-41B2-81F4-12ECF9E3CED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1765375-3AA0-4015-B7A6-ED73A28FCA0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B769687-FAE3-4DB1-AD21-4802A3AFBB7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A43923F6-C12A-4A62-AB6D-39F52F318DE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E35D4F57-D9E7-447E-9451-C34176BF2D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7EA122B6-1DE6-4234-95CB-DD0BF84414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AB139F-5F7D-4AA9-A542-87764BF82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E1E260FD-9D2B-4076-8CEB-D6890BF22F68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68A3B2E7-A2E3-44B0-B016-BBAB331739D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2F8EFFAE-922B-465B-8397-9C25A9CBCF8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1A60AAC2-F428-4254-AEE0-03DBF2A8F6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5225D351-DF5C-4AE0-AA2D-E8377C784F6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E533B89B-BA3E-4158-BF13-30709BEB60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42F8914F-E25D-481F-9871-65CF28379C0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C3E6BD57-F301-4740-8B0B-6DD5F2E4B4B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4871523F-1E04-43B9-A0B0-9BE74D2291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772965A7-284D-486E-A91F-0DB5823660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3CD69D7-4595-41C1-AF7B-DE82EF5CDAB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23ED4C88-6E82-4FF2-AF41-E609B444EC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BF881337-8149-41D4-93E2-C106DF039E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4E15EC02-6C02-456E-9CD3-60D2A85623B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C235F2D1-DA1F-4A1C-8E77-FF208370A8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DD889746-BAE8-4786-88DC-38F07CCCDF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2BF2018E-9459-406D-AEAA-499960D79B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A9A20D99-084F-496E-AA9E-B729DBC6D2D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E9D5940C-EC3B-4E2A-AB2C-9C3A0106FC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5D011962-89FA-4197-9B97-FB2B93F01F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7BB427F7-0776-466A-9E7B-FFE7B61F5B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98EA9A74-5AAD-483D-8356-0E69B156C09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58EA286-FF02-4F93-B957-69BB2C08B67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69964F64-5658-44AA-AC79-D5827F716A9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F0C45E78-12F7-4CDA-9BA5-4F94B3B32B3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42247B-3447-4DFF-BD83-4502858C506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2DC7F39-EC43-40A0-9848-766EDB3D834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F217D6-0857-47E8-828D-BFD0C2C0D9B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1979E06-81D2-468E-ADE8-650EA39761E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915CE2B-5D9F-44E0-95F8-39A3B2DE0AF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34151BE-1601-412B-A91D-C1F6C23BDC6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DC3A22F-1A12-476A-82C4-0C0DD7595A5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C8C86A-9E04-4137-9DCD-40E1D2CCA0C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6889EBD-3660-4EE2-B5DA-C4716EA31B0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E3DC94E-87D3-4D6E-BC29-DB10AE07E9A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4AA899B-5F80-497A-BA46-B312DEC8DD5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BD65E18-8510-4A19-AD0B-3DD78192D8A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1065177-9109-4282-8724-DD0AAEBB7C6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768BD37-D568-4B28-9D3F-F051C5DF389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94B4144-CAC6-47DB-B59B-10C71CFE5BC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4F05980-74C8-4B1F-A431-828FC204C56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87190B1E-15E3-4C2D-95F8-C82163BC73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E49B5686-258B-4265-AEDC-2F92697E762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B5B7FF74-A7C1-431A-AA39-5EF12B74E30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9F72189-BD87-481C-A3D6-315E6A7C196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78709B4-7602-4A35-8244-74EA4531A55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3FA9A9A-C153-4892-9184-328E6B3EE57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06FC665-8F0E-4420-9304-B0683C21B9F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A35ECB5-74FC-4FBD-A4C0-7B6BBE374FB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77D6922-6AFC-4280-AE75-31FF62E5A71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BCDB159-6375-41CC-8396-D0C94E107EA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8C8960F-D11B-4E67-9048-6BCC007933F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118DC867-F05C-4187-A13D-AC20A8AF53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DF68FA73-52B3-4F16-B52E-2F57795FBE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4FE9ED9A-FC8F-4D0B-BBC6-DD52699EE54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9CFB117-C67D-4477-96C7-5B67963790B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7D6B7C8-E979-4694-9FC4-6B1596CB80E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C1891D9-DDFB-43AE-87BB-A6F27E587A4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41B2B3B-EC51-4E2A-A8F2-32B6AC8FD5A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06EAFC4-2BDA-4798-935C-053283269F0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6BF09392-B097-49CC-A04B-627663FE5CC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74B8EC4-577F-4A5C-89CF-7AE44011170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F5CC6EB-FDA3-4317-9D48-36C1C83FBD8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D1591732-7713-4DC1-AB70-BD3F11E0E66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0C99159B-5087-4246-9B61-9CD1E6EA11F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A203F057-0B59-4B30-BE09-420A8664FBE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FD000E-4955-4C16-AC5B-F6DE615C3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1AABEB5D-F25D-462C-8A03-D5352DFA6B65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19E0A587-04BE-4BB9-91DB-931AC17F329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70322CC8-DE50-499E-97C3-043ABAD5257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5C15DE5C-7AB4-4F75-BBA4-E297D94A340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7D09EB6C-7726-4178-8B91-FD70FFFCA48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081A50DE-CEF4-4A20-8B5E-C2AA35EBF9E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93583B1F-D3BC-42F0-8052-88D19856115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FBD9BAA0-792D-479D-822D-A2C40E9234C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6FB5CCDE-1855-4604-922E-5566CA370F3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24653228-7239-4E6C-B48E-EBBE0B3B38B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1D41BDA-D885-46DB-9030-8956BC3E51B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0EB5BA5E-FF2B-491E-A3F1-2834479288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36612E92-E26B-4CE0-8D0E-06AEDC70F6B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A5CAC748-695F-479E-B961-25A70FBA6DA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9C60E198-12D9-4617-A5FA-58973259817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C774E7C2-B20D-48F6-A094-522114C60E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F6ECF865-1287-4AD1-BD14-718020F4406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BE4F3052-9CA6-49B7-86D3-C64FB0C8F9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FA837056-410D-4C98-B4AC-6B8A9D586B7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609A754F-DF04-4E5D-84B9-C393A978442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975A2F8D-E5E6-4B09-8C7E-A6597C55C9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9A7D2E3B-C4AE-4E81-A1B0-916C8759F3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3B2E1995-0721-4974-9D09-630E956B8C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A99AD3F8-2840-488F-9DA2-AC9A18812E5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A9B8425F-0376-4DD7-85D5-2AAFC4FD37B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9E96488-2DFA-4B9E-860C-2DC63F98C27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CB3BBAB-81F2-4007-8D98-2ADD4C93A6A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4871080-D4CC-42B4-937D-2ED979A2C8A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9D3F9A0-A72B-498D-B752-EBF18FE47BF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979D5C8-087A-4A36-A222-2F0F9B7AD04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DDEDFC9-EAAA-4C92-AC55-C81F24AEFCA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2164FE9-3F30-4336-B57D-4B2658095AA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17D1EAB-B585-4F0D-88C9-ABD8152A32E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155FCCA-0ACB-4951-B536-E3603F65213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5616EA2-17DE-4605-958C-4689B8883E6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86D5AA9-CF35-483D-86C6-5B8DA916E2B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C0176FC-8F9C-44EF-AEB2-877A9E2AE0E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4DB38AE-7081-44A4-B706-3297D68E55A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A054CD6-45DF-4D6D-998C-B4060B21048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C33267F-1181-4F26-98BC-C1D1131C48B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E5F4506-734E-427F-8DB3-35CE52BB16C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C3FC1DF6-EDF8-4699-865D-CFFDBC1B32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368A98C1-CE9B-4F3E-99A3-E6C655BC93A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A2FA7283-7097-4D1C-AEB3-E826C2B3DB7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5F44A08-ACB3-48ED-8A79-090BCB03AEB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41A3B24-677C-4BCD-9D54-FE971CBC002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93EECD9-FC25-4034-8898-38385E947F8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CA0AD24-14A7-4BAE-8317-EEF1798B145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F101B2E-1AF5-43B3-B246-E978F01CC1B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5D94393-9D28-467C-8AAC-5F44F9816FC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01CB858-F3C3-4C3C-A5E3-028BAD3169E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793FD91-2AFB-4800-8A06-88644231720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A8050995-8B64-4F11-9E22-BD686C3CB8C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EE9BC88D-D60B-4E39-828C-F74E517312F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4C4018FF-9F01-4CC2-922A-098556D67CE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084A238-99D7-4277-AFA8-7C8C0E51D7A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63352C4-AF2F-412F-B6FE-377DC6AA48F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2F0025A-2032-447B-A6D2-75D1C967076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6C196F4-79BE-4FCF-8D1C-1427854135B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0EF64D7-4506-4118-A281-B478E171C31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3EA6770-7289-4DB9-9B81-90A2727D93D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2A51F40-AD3C-475A-8A08-3D3C262404D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502601D-E9E4-4E5F-9327-A5EB582D5DF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C50BBCB4-14A7-4138-8850-CE1E084DA5E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2336C7A9-4983-428B-BF86-3704A41289C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9A2A68B8-4AD4-4378-B478-7E5A4A17931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4DB134-178E-4185-A8B2-BFDC05C73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232A7151-352D-4DAA-8EA6-6242325469DE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0A046AB9-7876-43CB-9914-17B0347D0C0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7583445D-41FF-4738-B406-0476C06726F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871077AA-AE33-4B06-9531-107958293B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79598E68-5FB5-4154-B533-A31A0DD82B1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023CF94F-D3C4-484D-9BA3-0255C92C11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CAD8FDD3-687C-4CA5-803E-32C1051A865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FE0A58EF-DB82-41D3-A2FE-309B3C63BA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EE1F85B8-2111-4958-9F94-BF539833EAC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72041BAD-873B-4964-A2E4-F792B34E426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5F6BD94D-6602-4237-872B-E3F563C8D5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5726ECF6-24D9-4248-AD6C-C0742086FD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F88CBD30-87A5-4272-81A3-83F6E9395EB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5457152F-0735-4E98-AF9F-72B96E4A8BE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14F68523-C7C4-4DD9-8112-F3E3FA1F661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B06C12B8-B22F-4AC5-9015-8CA53A9CA32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D98A3426-DE11-41F9-B6BE-F4FBFF1007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802F5334-29C4-4F4F-BDB2-B0606D372CC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9BFE95FD-4E80-4172-B92C-1321DB34547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DF85EBD9-BBBC-45A4-978C-008FFA91C47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528220BC-3672-44BC-9199-920D400BBB5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ADC17150-B6F2-42A9-8B28-2F30D02C8E1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7C8CAA6-CF75-4BE9-8AF1-0551E6BF4A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7148B89-DFEA-4066-9C84-B447382DADF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BB2DD73C-98B8-463D-894B-2CBB10102CD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014BB5-DC29-467A-B97B-EC7F7CD9BD0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A2C13DE-E9F7-49E6-B80B-03FE1B193AF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25948D0-AE9A-4365-91F4-3EDA9E65C54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EA8075D-98CE-4FDD-944F-B0D1EF043F9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D286503-8395-41DE-9C09-6A7AD482917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499491E-A809-490C-A4A4-CEC507E7769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1D7C7F5-55EF-4D58-A8C6-E79ACB65A7C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6D7CC6-0040-4EA6-8B71-591B8C3DAE4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8C64BB6-E7DC-4852-97F5-D39D82F339A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44AB2DC-F16F-4A2E-9F1A-91B28CF493C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790C83F-B18F-4337-81CE-73705627BAA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639A30-1916-4D85-BB3F-7C05FA6D96F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6EAACB5-BB0C-4A9D-BC28-CFF925825A3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50AEB7-1813-49B7-9BA2-59B8A71C14F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1C27532-88F4-48B2-BCDA-1748BFF96E5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4D42C69-2AC1-4A77-8D76-E3FE3EB4D8C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7C901366-6D67-41FB-BEB6-88D4A969FCD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7938F0D0-F12E-42FF-B1A2-1C401F28CD3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615CD9B6-0DE1-4C71-8365-F1DB1C7D4F6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6977298-070D-4FCC-874C-95EB16400FC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41C217E-877B-4334-8F6E-2D5E1AFE2D3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C5C4ADB-FBEA-4B22-90DE-D0ECB7577B4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86CA26D-6C78-4970-81B0-EEE3323585C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74B18E7-B95E-4D59-A589-74C2477C06F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920A718-FC6F-475C-B5AC-A5CE11ECB13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018C2D8-428C-47BD-A7A6-8D4CD1A9FA8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B3D068E-5AD1-485C-A887-2DD28A4B49D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686AB6C0-D689-4985-9117-267199A6682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7E61B13E-B466-41BC-93BE-E329AB7ED3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66723AF4-E994-4A35-8D34-276A9A2C3BD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E824603-6D51-4150-9204-731E3936AD1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395D681-7584-4505-AD67-5BF8A8F5919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02E7EEE-1680-43A7-BDFF-34FB510A9A2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E6E3A08-3FF9-494D-A2F0-2DEBDADE224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954C28F-7275-497D-ACCA-3DB570F2A34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613F0FA-2286-46AC-B51F-87F3E7FF2DA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A31BCEE-2304-4C9C-8B57-6AD581B5B2E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862F07F-1559-420E-9323-D5E425D2813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B3B6EEEE-6FE5-4B46-8A20-D6F651E6B9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EB232160-DDD9-4FC2-9CD8-BDE440A97B2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EC02CB56-3291-46F6-BB2C-46021403A67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F2EDA4-1E6A-43F4-95E5-5F2A2A783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E9B124C5-49DF-4BE1-93A3-32595C1C5F14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8F51EA62-3BB4-4090-BD72-301A7DC3D7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3B167F78-9F32-4D42-AA55-AA3E53C4AF2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512A3881-D6B6-44FB-BDE1-01929401F4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AB97C6EB-1437-4BAB-86E9-6B135236AD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E9AAFA06-18F5-4DA1-AA0C-20AAFFF3777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3FE1E026-93B2-4EC9-ADDB-7E2E39EF9C0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9D5D077F-5DF1-412D-8FAF-865298F312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305ED340-4ABC-4438-8A0A-9A179B1773C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4A1F5824-4D3F-4605-8B01-650530B29D5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25FBB8FB-3C01-4C10-BAF7-F5E355F2B91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D2C8596B-E354-41DB-B7E1-36B81E42AE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EAF18887-33A7-4426-8A0D-5858BB64F2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8F94E8EC-C8E8-4335-8691-824FDF7B3DB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8A15CDD8-F33C-471B-B6C1-45E98CEB5D9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4C1C2947-F2C4-4725-AA0A-56BC0ACC19D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FA9CCBF2-FFC9-4C5D-8EFF-D90473B1433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64F855F5-92D6-4139-9F8F-3C13B4644A8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140D86D3-6300-467B-AA04-E9611B50D6C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27044F82-EBB0-494A-AD3D-2767FD960B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A262922D-98FB-41D4-B052-EC9F48CEBA1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BDCF54EC-2E5A-40FF-AF5E-D6D9C8A4033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35B6484-B9D8-4AD5-824B-BC30B1869FE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A9AD2FF-686E-4079-BE0A-5A17646DBF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FFBAA13E-CFFE-4F70-BE08-0706C89701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8B7BB8A-68B7-4077-9722-2E9422A0CBF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71B6B7D-D6AC-4C7E-A2CD-F6DAAC55492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41F7C0A-2BCA-4EC3-936D-DBB97D63AD0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702F670-167A-443A-AB26-82B30799E65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B7F2873-0BB2-4AE8-B756-09E3CAC5711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416E46A-BF8A-4B5C-8579-69C239635B2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1217A76-0A05-4615-A590-A570C65915C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FF04CD5-FB42-426C-BBEA-C99F9781EB7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D3A4C95-FA40-411B-BCC7-C74EB3D3EA5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F95A6FC-A436-47CA-A845-54721A04CA2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B81878D-E3DA-433B-9FFB-A4874FFD418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89A7DBD-DC3A-449B-B499-DF8275B5A09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8309DDF-1163-464F-9E6A-1ECF051D9F6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8113B76-7743-403E-A2C7-9E58C819A46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4A1A625-09D0-4851-97B3-FD16B61F0D8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19EA989-A8D2-4664-86C1-642D2A0E37F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B89BB8D1-2EF5-450B-B9CB-0AE02CB030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26360768-7135-455F-8778-3362076690E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C94EA1FE-BA7E-4169-93DA-7EE89C24075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DD54C00-7CCB-43E8-8BC0-01C748B575B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D2CCE87-3610-46EF-9E11-C5BA139701F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6256EE1-0CE1-4523-AE0C-B7250834F0F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7D59A3D-D593-4B74-B82D-1956F2D8E80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4354778-4615-4DE9-8C2C-673C7189E9C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85FDC1D-A11D-4061-9608-57538FEECB1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496B5C1-53A2-463F-B4F0-BEE9F121505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D268968-FD9E-4BEB-B401-35285B9AE16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231F4568-3F89-4EB5-AD84-0AAD55683A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7C5D5895-3BF0-4396-BECF-536452DCC7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6A411EE0-D30A-4C96-96CE-35B36E9E6E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8073F7E-52F4-4F18-96DD-12469F11FFC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5B47B0E-6BDC-4484-8EF5-4622B9F634E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3DDD3BE-816B-404C-B20A-CBB28464F9D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3983390-510D-4710-B154-EDF82B3873D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16A1D01-C374-4478-B923-A8B1FBA0FE3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F9702A5-95A8-41C4-9157-9DB636655F9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4F75AF7-1732-425F-AB91-935CC87AD6E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586FCD4-0287-4C52-9015-0480391990D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66C9BE3C-AE48-446E-9360-D10EEDD4F0A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F3FBE225-675D-4ACD-A181-D620B7BDF6E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3B61DE7A-3C7F-42F0-BAD9-EE4DECD8EF1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7EA24C-54E4-43A6-8ED8-00A23BC48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230C5FA6-B7EF-4B4C-BA5F-B9026B1883E0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E909969D-FAA4-4CEA-A8CB-EA6C31D072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9F071138-0942-430A-BD79-82BE5050AB6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213BE9F4-3577-486E-B881-4BA099B184E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B346099B-C8E4-4F3B-9F8B-55F7F99704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33B16353-E47F-4132-AC33-517CAAB83E7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DAAB3354-B4F7-418D-9BBC-DAF8DEE0ED5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DDD1FF99-FDFD-4B48-A646-40D8CD8C58C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5DFDCD2D-DE2F-49FC-9A6C-22958624975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32D81865-D9F4-4F8D-8120-2B46130EE2E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2DC63824-EEF8-4DAF-ADDF-771A2ABDB8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3D36A721-4550-4D2F-A7B6-146E4EDC4E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ABFB353A-1BB1-4A33-8167-19608F8D47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2E66FBB5-423B-44E7-A9A5-98EA9DB830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A32BB82E-964E-4B33-9E9E-6EFC1125ED3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85AA0C18-10DA-41E9-B3A4-B1FC67ED645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7057CDC7-257A-4231-BC4E-56BF784E6A3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97CE11A2-E1DF-43D5-B24C-3E516FBCF0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69EB10C5-1486-4EC2-8327-C4461743E5B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B4CC007A-14C8-40AE-AF30-7B11048AF53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C919F7BE-2551-4DF6-BDAA-D5102FCED11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B8B1E6E0-2BB0-4B87-BD3D-41CB13E645B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A4AB8A5-A706-43C6-B446-1079E5CC7D6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CF5C2F94-B3D7-469F-A1DC-DA58DBD42FB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439C7817-2A3A-4A24-B931-A1988BF159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239913-87AE-4FFA-A5AF-09FCB2125B5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0B438AF-6474-4A71-845E-F34AE7A81AE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26863C-E87C-481A-9D2B-DC92DCE68D4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64CDF78-2AF8-4A60-BF09-9764BE0253C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B982AD5-DA05-4361-8202-6620D538322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50F7E71-AD46-4AC9-ABDE-2CDDE20B872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04528E1-6414-4C37-8FEF-619B698CCC0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65D1396-A9EC-4C79-AA9A-05233FC2039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2825738-D9CE-4DCC-8CE5-C2DF6E09CA6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CB25D7C-C993-4582-9382-92EA16F1F7E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17E7906-3E25-46A7-A1C9-BD648C8E070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C632C8F-BD9A-45CE-AC4F-BD1A43947BA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77F083A-2C3E-4EF4-83A8-42C11274D6B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C7329F8-F30E-4CA8-A220-358A6C84EAA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274E4FA-B6E0-49E3-94A2-AED443A9F03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9BE1D27-A63D-4DBD-A35E-A6C5FB4E6AC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8175CE8A-D57A-45A3-B823-B132C36C406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E17DB074-1BBD-48CB-9330-0B4C6869BD6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027E0202-8532-41F7-8287-C77D24FDAEA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2C42F24-7711-4D4C-877F-ADCC860A1E5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4EC32BD-DD86-41EF-8654-83C15F4489E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4731EE6-659F-4DD2-B426-8F7357B6EC4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F0F05DF-566F-4F50-A6AF-807442747AB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EC8C9D0-49E8-4B59-9B57-7C6C93BB876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EE8141F-EDAC-48CE-8586-14AA6AD0550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5D0044B-B6FC-4831-BEC7-53F69C837F7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1CA35E7-C61D-4C7E-821D-5603A6D07E2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0A20A125-C4FB-49F8-864B-3F16FC3993A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6628634F-DB2D-4ECB-92F9-6C2BAB30183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2C0674F7-3B68-4051-A7CB-9112530CE21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1A78A1A-6DE8-4D89-AA00-2199F06EB17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DC90158-44BB-4E46-92C8-9B983EF63A7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F8DAC49-D815-4256-B1B3-C18987623B8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3CF980F-DEB9-4073-8171-FC8D35B4007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9B56918-3FF3-4E5B-90A1-A111E23CC9E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69AA12A9-096A-4443-849C-053224CA8DC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64DA8E5-5B54-4597-963F-D95F24BF3CC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38E6868-F21F-4660-B834-51E5193B8BB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19E64AF8-994E-4CB9-BE03-4553BAD6E2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571F3007-7D19-47AF-8D88-C35180731DC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5985AC74-896D-4900-92A4-E52BD20D22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CB6DDA-9834-4CE9-BF63-B6FC93ED5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7544CD72-3F15-4A9C-A04D-97527C447AA2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C1A30888-FEC3-48A8-812E-513900533E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395B8AA9-9A27-4298-89AE-FC0A804D4FD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B7CA7B6B-BF20-4DE9-BB56-A31571DF3AF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CEE69DF2-A19B-4345-B4F0-26AAE68BD5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2CBBE6B6-1653-463B-9BF0-BA3CB5144D4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0C587A56-88A5-421F-85B8-1ECDACBB442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7B14AD44-A7C8-4908-86C3-7A219D51D0D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A3290A9E-A0EF-48B3-9654-E5943617AEC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B26D20FC-33ED-4EE1-9945-0C220E1B39C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F29D755-CB53-413B-8A18-479A707DF8C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3B45AC09-DEB2-4CFC-AE3B-61E9CFE16F5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664000B2-C12C-417B-98DD-992A6370F3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43C59DC8-6F32-4DC2-8D8B-C6E80DCF32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C466D005-A8E1-4E2E-899D-E46D0F4FBC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4E31AC67-7889-40A4-BA1A-1C575C27475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73003C61-A32E-4FE4-8A69-807016DC61F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0363D37F-EBBD-434C-9318-2280EF5D4E1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D795855B-A67A-46E4-8C83-D25DACFE32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C7F3B0D8-7F66-4169-8ED9-C8FE8AC3DE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D3F43849-7732-4A27-8C72-501810BFD4A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1B889C3C-741F-47C6-ABC0-393144E0C9D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1239B86B-72C9-4A2D-ACC4-1DBE2890939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1E33C31-4E3A-4986-AB47-47C59B3C37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3287EAD-A4DE-4A5B-A0BF-D2EC22D613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ED8C5B-4EAF-45BD-A946-20A29405DC4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54D21F3-6047-4B9F-A1E0-1B23C141EA0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E0203D-5DF7-4A8F-8D9A-80165534638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BD894CA-A154-431A-AEA7-70EA2D05EA7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E5D0D47-D688-45E6-8066-4BDCBBC325C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79E01B1-B784-4EF7-A77B-5CEE1C50C30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F18A257-1B1D-43A3-A53A-DD3B68666DD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EA7C82C-D920-4659-B331-F63065D7083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34FECBA-BA15-4D04-8773-73D108EF26B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68D9466-EABA-4E37-AE58-01468CB74A4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2B06B51-84D4-4902-9ACC-593CC956B84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55910B1-E8F2-495B-A1A5-F739549ADF4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88971B4-DEBD-4BB1-BF91-90F008AAC5C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62D0B4-52DF-4A18-BEE7-650AE63E25F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DB95F8C-8169-4D28-A399-F0E80D59AB5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A064283-D619-4D18-B417-DB4876F6EF2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C8305488-EE59-4AC7-B0D2-5D30CE0E7B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D54ED0E5-7275-48D8-89FC-4B9C9C5A24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BB5C9C73-741A-4163-90E9-009A36673FC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25885F4-A2A6-4D87-BCBC-1D7A9DE448F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ACFE7A1-3736-4E9F-A01C-0C7B5F3145E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8029EA9-2F89-4D9C-AD23-92D607A20AE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90594FB-6F3B-4C94-A1CC-20DEF3A4D5D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E6A479F-A03F-4532-880D-369F3A17DF0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6B26585-E8CF-447D-860F-12867193AF1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AC64DC6-517F-4A67-8F2E-812658370A8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3E2DEDE-0AFE-40BB-A4C8-5B19E752DE9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0C1408E6-722A-4F1C-91D0-0D12CDCCD38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B1081624-A94D-404C-A5BA-5D4CDD6527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832EFA77-B0A1-4166-822C-B13A34BF3D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3CC0172-0F39-462A-8201-C455376FD11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CF1483C-0D85-4C44-8978-276DBB7A548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E50A92D-BBA2-4635-AB11-8B501835D64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AC720AF-EAEF-4959-ACFF-4A2A6661CEE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1E37ABBC-A8A6-4961-9E94-02B6C2807D6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1D3E2E4-E358-45E1-8EE0-2D4EAC11D70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FE77D01-F784-4D75-A26D-7A5AA2F0DA4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9590DD8B-452B-4BD3-B796-9F15FE1DB10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6CD187DA-8FAF-47E8-86E7-43F0785BE7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9F8C7A33-BC81-4B04-B9D0-9592A222B5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C9A8D0E8-FCD6-41E5-BCC0-4A708C78185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D0DE29-14B8-4A66-94B5-C7AF2CFA5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7584F5CF-890A-467E-87FD-785725CBD282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C449F61C-E9BB-422E-83A5-1E50A9B15D7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D4C4C91E-4708-4560-BD72-18642E3AA0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B19C62B3-80B8-4B24-99B6-DD7E75CEFE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FE838719-5D96-4910-A303-404120F9DF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C82B4AD7-4890-4C47-90FB-9C30B497063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1F4AB7D3-AEB3-4126-8A55-4FA87FDFEA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74EFA752-CA89-457C-8907-E7C9EB632C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B9BDD9A2-E2B9-4C68-B88D-7BDEFA50CA8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0DEAC4F1-79D3-4117-AC71-785115A07F1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B3F10E5-30EF-4C14-AE51-00DB0AEC76F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B1AFA3ED-DAE9-41A1-AEF7-098C39045F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36AFAD16-A692-4407-8634-E4B8B13091B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9AF7C043-2C7F-4E28-8FCD-36BE47B017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05EF18C8-778A-4F7B-BCE8-858F4AA9B1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E05A3B24-BD0F-43EF-BB63-9C005990FAF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6A7AFBDE-B6EC-467A-88CD-71B0A7192A6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11BE7B1D-DF2B-4203-971E-9AF40B3EE3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0CC283C9-4C52-4056-A740-3B9AB841AF6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30A5FFE7-68BA-41BA-8675-0CB53B2D31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DA132F0F-4DB3-407D-A402-81164116FB6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DEFBF4C6-EED9-47E6-89C4-6A4F25DC90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5759E1A2-B9E5-4B94-8EDD-9B7E76232AB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83AD8EF-25E2-419E-B4A5-DCB158A225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473D9B14-6CE4-45CE-B6EA-21F670ABCDF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FAB138-73E8-4725-B4CF-8D36F2B1148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9B226AD-4694-4B2E-BD9B-8273FEFA3BC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2852C31-3107-44CD-8F17-82360E26242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B2D7AC-FD15-4394-85AA-E804802E360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C365BD9-C331-4C19-BE17-CB1308E4A9E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856D8B0-E2F3-410A-89DE-6F450BCBD9C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E07A608-1E19-44E3-AD76-C47F6A91257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6B73665-EA14-4B03-93DF-4E423B7086B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20DC17B-6CC0-47C7-93B7-09F4FDE5914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5BBB775-8C0E-4F81-AE52-A7636F6B229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B0E88AF-1603-408C-A84B-E4DAECD2B3A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C91F29F-1CFA-4D65-AA9B-B8CD256F376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B069951-5BA1-4716-B1DA-CCCE696BAF6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5D9D63B-E6F1-4CF7-9825-33D88235B1A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D7697A5-072D-412E-BE91-B7D413A0A41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9651430-CAA3-44AC-B72B-8B5F828D55D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E47AF9BB-436F-4BFA-8A6E-47ED869E01D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E614EAD0-B02D-4177-9345-B6C6049F0BD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D5396C75-C833-4B93-9828-893A0228DBD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D1209F8-0CA6-45FE-9DE6-62639A83ADD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3DF7E07-5857-4473-86EA-FBB8F7078E3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55B16CB-CC02-4A68-BC14-433973CB184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4DA1D6F-15E2-4ECF-9F2B-E3EF3E98C5F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8646E8E-A5AB-40FE-B47A-878B3A32EFE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9C06F79-522E-4D26-916E-32EF63D85C7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2C385CA-5B36-47CE-AF24-F11C9104D55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C2D0174-DA2D-47AC-B4BB-B08BE3C64F5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E3AB27B7-5B4B-4CA3-90F1-C18B5FF1DAB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99169B81-C271-4A8A-8882-81134201B1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FBB90CD4-7B5A-4B11-B291-9B4FCE50936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DB734D2-138E-4E80-8458-F1B1E142A0B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81BDA93-C9A9-4AEC-B75C-7DB0C283F52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0EE4FCC-03D9-47C5-B1EA-BB69B3BED61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5C0E64A-9EBC-4B38-A0D6-FEDB08B8FDD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29E0B0C-A374-41D1-B609-A2DBEFB61FB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40F57DB-ADC9-497D-8688-4C4DB468819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C909D0E-996D-4DB0-83E2-86AFA488226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727E392-6073-42ED-B291-3FB5185936C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EEDC5A4F-5688-4216-93FA-E2A8414D5F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188B00EA-FC86-4361-BC9C-FEB0941C543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06489EB0-7595-4230-82B7-EA9B7EC573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F0EFA3-3155-4997-A7E6-C621E5060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4E3C2C3C-BFBF-49DA-A9F4-95DC84057334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813E1192-E8BD-4D4B-BCEC-5CB716FDAD0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E8FE33BD-9D10-4732-897B-995B5D71C2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E168C7B8-C574-41EA-90F1-C1347C92AE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09DCCC80-4CC1-4A4D-9D2D-B0F8A97ABD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D7A558BA-F326-4A06-8EE1-E336A511492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0CB87F93-62DA-4E0C-9481-D3E4951F083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B3B2E41F-00DE-406B-A94C-CDECB8A6265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92C85E03-5B83-4CFE-9A76-431DECA3E98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E93A48D1-C187-4889-86A1-2C30C8B4CB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71FD5A4-1067-41D0-9A9B-19E2D55E8B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3A014098-D709-4EDA-8269-A7CFC888F2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B5A76084-DDF5-465C-A537-1802DC868B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EDE3F045-B34C-4B6A-A674-7986BC5A756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E8C905EB-8DD0-40FE-AFEB-2B1E4E30E69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7389115E-D1DA-486A-8376-C31E39C0F0C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DA27A685-A0CC-4D52-9C05-58025B0AA4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48068C2E-52A1-42DD-B3B3-4B1CA41D4E2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43E21914-F717-4CA0-A63E-69DA371C809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3017AE34-2ACE-4ADB-BE94-88BEB2CC198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D578F368-FF01-4D7A-800B-8FC5FD142B5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A4CE59CE-25FB-4451-97A2-68CEB0FDF6F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E84D0F86-2628-4F02-B968-7507D5140C5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B437B913-5164-4125-8069-1287F49BC51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46BF882B-AD4B-4F64-846C-1BE4867075B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09F1B4-E174-40CF-A1B6-7B1620319C7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A43ADF5-FAEB-4EBE-832A-B825AC1A609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3DE43C0-C8A9-4E47-82B1-659D45242B2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4197D46-C325-4B8B-A592-A38540C7AFA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4CFF395-84EA-4946-B05D-C33F2FE1FC5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A33A29F-F56D-482E-8A4E-8490C29FEDB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99F9055-69BD-4350-899D-933A904C53F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A225DFE-C0EA-4993-A5FD-73628B3679D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EBFCDAE-CF6F-4CA1-8EFA-EC0FBEFA139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F7A8BAE-A848-47D7-8399-84BB4074E0E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80C834C-10C9-428B-8104-14FAA348552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B760F8F-1C9A-42BB-B18F-52DB6CEC56C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3C82422-04F0-4A06-BCCB-7BFAC9B7513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F042754-334F-4B46-86A9-4AF39D347E8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42A4CA4-0CA7-45F7-B80B-3C0A45BF80C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8103D55-DCF5-42A9-8A88-722CDB7EBB5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CBBF8A42-831A-4BF1-B206-4BB8CEFD28F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108AE0A1-225D-4DF1-87B6-5AC9E180DB0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50BAE2D5-3224-442F-AB96-345F19C1E5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95AF839-D726-4B76-A268-2CDFBAE5997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31287BF-5A1A-47BD-8D1F-A1BC9B9174B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62FB697-3604-4C25-8D7C-BDECE8F8541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B2380EC-3843-4364-BD93-4617A437E5A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4ED58AC-08CE-465B-A652-B0635D7EFA3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25DBDDF-CCB3-4CEB-9A9F-0028957BDD4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C3DB286-9FE5-405A-A4AB-4D233F41E33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F7E8CA1-C7F8-4ED5-8725-1919EC3077D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B5B1DD9F-3856-4051-8B97-33D3DFA7DC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9E5D33FC-B6FE-4CFD-BBA2-771AC9940F9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044B4003-271F-47ED-AF85-2B3289B5CD4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7240786-40A3-4808-B393-F534140D1B6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19779AD-2D01-43C1-B766-DB2136518B5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91D85DF-5C8E-4D2D-9981-FFFE3B387E3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9C78D04-B77A-4A11-97C0-BE6B9038DBC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110084E-31A7-416C-BDF3-525EB4EA2F3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3C6D115-BC7C-4797-93B4-6D851DF23F4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60A7438-A41E-4C39-95B4-BB915BF6312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B0A2FFF-4129-49C9-86B7-AA7E8083B21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F5111480-AC1F-4244-BA85-20BE99C6B8E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BDE5008E-2936-48E7-9C27-B15996DCDFC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1E153E1D-117C-45D1-8B85-11C1580CD5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C1DBAE-9CEF-45E2-9AB4-C593A5240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F0A5B8A1-7D49-4798-9FFB-2AA40EBD3581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24B7BC02-2518-4D57-8717-2DFFA066D79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70DF4532-64AF-4A6B-8EDB-F1B0422E06E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8071259C-5470-4908-928A-48DF78362E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FC64D97A-7F26-4261-BEE8-E1D120A6156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D3AB0447-7050-49D5-8DF8-05A7B6BD53F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A1BB48AB-168F-4F6E-8BA6-E7F7F55E7ED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471725CF-BB24-473E-848B-17E339DC11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6981A352-167C-4BB6-B548-8199FFC603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21296169-AFCA-426B-AEAE-8F083E1B1D4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08E927F-8361-4EF3-AFF2-F62F609E5D0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8FA7D23F-9937-41B1-92A2-23DF22B44FD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55396249-A5D1-4BB9-BA5F-62CDE40D9B1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C5FCAE64-ED1F-46D4-89A9-45B3B7491DA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F73D1F93-8956-49F5-A35A-9FBF080EB6E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D744A8AD-F4FF-4062-ACAF-CCFB770443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7778D22E-C8F0-454A-A73B-D01FAB4C61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3B4E4959-0A29-4612-9159-B26EC961E6A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179BC456-2040-4045-A72A-4BCC4922972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42523A21-59B8-48AB-AB5F-BE2D9EBBB2A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BA830F1C-4354-4F9C-A0CF-D59E95F4B4A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7E95188D-7A58-41D7-A957-C4967068A36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FD949C11-575B-4B4E-94AC-8A112EFD52E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47EE297-A412-4D19-9EDC-3EBF7E86FE2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70C24429-4A0D-4D91-B8E4-C57ECD12F2D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D2970D-FBE8-4782-8FC9-362462F9908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DC7D5B2-A88E-4492-81FC-40BE6AACA1D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03F9992-0C5E-4CCF-A92B-64CC16D73CE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E36BD5E-BF09-4576-A5F9-398C49DE708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F2EDA0C-9557-4AFE-8FF2-7397ACAD6B9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CA14A8-D5E7-40E9-B52F-1C9BB7FD23C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EC2259-FD6F-4E99-AE1E-F939FB4D6EC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BCF68CD-145F-401F-A760-885344FD2A0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D8CE5AE-8454-46CC-9C35-EA358B4D373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07EE381-4933-485E-9C79-01B04A19426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49ECAEC-1801-4744-AD00-F8CA50DF217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832617-C0A9-4815-BE8A-22FDBA776E7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FE18A51-90C7-4A28-908F-51FBB9BB49D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A680592-B432-4C99-BD34-772AF9BB14E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AC49096-0A82-4CF8-8A66-47F7B58F0E2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22938B2-C204-437F-898C-2CEB74C770B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A4E8A1CC-39C4-49C8-BD46-F8EF53E9704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F8282ECE-A136-40AF-BF41-9540B942D66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713ED4CE-0538-4E50-853F-B807116BB5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6D2738B-5108-4983-AA2C-EF747A4CCA4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EFC87E8-9319-4959-9092-927EE26E6B3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996E60E-E4E6-48E6-BF98-84214782438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10629E0-1059-4367-8AD1-70CC59CFE5A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CB1DB17-5C2E-4002-B4F0-2662E07BCB6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CE3AE71-14B9-42A8-8601-FCBECF7C526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46EB557-9C5E-4A4C-846A-490D70927A7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38D010B-AD04-4087-BAF4-4A634735906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5826DBF9-C8FB-4CAB-A972-52C614C105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95E8D4F3-0F36-4D39-AABE-AFA737784AF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DAB6BA89-8708-4D37-B2F6-38E5258BBF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F77A232-CCAE-4829-88BB-6D4CC1EA632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A386251-ABAF-4F60-B006-A374C1C48DB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07BC40B-B14E-4766-BDEA-A0AF7F6D38F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F35A416-046C-4E80-9ECD-1824B08B604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09A859C-05AB-4AE6-9B92-91222B42189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B1DD20D-32EE-4EE8-A64F-5958EBD5F09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314F938-FCE5-4BB9-9AC4-13B8F5952F8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8A57D34-20E6-4833-8D62-9E34E64BEAD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8C19C810-BD48-4BC9-8102-C220047C6FF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5A9C93FD-E3AF-4238-AD13-8FC6D062CF9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61477F44-04AF-4AF5-B147-85E4BD34DA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9E0F8E-0F6A-4B1B-A277-4C768ECB9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B3D31FAB-6D34-4A88-B074-27858D4C3981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2724B546-8ED6-4B39-8C09-9CA30CFC167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BF1B1FD4-369C-49B2-BE3A-A1F56A7B38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C43F1747-B36D-41A1-A339-CF064D23AAF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412EA40F-2672-42BE-BA52-65801BD0389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B835D3B1-C3A9-443B-9D8A-16027CEA98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2FCA9BBD-D97C-43FD-B1F8-432E4752B39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A0F299CA-9AFA-4B94-B665-DD7AD74E24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FD3C74BE-D86D-4E2E-9236-C57B8F55C2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D5FA06EA-DF21-4B9A-9830-B13A2CD1DAA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5F1757E-63C6-454E-BAF0-93A1F6A1F63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5794E697-2C19-46F6-9386-F55F71CD181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11022D63-944E-4EF1-8186-158F0E71A73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6448601E-E98A-4586-9A81-AE4F65E83AF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2DABEE2D-AA63-455C-855C-56AFEFC6D66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9117B311-8072-499E-A656-E2F58C46122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2C4B3AB2-9592-4539-9A82-F2FD9E0D593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A20BF976-4C9D-4E0D-A8F6-A1BF21479ED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0FC64357-64D6-4E17-8691-5682FFBB40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FB988E63-F025-4CA1-9E9E-3FE42841FF6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5691B7BD-6F5D-49CB-A434-ABC11712B6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966F206D-FDC8-4317-9A3B-C0EB9C8BAA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3A497283-18E1-4FF0-B4E7-C3C03BB655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2F0CE0A3-45D1-4992-A1F0-C76F0DE1770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5836108-A21D-43E8-BFAA-ED3675B964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0ABD12-3346-43C7-ABF1-B680B0783E7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EEA0FE-0F01-4C6E-B743-002DCE228EB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BFB4226-01B9-48CA-ADAD-1191DDC649A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41E9CA8-31DC-4BB1-8E31-C1241E78DA8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50668BF-32E4-4719-B041-F3AA6259DCA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B5EBD20-B392-4C0A-A0AA-1789AEE36E7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358A4F0-5AFF-498B-8837-9BAF2EB133D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16C2078-E5FA-4E79-9398-21311F0A4B4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EF1E932-D84C-4232-AFCF-FA4833F2111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1BD101C-B5A6-4FC8-9304-02417B65E96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409EB9C-FC7F-4849-B0A1-94F9125DD28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7324D02-DEDC-4470-99DF-D65A3DF73BC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8C8F0EE-4AFA-4186-97E0-59B3414D978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916D678-A317-4C36-A65A-B76A283E0ED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043545D-B3D4-4E30-9996-BA8C8A4278E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0F4C4C8-7BF6-49F2-8D69-C193C3230E3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F7040818-3888-4C82-9CEE-521D7063C8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973638EC-C1A0-4061-8B40-A3505DF4ADE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27545A4E-42A1-4705-833B-0AACC331D8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EEFAFD8-B426-4396-A4AB-531898FC899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1298BA2-7B1C-45B3-B94B-7C088598BBE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02B76B7-B130-48A8-BCB2-F7F1AEAA1FD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7A1E03E-1B9B-4B4F-A316-09D2877DFDC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B5C5CBD-8EBA-47AC-AEDA-7BFDC16B987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9278644-650F-4320-93AB-AFBAB8B37FF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6E0D2B7-43E2-4725-BD17-C358E083C38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EED0539-0C39-4841-ADF7-EA6552FCAA3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DF78BFEF-8FDB-4E02-95A2-535962E4A5D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26861182-EB1D-4663-BF79-2F6DB0676BA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42940CD6-7809-41A0-BEAE-EA346BFF962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4A47E9A-81EC-449E-8A44-5D43F1F82CD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2EDAE86-7279-49C3-B4D7-45D7DBAC200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A23E9B5-DACB-4FE7-B503-3272C8DF3FE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EFE3B3A-CFFD-44F5-A38F-0FA3EECEECC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DF2F3FD-398B-4905-A598-953773D1B80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1AD45EC-1D0E-4256-BDF6-EA92C7C0C1C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40DB926-5472-4F2D-BA18-9816F0F522F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82A3693-F2D9-4467-A335-E466FC15542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89082EA1-82FD-4C35-B72A-FB62B73F55C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160BC230-DEC1-4EB4-A622-A8C3C4388D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47E51144-CAA1-4313-A710-B58DA2118B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46598B-41F5-41A5-90B5-B8B86A71F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2E218B75-D965-4D25-8808-6D077C9E96A0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732A5FD9-72CB-4116-9375-48ED02B2112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84E75195-7288-40B4-B25C-B5DF4FB12A3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5EEEEF0E-D510-4D76-BDAF-2E31BDCD51B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91E5518C-D15B-41A6-AECF-C8DC6B324CA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451C6BA7-81FD-433D-A69E-316ACBC5504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E766D39A-F28C-4036-B8EF-293AF7524B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57DC0416-0A6D-4351-B295-E8B4AC78FE2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F4522E04-89B1-4F01-A2DE-4900F3010E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0B3F4A54-4774-4575-87A7-6AF12E4C8AD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D7F61A5-97D2-4C98-B0AA-D5558798E1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558CF697-B0E1-424C-941C-F4D87CA2BDE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7AAD6347-B7ED-48F1-823B-B4C718FE712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3431B7D3-59DE-43FB-9516-52BB10E7C2B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F1B2E31C-EEFA-433A-BC5F-1EB70894D1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9D03FAEF-2E66-413C-9CCA-AB53FFFC7A9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8B2BFE3A-922A-4FB0-BC4B-53AC1CE097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E36F8CC0-C9EB-4DA0-AA8A-E224104E9B4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9914391C-552D-40E5-836B-FA93796918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75F34201-201C-4EF8-A713-414FC74F5F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33A55B12-6BC3-4563-8B7B-8170DA7E616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25EF898C-CA8D-4BDD-B4CB-F9B6CC270CE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32759D7-EC9D-41BC-9676-5F7E8478A27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EDC9030-2C9F-40ED-BC27-2A63CC3D81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21A4F9C4-1869-426F-8BA0-D511C56919A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3D2F71-178E-40E3-BCEE-08E08D6F987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9B0EF0E-9041-4A30-8D65-A5424DEF481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D461619-F3CC-4270-B333-C7AF07AA578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5CB46A4-1121-42D6-9DE9-30EE028888C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476DC9B-AB94-4924-A83C-FEF6B2708A6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6D82C0C-92AD-484C-B597-A7524FA02C1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CC60107-70DC-40F3-BBC3-78CFD25E09B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28B65C4-F8DC-41A8-9955-18736C80E18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F5EEDC8-8FF8-4386-A5A3-05C6349BAC2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59CA95A-53F2-4F3A-928F-EBBA795999D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59A9BA0-ABC8-49FE-9952-8900F93CBBA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D741927-505B-4116-AB0B-880B126C0AD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FD3CF85-DFF0-47D4-9687-13CA21B20CD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F48BFA5-95E2-4024-9703-878CC27608F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4A4BD21-425F-4555-B125-C11E0D20ABA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4AE0C95-75A8-4140-A09D-6538F0AD916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5B87A796-3BB3-4D7F-A3EB-7A4D12ACD9A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4516157A-DD3B-4663-A329-21167B9ED87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F1FCDC2E-E63D-4856-A3BD-2EF3614E6FD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A9EFB0A-5933-4BFB-B93C-9CDE1D26FB4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3D65375-DA3C-4366-BB0B-728C0B1E2E7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470CAE5-5A2E-42A7-89D3-7A806E7D39A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1AA0511-6844-4699-9417-322184DBFFB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6C7E23A-1C3F-4268-A55B-0291D2CF11D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5EA0741-6A48-493D-855E-16F5DF921BA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7E7A0FB-8420-4430-AB21-5B9F82559EF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FD0BC9C-2D46-4B24-93D3-69895B67F50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64C08CD5-56E0-4686-B8D2-93709B82A98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7E6C275F-CE8D-42D2-AADB-C801AEDD7C7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B5CB6AA3-4D64-4272-9ADA-962D29EB67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BE00188-9A1D-4537-9E22-E9867590495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E2B2760-0DAE-4103-A271-8446010015A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F3C160A-324E-4416-A551-9FDA92A5D47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DEB9708-65A2-4266-8498-355AD25BA19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92B574A-621B-48C2-B62A-28206541869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0D7AC5F-FBDC-455A-830F-116ED7DDD8F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D29627F-238E-418C-BC6A-2A70391DED7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84ED52F-C3A6-4656-8EF1-BFB0A529CA0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37350AF6-2DEE-4E59-AF60-3C1000C3DE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F31C3C6F-8997-4200-9701-1DEE64B5E5E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E2CA4232-9015-4489-8B95-DF75BEECAB1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90751B-09F0-4A65-AEF3-3F6AD6259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61AC96A4-8873-43F1-944D-194EEEAC7C99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1D2EB5A8-9F62-43F8-9A89-F5C24D8E516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36BF5DD5-5A48-45F3-96DC-067FF345925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875EC2E8-5FD2-4C9D-8840-825BB876D5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D5865554-F675-4F50-8482-95F1E88FCDB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1F77CEFC-749A-4F20-BFD1-DF15B1E2B7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54B3FEA0-506F-46A7-A41E-52514E013A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A652D030-6A02-4F41-961D-7EEC1164C55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B343390E-E6F5-431D-B8ED-8A4E1CE2FF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BB5BD483-19D8-4A21-8F13-4B1206AD7F6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C40B830-D25F-4221-80B9-E0E371AE77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55429528-2DE4-4D68-977A-CA337BD7582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2ECE04FA-5A45-4E21-A7D3-28F5C82D63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D1C2BF26-B588-4F9E-BE27-1458BAF77E4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48446776-F709-4E13-BE39-DB78FC26932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073BE9AA-AA10-42FB-B99C-EFADD1A322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C5AAD4C1-38CF-4560-B04B-0309A0CDDDB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1EA22A99-78D3-4B30-B4F2-2D6D780DC1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507431EB-202C-4C2B-A9D7-7FC27EDE7D8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FA054847-8D3A-4466-995A-2777AAD0299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2305AF21-855B-41ED-8456-FB74FEE2EC8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91A59348-B3B1-43E0-AFDE-7AE980AF9A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BCA0BB1-36BA-4EED-8C26-3C192911DE8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2C11C80F-2F26-4C40-8BCC-164C42AD2F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BC8E1456-D7EB-4570-98EC-37A9478BD56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B98853-B53C-4618-AA16-FAA3EBE95A0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FFE8AD-F410-4C9F-B59D-C877484A907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F4964DB-6187-4358-9612-BB572A25F32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CBEFD49-097F-4B5D-84CA-3E30F1833E0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EECADE5-B854-4478-8856-9673CDFAAAA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AEF3310-5363-4BB1-B641-E048605FF99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5DE25C3-66EC-425E-A0A6-C845E32902D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8C91C49-94AF-4F90-90CC-AEBC7C9EC56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762765-B027-453F-8739-6197E1C2F7B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FC9EECA-4960-4471-AD1F-6504D613FCD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827E50-DB82-4EB4-B2B9-E40B14A7140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D851618-0547-4852-AD45-66BBF84BC91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2076715-C941-42C9-8E0E-A82F65A0014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99102E0-6F23-4364-9AB8-597CBFE15E1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82D4CC1-DC17-4FD0-927E-F4F210176A7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B213CE2-41A1-424B-BB39-BE1BBF6BFBE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F543EAE0-751F-4771-83ED-F36E445F843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3D227955-E3F9-4D60-81B5-F6B088EC9EF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0CD04623-980A-4B15-8DEF-ADD4F9F43BB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7B0BDAD-D343-442F-A23B-E421526FBC3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E5AF3DA-2B8C-4AED-87A4-A9A0A7B9353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0B2490B-77EF-441C-B239-B092193972B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DC2D3D2-0BDF-4996-9C0A-4F606981682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A82D175-6B73-4C84-9963-6CE9CF4446A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484C2C5-5CA9-4315-826C-D3DA356DC03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500803E-95C3-4B61-B12F-0C311701D02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BB725BB-34D9-47DE-829C-4045BE841FE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FF63D3A4-AD52-4C77-9D61-FB66A6A2C12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00874AB4-939E-44CD-9EF8-7DAAE428137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D50883A1-23A0-4314-8298-D5E367469C8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2650BBD-737A-4583-B267-01ECC2BE903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4C9D8EF-1C20-4578-92C2-A2536C0ADFD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D68544B-427D-48A5-ADC1-CE8AC09D5EC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BBFBA6B-6A6C-4ACB-B81A-FC1A0DD848D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05DA2BF-2218-4BE2-8002-58AE1B89E8C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FA05FDD-DDD0-40E8-8CAB-A5D1F59E942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2E58261-F079-4527-B769-B099A104DC2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0F0E509-2032-43D9-9804-F6EDED7EC72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9E9C3D0B-C088-4B29-A4C9-80DE0764F4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D1553494-B1D8-45AA-81DA-0A3B81ED0B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BEF84B74-43C2-4263-AACD-8D891D2E26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71CE39-4711-4885-85E5-753664457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D465DD15-ED22-48F9-B9DF-0EDA8CEED0AE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1411FF71-5E94-4A32-9081-6301F198A5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5FD54606-6130-4DA5-AE10-DDB3E29006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DD25A3C7-80E6-4F85-AE25-DC0D278C49F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288F94DD-FC74-46F4-9E8F-B3B5C37FDA6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2263F03B-FA34-470A-A77B-158549EF4E0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13209DD7-EF0E-4832-9EEA-CC22C3D298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643881E3-EF5E-4FD7-8C8A-89450FB00BC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98019806-0A98-4D54-BFAB-1919B0B701A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98A4CD97-2C87-4FD0-B435-2A023E3C4FE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576FC63-9736-4E82-AC30-6A3F8ECB7FE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345B9EF2-0377-420A-BF0F-2D7305B5264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C1BC8A59-EBAB-44CF-9BBE-E2A8B5CDC3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B1951BD6-91B5-41D2-9793-D412A05DD5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DAEBF071-B73D-4B12-AF21-2C7C1AA09D0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0540FE09-4758-4CA5-A7AC-63D9E168AA6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53688081-3FD2-49CE-829D-F9B866C27D9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397532FB-8271-47F7-87FA-788732D8A16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B462BC77-6BCD-4C3E-A0CE-9602B88A768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58569C8D-C394-43B6-A193-A815B4843BA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BBF069F7-AA41-459C-946D-4E313EC5B12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CF401CCC-27D9-4748-BEEB-81D89A43D10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F67CF5D-1F32-4BF7-8FD6-0846810FBFE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38B8825C-5700-48EE-9505-CB67BE7613C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14253B3D-A01B-437F-836C-F59DAC0BE80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7A697C3-753A-40B0-A9A2-44C7E7B1B5C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5BDB5DE-B814-40A4-B524-1CC4AFF95E1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577E13A-1300-45BB-9614-AE96A3AF4CF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D6CF300-89F6-48B7-A444-39BAB703E33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D8F749F-8B11-443A-97AA-A4B7850DCEE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E6B859F-16B4-4772-A40B-9E5B148A8BB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279027F-1BFC-476C-9A00-3FF99E77D34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CECEF2A-665F-443F-9407-3057B2B1D7E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28349A9-26D5-46CA-9261-14366BA6D3C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10AA23D-31E2-4143-928F-C7802EE46F9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001019B-AFDA-46CE-AF45-FDA845CC5F3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1F2BCF4-C1B0-4596-A477-B14631C249B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2EDB6C2-A5F7-44B0-BDFD-2C7AC35924B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1C7802C-9765-460B-88BC-EAAFD5FB334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1034C1B-5079-4811-BD94-EDB31199CA3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8070591-0EEE-431F-B3CC-DACE4EEC06D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27B84E58-4C01-424A-8A8A-9BE29928210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E517F2BD-CA8C-4783-B893-B3EE5ACD9F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FE6BEA69-D1CD-40CC-8950-E1514A0A969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7C4AFD4-68B4-43B7-ABFB-45A7619A045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387472F-F658-40AE-87D4-190621C4491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F5D8271-3EC7-4A6E-AD04-B5F8CDDECE8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1ED4D17-9AC8-409B-9E17-33503F67216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34F7307-908B-4431-A852-AFD3EDB82F1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CB7DCD5-BD27-4C96-A208-573E4152F47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2704FAC-D6FB-42F9-AE0B-355C91076C4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BE48C48-C7F9-4BB4-8055-2027D560184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F52D209D-7C22-4879-A252-C406F4CCBDF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2F3B7A9C-E680-46A5-9816-40C64F505CD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39DE812C-C277-410E-92D1-D67CDFC999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2A57E14-2E60-4929-BD76-6A3FA64F6AB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16921C71-E301-410B-87AC-4F831871382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5C1A828-3C57-484A-89B1-E93188C7100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EC67553-8BF0-40D3-889C-63818A3D488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C6A79F5-50E8-45B8-8BA1-31039494408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C7B91B0-5252-4205-B5B9-01CAE939E04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0332E71-ECDE-40B0-A0D5-69784C5F117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F677324-9452-4CF7-B5ED-85176464163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A5F7EC69-556F-4FB4-BAC6-65D7043339E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EADA479E-54BF-4DD1-B12B-13CBEDA8678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B4CEA4FA-B213-4730-A631-AB037ED90E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ADF34-2BCD-4D92-B3A0-8803E31C2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DCA31EE8-175C-4876-9323-1919863D3632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05BCBDA3-B5D2-48B0-BAB5-C5861E8BD9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567080A3-F0E7-454B-84EF-3E6AF598C70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E4E8AA03-0BF7-49F4-AB02-C2837CB84FA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EC299710-0AE0-41FC-8AE0-176B020EA43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470ECD33-E19E-48C6-B14C-700F6D470A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76E4F5E0-01E3-4346-ACB3-181189278A4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7E2D560F-FAE7-4945-A09D-DE658791489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F43BDA12-0D20-4287-9A5F-78D1346D07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DD940AF3-588E-4426-BFB5-831C00D961F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AFFAF01-3F77-4352-BB14-754DD46DE1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43556E9B-5AE2-478B-ADFF-ADD793D4400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452C4F23-7516-49B6-A2D7-370FAAD256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6E22BAD6-4CD0-43DC-9C3D-067CF35D889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D9F30181-79AE-4362-9C8E-580FDE5F06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C0034C94-B3DA-41DC-BFEB-61B6084C5D3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6587ECC6-DFF1-4F60-9AF2-EBCF6CA67C9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25C4B238-A89E-4567-9BFC-1377FAFE696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5518E10A-744E-4405-84D7-29B2762B2B4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53DF1FC5-E924-47A8-A6B9-6031FDED82A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4BEC7A07-BDD0-4535-B36C-29279595B13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B7F3FC29-F463-44A5-B244-BDF13422086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E5A238BD-62F8-478C-BBBE-9F1D3CC0065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0EA24CE-AA43-4870-B5C5-151F2284D21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89F43834-6058-4ED3-A394-75A316ABBF4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Nghĩa View" id="{A0D84891-C208-4887-AACA-FB22FC2FE014}">
    <nsvFilter filterId="{00000000-0009-0000-0000-000000000000}" ref="A2:E55" tableId="0">
      <columnFilter colId="4">
        <filter colId="4">
          <x:filters>
            <x:filter val="Nguyễn Đức Nghĩa"/>
          </x:filters>
        </filter>
      </columnFilter>
      <sortRules>
        <sortRule colId="0">
          <sortCondition ref="A2:A55"/>
        </sortRule>
      </sortRules>
    </nsvFilter>
  </namedSheetView>
</namedSheetView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3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4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4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4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4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4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4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5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5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5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5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5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5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5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5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5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6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6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6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6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6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6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6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6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6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7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F82"/>
  <sheetViews>
    <sheetView workbookViewId="0">
      <pane xSplit="3" ySplit="2" topLeftCell="AB3" activePane="bottomRight" state="frozen"/>
      <selection pane="topRight" activeCell="D1" sqref="D1"/>
      <selection pane="bottomLeft" activeCell="A3" sqref="A3"/>
      <selection pane="bottomRight" activeCell="B3" sqref="B3"/>
    </sheetView>
  </sheetViews>
  <sheetFormatPr defaultRowHeight="15.75"/>
  <cols>
    <col min="1" max="1" width="8.42578125" style="12" bestFit="1" customWidth="1"/>
    <col min="2" max="2" width="102.140625" style="1" customWidth="1"/>
    <col min="3" max="3" width="17.140625" style="67" customWidth="1"/>
    <col min="4" max="4" width="10.7109375" bestFit="1" customWidth="1"/>
    <col min="5" max="5" width="11" style="74" bestFit="1" customWidth="1"/>
    <col min="6" max="6" width="30.85546875" bestFit="1" customWidth="1"/>
  </cols>
  <sheetData>
    <row r="1" spans="1:84" s="20" customFormat="1" ht="15">
      <c r="A1" s="227" t="s">
        <v>0</v>
      </c>
      <c r="B1" s="227"/>
      <c r="C1" s="76" t="s">
        <v>1</v>
      </c>
      <c r="E1" s="72"/>
      <c r="F1" s="75" t="s">
        <v>2</v>
      </c>
    </row>
    <row r="2" spans="1:84" s="21" customFormat="1">
      <c r="A2" s="19" t="s">
        <v>3</v>
      </c>
      <c r="B2" s="30" t="s">
        <v>4</v>
      </c>
      <c r="C2" s="66" t="s">
        <v>5</v>
      </c>
      <c r="D2" s="21" t="s">
        <v>6</v>
      </c>
      <c r="E2" s="73" t="s">
        <v>7</v>
      </c>
    </row>
    <row r="3" spans="1:84" ht="15">
      <c r="A3" s="12">
        <v>1</v>
      </c>
      <c r="B3" s="32">
        <f>'1'!$D$7</f>
        <v>0</v>
      </c>
      <c r="C3" s="23" t="str">
        <f>'1'!$D$9</f>
        <v>Từ 17/8/2026</v>
      </c>
      <c r="D3" s="22" t="str">
        <f>'1'!$D$10</f>
        <v>VNBA</v>
      </c>
      <c r="E3" s="22">
        <f>'1'!$D$11</f>
        <v>0</v>
      </c>
      <c r="F3" s="22"/>
      <c r="G3" s="22"/>
      <c r="H3" s="22"/>
      <c r="I3" s="23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4"/>
      <c r="Z3" s="22"/>
      <c r="AA3" s="22"/>
      <c r="AB3" s="22"/>
      <c r="AC3" s="22"/>
      <c r="AD3" s="22"/>
      <c r="AE3" s="24"/>
      <c r="AF3" s="22"/>
      <c r="AG3" s="24"/>
      <c r="AH3" s="22"/>
      <c r="AI3" s="22"/>
      <c r="AJ3" s="23"/>
      <c r="AK3" s="23"/>
      <c r="AL3" s="25"/>
      <c r="AM3" s="25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</row>
    <row r="4" spans="1:84">
      <c r="A4" s="12">
        <v>2</v>
      </c>
      <c r="B4" s="31">
        <f>'2'!$D$7</f>
        <v>0</v>
      </c>
      <c r="C4" s="23" t="str">
        <f>'2'!$D9</f>
        <v>C17/8/2026</v>
      </c>
      <c r="D4" s="22" t="str">
        <f>'2'!$D$10</f>
        <v>VNBA</v>
      </c>
      <c r="E4" s="22">
        <f>'2'!$D$11</f>
        <v>0</v>
      </c>
      <c r="F4" s="22"/>
    </row>
    <row r="5" spans="1:84">
      <c r="A5" s="12">
        <v>3</v>
      </c>
      <c r="B5" s="31">
        <f>'3'!$D$7</f>
        <v>0</v>
      </c>
      <c r="C5" s="23" t="str">
        <f>'3'!$D9</f>
        <v>18/8/2026</v>
      </c>
      <c r="D5" s="22" t="str">
        <f>'3'!$D$10</f>
        <v>VNBA</v>
      </c>
      <c r="E5" s="22">
        <f>'3'!$D$11</f>
        <v>0</v>
      </c>
      <c r="F5" s="22"/>
    </row>
    <row r="6" spans="1:84">
      <c r="A6" s="12">
        <v>4</v>
      </c>
      <c r="B6" s="31">
        <f>'4'!$D$7</f>
        <v>0</v>
      </c>
      <c r="C6" s="23" t="str">
        <f>'4'!$D9</f>
        <v>19/8/2026</v>
      </c>
      <c r="D6" s="23" t="str">
        <f>'4'!$D$10</f>
        <v xml:space="preserve">TTĐT </v>
      </c>
      <c r="E6" s="22">
        <f>'4'!$D$11</f>
        <v>0</v>
      </c>
      <c r="F6" s="22"/>
    </row>
    <row r="7" spans="1:84">
      <c r="A7" s="12">
        <v>5</v>
      </c>
      <c r="B7" s="31">
        <f>'5'!$D$7</f>
        <v>0</v>
      </c>
      <c r="C7" s="23" t="str">
        <f>'5'!$D$9</f>
        <v>S18/8/2026</v>
      </c>
      <c r="D7" s="22" t="str">
        <f>'5'!$D$10</f>
        <v>VNBA</v>
      </c>
      <c r="E7" s="22">
        <f>'5'!$D$11</f>
        <v>0</v>
      </c>
      <c r="F7" s="23"/>
    </row>
    <row r="8" spans="1:84">
      <c r="A8" s="12">
        <v>6</v>
      </c>
      <c r="B8" s="31">
        <f>'6'!$D$7</f>
        <v>0</v>
      </c>
      <c r="C8" s="23" t="str">
        <f>'6'!$D$9</f>
        <v>C18/8/2026</v>
      </c>
      <c r="D8" s="22" t="str">
        <f>'6'!$D$10</f>
        <v>VNBA</v>
      </c>
      <c r="E8" s="22">
        <f>'6'!$D$11</f>
        <v>0</v>
      </c>
      <c r="F8" s="22"/>
    </row>
    <row r="9" spans="1:84">
      <c r="A9" s="12">
        <v>7</v>
      </c>
      <c r="B9" s="31">
        <f>'7'!$D$7</f>
        <v>0</v>
      </c>
      <c r="C9" s="23" t="str">
        <f>'7'!$D$9</f>
        <v>S18/8/2026</v>
      </c>
      <c r="D9" s="22" t="str">
        <f>'7'!$D$10</f>
        <v xml:space="preserve">TTĐT </v>
      </c>
      <c r="E9" s="22">
        <f>'7'!$D$11</f>
        <v>0</v>
      </c>
      <c r="F9" s="22"/>
    </row>
    <row r="10" spans="1:84">
      <c r="A10" s="12">
        <v>8</v>
      </c>
      <c r="B10" s="31">
        <f>'8'!$D$7</f>
        <v>0</v>
      </c>
      <c r="C10" s="23" t="str">
        <f>'8'!$D$9</f>
        <v>S18/8/2026</v>
      </c>
      <c r="D10" s="22" t="str">
        <f>'8'!$D$10</f>
        <v xml:space="preserve">TTĐT </v>
      </c>
      <c r="E10" s="22">
        <f>'8'!$D$11</f>
        <v>0</v>
      </c>
      <c r="F10" s="22"/>
    </row>
    <row r="11" spans="1:84">
      <c r="A11" s="12">
        <v>9</v>
      </c>
      <c r="B11" s="31">
        <f>'9'!$D$7</f>
        <v>0</v>
      </c>
      <c r="C11" s="23" t="str">
        <f>'9'!$D$9</f>
        <v>S17/8/2026</v>
      </c>
      <c r="D11" s="22" t="str">
        <f>'9'!$D$10</f>
        <v xml:space="preserve">TTĐT </v>
      </c>
      <c r="E11" s="22">
        <f>'9'!$D$11</f>
        <v>0</v>
      </c>
      <c r="F11" s="22"/>
    </row>
    <row r="12" spans="1:84">
      <c r="A12" s="12">
        <v>10</v>
      </c>
      <c r="B12" s="31">
        <f>'10'!$D$7</f>
        <v>0</v>
      </c>
      <c r="C12" s="23" t="str">
        <f>'10'!$D$9</f>
        <v>C17/8/2026</v>
      </c>
      <c r="D12" s="22" t="str">
        <f>'10'!$D$10</f>
        <v xml:space="preserve">TTĐT </v>
      </c>
      <c r="E12" s="22">
        <f>'10'!$D$11</f>
        <v>0</v>
      </c>
      <c r="F12" s="22"/>
    </row>
    <row r="13" spans="1:84" ht="31.5">
      <c r="A13" s="12">
        <v>11</v>
      </c>
      <c r="B13" s="31">
        <f>'11'!$D$7</f>
        <v>0</v>
      </c>
      <c r="C13" s="23" t="str">
        <f>'11'!$D$9</f>
        <v>S18/8/2026</v>
      </c>
      <c r="D13" s="22" t="str">
        <f>'11'!$D$10</f>
        <v xml:space="preserve">TTĐT </v>
      </c>
      <c r="E13" s="22">
        <f>'11'!$D$11</f>
        <v>0</v>
      </c>
      <c r="F13" s="22"/>
    </row>
    <row r="14" spans="1:84" ht="31.5">
      <c r="A14" s="12">
        <v>12</v>
      </c>
      <c r="B14" s="31">
        <f>'12'!$D$7</f>
        <v>0</v>
      </c>
      <c r="C14" s="23" t="str">
        <f>'12'!$D$9</f>
        <v>S17/8/2026</v>
      </c>
      <c r="D14" s="22" t="str">
        <f>'12'!$D$10</f>
        <v xml:space="preserve">TTĐT </v>
      </c>
      <c r="E14" s="22">
        <f>'12'!$D$11</f>
        <v>0</v>
      </c>
      <c r="F14" s="22"/>
    </row>
    <row r="15" spans="1:84">
      <c r="A15" s="12">
        <v>13</v>
      </c>
      <c r="B15" s="31">
        <f>'13'!$D$7</f>
        <v>0</v>
      </c>
      <c r="C15" s="23" t="str">
        <f>'13'!$D$9</f>
        <v>S21/8/2026</v>
      </c>
      <c r="D15" s="22" t="str">
        <f>'13'!$D$10</f>
        <v xml:space="preserve">TTĐT </v>
      </c>
      <c r="E15" s="22">
        <f>'13'!$D$11</f>
        <v>0</v>
      </c>
      <c r="F15" s="22"/>
    </row>
    <row r="16" spans="1:84" ht="31.5">
      <c r="A16" s="12">
        <v>14</v>
      </c>
      <c r="B16" s="31">
        <f>'14'!$D$7</f>
        <v>0</v>
      </c>
      <c r="C16" s="23" t="str">
        <f>'14'!$D$9</f>
        <v>19/8/2026</v>
      </c>
      <c r="D16" s="22" t="str">
        <f>'14'!$D$10</f>
        <v xml:space="preserve">TTĐT </v>
      </c>
      <c r="E16" s="22">
        <f>'14'!$D$11</f>
        <v>0</v>
      </c>
      <c r="F16" s="22"/>
    </row>
    <row r="17" spans="1:6" ht="31.5">
      <c r="A17" s="12">
        <v>15</v>
      </c>
      <c r="B17" s="31">
        <f>'15'!$D$7</f>
        <v>0</v>
      </c>
      <c r="C17" s="23" t="str">
        <f>'15'!$D$9</f>
        <v>20/8/2026</v>
      </c>
      <c r="D17" s="22" t="str">
        <f>'15'!$D$10</f>
        <v xml:space="preserve">TTĐT </v>
      </c>
      <c r="E17" s="22">
        <f>'15'!$D$11</f>
        <v>0</v>
      </c>
      <c r="F17" s="22"/>
    </row>
    <row r="18" spans="1:6" ht="31.5">
      <c r="A18" s="12">
        <v>16</v>
      </c>
      <c r="B18" s="31">
        <f>'16'!$D$7</f>
        <v>0</v>
      </c>
      <c r="C18" s="23" t="str">
        <f>'16'!$D$9</f>
        <v>C21/8/2026</v>
      </c>
      <c r="D18" s="22" t="str">
        <f>'16'!$D$10</f>
        <v xml:space="preserve">TTĐT </v>
      </c>
      <c r="E18" s="22">
        <f>'16'!$D$11</f>
        <v>0</v>
      </c>
      <c r="F18" s="22"/>
    </row>
    <row r="19" spans="1:6">
      <c r="A19" s="12">
        <v>17</v>
      </c>
      <c r="B19" s="31">
        <f>'17'!$D$7</f>
        <v>0</v>
      </c>
      <c r="C19" s="23" t="str">
        <f>'17'!$D$9</f>
        <v>C17/8/2026</v>
      </c>
      <c r="D19" s="22" t="str">
        <f>'17'!$D$10</f>
        <v xml:space="preserve">TTĐT </v>
      </c>
      <c r="E19" s="22">
        <f>'17'!$D11</f>
        <v>0</v>
      </c>
      <c r="F19" s="22"/>
    </row>
    <row r="20" spans="1:6">
      <c r="A20" s="12">
        <v>18</v>
      </c>
      <c r="B20" s="31">
        <f>'18'!$D$7</f>
        <v>0</v>
      </c>
      <c r="C20" s="23" t="str">
        <f>'18'!$D$9</f>
        <v>S17/8/2026</v>
      </c>
      <c r="D20" s="22" t="str">
        <f>'18'!$D$10</f>
        <v xml:space="preserve">TTĐT </v>
      </c>
      <c r="E20" s="22">
        <f>'18'!$D$11</f>
        <v>0</v>
      </c>
      <c r="F20" s="22"/>
    </row>
    <row r="21" spans="1:6">
      <c r="A21" s="12">
        <v>19</v>
      </c>
      <c r="B21" s="31">
        <f>'19'!$D$7</f>
        <v>0</v>
      </c>
      <c r="C21" s="23" t="str">
        <f>'19'!$D$9</f>
        <v>18/8/2026</v>
      </c>
      <c r="D21" s="22" t="str">
        <f>'19'!$D$10</f>
        <v>VNBA</v>
      </c>
      <c r="E21" s="22">
        <f>'19'!$D$11</f>
        <v>0</v>
      </c>
      <c r="F21" s="22"/>
    </row>
    <row r="22" spans="1:6">
      <c r="A22" s="12">
        <v>20</v>
      </c>
      <c r="B22" s="31">
        <f>'20'!$D$7</f>
        <v>0</v>
      </c>
      <c r="C22" s="25" t="str">
        <f>'20'!$D$9</f>
        <v>C20/8/2026</v>
      </c>
      <c r="D22" s="24" t="str">
        <f>'20'!$D$10</f>
        <v xml:space="preserve">TTĐT </v>
      </c>
      <c r="E22" s="24">
        <f>'20'!$D$11</f>
        <v>0</v>
      </c>
      <c r="F22" s="22"/>
    </row>
    <row r="23" spans="1:6">
      <c r="A23" s="12">
        <v>21</v>
      </c>
      <c r="B23" s="31">
        <f>'21'!$D$7</f>
        <v>0</v>
      </c>
      <c r="C23" s="23" t="str">
        <f>'21'!$D$9</f>
        <v>17/8/2026</v>
      </c>
      <c r="D23" s="22" t="str">
        <f>'21'!$D$10</f>
        <v>VNBA</v>
      </c>
      <c r="E23" s="22">
        <f>'21'!$D$11</f>
        <v>0</v>
      </c>
      <c r="F23" s="24"/>
    </row>
    <row r="24" spans="1:6">
      <c r="A24" s="12">
        <v>22</v>
      </c>
      <c r="B24" s="31">
        <f>'22'!$D$7</f>
        <v>0</v>
      </c>
      <c r="C24" s="23" t="str">
        <f>'22'!$D$9</f>
        <v>17-19/8/2026</v>
      </c>
      <c r="D24" s="22" t="str">
        <f>'22'!$D$10</f>
        <v xml:space="preserve">TTĐT </v>
      </c>
      <c r="E24" s="22">
        <f>'22'!$D$11</f>
        <v>0</v>
      </c>
      <c r="F24" s="22"/>
    </row>
    <row r="25" spans="1:6" s="36" customFormat="1" ht="15">
      <c r="A25" s="37">
        <v>23</v>
      </c>
      <c r="B25" s="38">
        <f>'23'!$D$7</f>
        <v>0</v>
      </c>
      <c r="C25" s="23" t="str">
        <f>'23'!$D$9</f>
        <v>20-S21/8/2026</v>
      </c>
      <c r="D25" s="22" t="str">
        <f>'23'!$D$10</f>
        <v xml:space="preserve">TTĐT </v>
      </c>
      <c r="E25" s="22">
        <f>'23'!$D$11</f>
        <v>0</v>
      </c>
      <c r="F25" s="22"/>
    </row>
    <row r="26" spans="1:6">
      <c r="A26" s="12">
        <v>24</v>
      </c>
      <c r="B26" s="31">
        <f>'24'!$D$7</f>
        <v>0</v>
      </c>
      <c r="C26" s="23" t="str">
        <f>'24'!$D$9</f>
        <v>S18/8/2026</v>
      </c>
      <c r="D26" s="22" t="str">
        <f>'24'!$D$10</f>
        <v xml:space="preserve">TTĐT </v>
      </c>
      <c r="E26" s="22">
        <f>'24'!$D$11</f>
        <v>0</v>
      </c>
      <c r="F26" s="22"/>
    </row>
    <row r="27" spans="1:6">
      <c r="A27" s="12">
        <v>25</v>
      </c>
      <c r="B27" s="31">
        <f>'25'!$D$7</f>
        <v>0</v>
      </c>
      <c r="C27" s="23" t="str">
        <f>'25'!$D$9</f>
        <v>C18/8/2026</v>
      </c>
      <c r="D27" s="22" t="str">
        <f>'25'!$D$10</f>
        <v xml:space="preserve">TTĐT </v>
      </c>
      <c r="E27" s="22">
        <f>'25'!$D$11</f>
        <v>0</v>
      </c>
      <c r="F27" s="22"/>
    </row>
    <row r="28" spans="1:6">
      <c r="A28" s="12">
        <v>26</v>
      </c>
      <c r="B28" s="31">
        <f>'26'!$D$7</f>
        <v>0</v>
      </c>
      <c r="C28" s="25" t="str">
        <f>'26'!$D$9</f>
        <v>20-S21/8/2026</v>
      </c>
      <c r="D28" s="24" t="str">
        <f>'26'!$D$10</f>
        <v>VNBA</v>
      </c>
      <c r="E28" s="24">
        <f>'26'!$D$11</f>
        <v>0</v>
      </c>
      <c r="F28" s="22"/>
    </row>
    <row r="29" spans="1:6">
      <c r="A29" s="12">
        <v>27</v>
      </c>
      <c r="B29" s="31">
        <f>'27'!$D$7</f>
        <v>0</v>
      </c>
      <c r="C29" s="23" t="str">
        <f>'27'!$D$9</f>
        <v>C18/8/2026</v>
      </c>
      <c r="D29" s="22" t="str">
        <f>'27'!$D$10</f>
        <v xml:space="preserve">TTĐT </v>
      </c>
      <c r="E29" s="22">
        <f>'27'!$D$11</f>
        <v>0</v>
      </c>
      <c r="F29" s="24"/>
    </row>
    <row r="30" spans="1:6">
      <c r="A30" s="12">
        <v>28</v>
      </c>
      <c r="B30" s="31">
        <f>'28'!$D$7</f>
        <v>0</v>
      </c>
      <c r="C30" s="25" t="str">
        <f>'28'!$D$9</f>
        <v>C20/8/2026</v>
      </c>
      <c r="D30" s="24" t="str">
        <f>'28'!$D$10</f>
        <v xml:space="preserve">TTĐT </v>
      </c>
      <c r="E30" s="24">
        <f>'28'!$D$11</f>
        <v>0</v>
      </c>
      <c r="F30" s="22"/>
    </row>
    <row r="31" spans="1:6">
      <c r="A31" s="12">
        <v>29</v>
      </c>
      <c r="B31" s="31">
        <f>'29'!$D$7</f>
        <v>0</v>
      </c>
      <c r="C31" s="23" t="str">
        <f>'29'!$D$9</f>
        <v>19/8/2026</v>
      </c>
      <c r="D31" s="22" t="str">
        <f>'29'!$D$10</f>
        <v xml:space="preserve">TTĐT </v>
      </c>
      <c r="E31" s="22">
        <f>'29'!$D$11</f>
        <v>0</v>
      </c>
      <c r="F31" s="24"/>
    </row>
    <row r="32" spans="1:6">
      <c r="A32" s="12">
        <v>30</v>
      </c>
      <c r="B32" s="31">
        <f>'30'!$D$7</f>
        <v>0</v>
      </c>
      <c r="C32" s="23" t="str">
        <f>'30'!$D$9</f>
        <v>20/8/2026</v>
      </c>
      <c r="D32" s="22" t="str">
        <f>'30'!$D$10</f>
        <v xml:space="preserve">TTĐT </v>
      </c>
      <c r="E32" s="22">
        <f>'30'!$D$11</f>
        <v>0</v>
      </c>
      <c r="F32" s="22"/>
    </row>
    <row r="33" spans="1:6">
      <c r="A33" s="12">
        <v>31</v>
      </c>
      <c r="B33" s="31">
        <f>'31'!$D$7</f>
        <v>0</v>
      </c>
      <c r="C33" s="23" t="str">
        <f>'31'!$D$9</f>
        <v>S18/8/2026</v>
      </c>
      <c r="D33" s="23" t="str">
        <f>'31'!$D$10</f>
        <v xml:space="preserve">TTĐT </v>
      </c>
      <c r="E33" s="22">
        <f>'31'!$D$11</f>
        <v>0</v>
      </c>
      <c r="F33" s="22"/>
    </row>
    <row r="34" spans="1:6">
      <c r="A34" s="12">
        <v>32</v>
      </c>
      <c r="B34" s="31">
        <f>'32'!$D$7</f>
        <v>0</v>
      </c>
      <c r="C34" s="23" t="str">
        <f>'32'!$D$9</f>
        <v>S18/8/2026</v>
      </c>
      <c r="D34" s="23" t="str">
        <f>'32'!$D$10</f>
        <v xml:space="preserve">TTĐT </v>
      </c>
      <c r="E34" s="22">
        <f>'32'!$D$11</f>
        <v>0</v>
      </c>
      <c r="F34" s="23"/>
    </row>
    <row r="35" spans="1:6">
      <c r="A35" s="12">
        <v>33</v>
      </c>
      <c r="B35" s="31">
        <f>'33'!$D$7</f>
        <v>0</v>
      </c>
      <c r="C35" s="25" t="str">
        <f>'33'!$D$9</f>
        <v>C18/8/2026</v>
      </c>
      <c r="D35" s="25" t="str">
        <f>'33'!$D$10</f>
        <v xml:space="preserve">TTĐT </v>
      </c>
      <c r="E35" s="24">
        <f>'33'!$D$11</f>
        <v>0</v>
      </c>
      <c r="F35" s="23"/>
    </row>
    <row r="36" spans="1:6">
      <c r="A36" s="12">
        <v>34</v>
      </c>
      <c r="B36" s="31">
        <f>'34'!$D$7</f>
        <v>0</v>
      </c>
      <c r="C36" s="25" t="str">
        <f>'34'!$D$9</f>
        <v>C18/8/2026</v>
      </c>
      <c r="D36" s="25" t="str">
        <f>'34'!$D$10</f>
        <v xml:space="preserve">TTĐT </v>
      </c>
      <c r="E36" s="24">
        <f>'34'!$D$11</f>
        <v>0</v>
      </c>
      <c r="F36" s="25"/>
    </row>
    <row r="37" spans="1:6">
      <c r="A37" s="12">
        <v>35</v>
      </c>
      <c r="B37" s="31">
        <f>'35'!$D$7</f>
        <v>0</v>
      </c>
      <c r="C37" s="26" t="str">
        <f>'35'!$D$9</f>
        <v>C17/8/2026</v>
      </c>
      <c r="D37" s="26" t="str">
        <f>'35'!$D$10</f>
        <v>VNBA</v>
      </c>
      <c r="E37" s="77">
        <f>'35'!$D$11</f>
        <v>0</v>
      </c>
      <c r="F37" s="25"/>
    </row>
    <row r="38" spans="1:6">
      <c r="A38" s="12">
        <v>36</v>
      </c>
      <c r="B38" s="31">
        <f>'36'!$D$7</f>
        <v>0</v>
      </c>
      <c r="C38" s="26" t="str">
        <f>'36'!$D$9</f>
        <v>C18/8/2026</v>
      </c>
      <c r="D38" s="26" t="str">
        <f>'36'!$D$10</f>
        <v>VNBA</v>
      </c>
      <c r="E38" s="77">
        <f>'36'!$D$11</f>
        <v>0</v>
      </c>
      <c r="F38" s="26"/>
    </row>
    <row r="39" spans="1:6">
      <c r="A39" s="12">
        <v>37</v>
      </c>
      <c r="B39" s="31">
        <f>'37'!$D$7</f>
        <v>0</v>
      </c>
      <c r="C39" s="26" t="str">
        <f>'37'!$D$9</f>
        <v>C21/8/2026</v>
      </c>
      <c r="D39" s="26" t="str">
        <f>'37'!$D$10</f>
        <v>VNBA</v>
      </c>
      <c r="E39" s="77">
        <f>'37'!$D$11</f>
        <v>0</v>
      </c>
      <c r="F39" s="26"/>
    </row>
    <row r="40" spans="1:6">
      <c r="A40" s="12">
        <v>38</v>
      </c>
      <c r="B40" s="31">
        <f>'38'!$D$7</f>
        <v>0</v>
      </c>
      <c r="C40" s="26" t="str">
        <f>'38'!$D$9</f>
        <v>19/8/2026</v>
      </c>
      <c r="D40" s="26" t="str">
        <f>'38'!$D$10</f>
        <v xml:space="preserve">TTĐT </v>
      </c>
      <c r="E40" s="77">
        <f>'38'!$D$11</f>
        <v>0</v>
      </c>
      <c r="F40" s="26"/>
    </row>
    <row r="41" spans="1:6">
      <c r="A41" s="12">
        <v>39</v>
      </c>
      <c r="B41" s="31">
        <f>'39'!$D$7</f>
        <v>0</v>
      </c>
      <c r="C41" s="26" t="str">
        <f>'39'!$D$9</f>
        <v>20-22/8/2026</v>
      </c>
      <c r="D41" s="26" t="str">
        <f>'39'!$D$10</f>
        <v>VNBA</v>
      </c>
      <c r="E41" s="77">
        <f>'39'!$D$11</f>
        <v>0</v>
      </c>
      <c r="F41" s="26"/>
    </row>
    <row r="42" spans="1:6" ht="15">
      <c r="A42" s="12">
        <v>40</v>
      </c>
      <c r="B42" s="32">
        <f>'40'!$D$7</f>
        <v>0</v>
      </c>
      <c r="C42" s="26" t="str">
        <f>'40'!$D$9</f>
        <v>24/8/2026</v>
      </c>
      <c r="D42" s="20" t="str">
        <f>'40'!$D$10</f>
        <v>VNBA</v>
      </c>
      <c r="E42" s="72">
        <f>'40'!$D$11</f>
        <v>0</v>
      </c>
      <c r="F42" s="26"/>
    </row>
    <row r="43" spans="1:6">
      <c r="A43" s="12">
        <v>41</v>
      </c>
      <c r="B43" s="31">
        <f>'41'!$D$7</f>
        <v>0</v>
      </c>
      <c r="C43" s="26">
        <f>'41'!$D$9</f>
        <v>0</v>
      </c>
      <c r="D43" s="26" t="str">
        <f>'41'!$D$10</f>
        <v xml:space="preserve">TTĐT </v>
      </c>
      <c r="E43" s="77">
        <f>'41'!$D$11</f>
        <v>0</v>
      </c>
      <c r="F43" s="26"/>
    </row>
    <row r="44" spans="1:6" ht="15">
      <c r="A44" s="12">
        <v>42</v>
      </c>
      <c r="B44" s="32">
        <f>'42'!$D$7</f>
        <v>0</v>
      </c>
      <c r="C44" s="26">
        <f>'42'!$D$9</f>
        <v>0</v>
      </c>
      <c r="D44" s="26" t="str">
        <f>'42'!$D$10</f>
        <v xml:space="preserve">TTĐT </v>
      </c>
      <c r="E44" s="77">
        <f>'42'!$D$11</f>
        <v>0</v>
      </c>
      <c r="F44" s="26"/>
    </row>
    <row r="45" spans="1:6" ht="15">
      <c r="A45" s="12">
        <v>43</v>
      </c>
      <c r="B45" s="32">
        <f>'43'!$D$7</f>
        <v>0</v>
      </c>
      <c r="C45" s="26">
        <f>'43'!$D$9</f>
        <v>0</v>
      </c>
      <c r="D45" s="26" t="str">
        <f>'43'!$D$10</f>
        <v xml:space="preserve">TTĐT </v>
      </c>
      <c r="E45" s="77">
        <f>'43'!$D$11</f>
        <v>0</v>
      </c>
      <c r="F45" s="26"/>
    </row>
    <row r="46" spans="1:6" ht="15">
      <c r="A46" s="12">
        <v>44</v>
      </c>
      <c r="B46" s="32">
        <f>'44'!$D$7</f>
        <v>0</v>
      </c>
      <c r="C46" s="26">
        <f>'44'!$D$9</f>
        <v>0</v>
      </c>
      <c r="D46" s="26" t="str">
        <f>'44'!$D$10</f>
        <v xml:space="preserve">TTĐT </v>
      </c>
      <c r="E46" s="77">
        <f>'44'!$D$11</f>
        <v>0</v>
      </c>
      <c r="F46" s="26"/>
    </row>
    <row r="47" spans="1:6">
      <c r="A47" s="12">
        <v>45</v>
      </c>
      <c r="B47" s="31">
        <f>'45'!$D$7</f>
        <v>0</v>
      </c>
      <c r="C47" s="26">
        <f>'45'!$D$9</f>
        <v>0</v>
      </c>
      <c r="D47" s="26" t="str">
        <f>'45'!$D$10</f>
        <v xml:space="preserve">TTĐT </v>
      </c>
      <c r="E47" s="77">
        <f>'45'!$D$11</f>
        <v>0</v>
      </c>
      <c r="F47" s="26"/>
    </row>
    <row r="48" spans="1:6">
      <c r="A48" s="12">
        <v>46</v>
      </c>
      <c r="B48" s="31">
        <f>'46'!$D$7</f>
        <v>0</v>
      </c>
      <c r="C48" s="26">
        <f>'46'!$D$9</f>
        <v>0</v>
      </c>
      <c r="D48" s="26" t="str">
        <f>'46'!$D$10</f>
        <v xml:space="preserve">TTĐT </v>
      </c>
      <c r="E48" s="77">
        <f>'46'!$D$11</f>
        <v>0</v>
      </c>
      <c r="F48" s="26"/>
    </row>
    <row r="49" spans="1:6">
      <c r="A49" s="12">
        <v>47</v>
      </c>
      <c r="B49" s="31">
        <f>'47'!$D$7</f>
        <v>0</v>
      </c>
      <c r="C49" s="26">
        <f>'47'!$D$9</f>
        <v>0</v>
      </c>
      <c r="D49" s="26" t="str">
        <f>'47'!$D$10</f>
        <v xml:space="preserve">TTĐT </v>
      </c>
      <c r="E49" s="77">
        <f>'47'!$D$11</f>
        <v>0</v>
      </c>
      <c r="F49" s="26"/>
    </row>
    <row r="50" spans="1:6">
      <c r="A50" s="12">
        <v>48</v>
      </c>
      <c r="B50" s="31">
        <f>'48'!$D$7</f>
        <v>0</v>
      </c>
      <c r="C50" s="26">
        <f>'48'!$D$9</f>
        <v>0</v>
      </c>
      <c r="D50" s="26" t="str">
        <f>'48'!$D$10</f>
        <v xml:space="preserve">TTĐT </v>
      </c>
      <c r="E50" s="77">
        <f>'48'!$D$11</f>
        <v>0</v>
      </c>
      <c r="F50" s="26"/>
    </row>
    <row r="51" spans="1:6">
      <c r="A51" s="12">
        <v>49</v>
      </c>
      <c r="B51" s="31">
        <f>'49'!$D$7</f>
        <v>0</v>
      </c>
      <c r="C51" s="26">
        <f>'49'!$D$9</f>
        <v>0</v>
      </c>
      <c r="D51" s="26" t="str">
        <f>'49'!$D$10</f>
        <v xml:space="preserve">TTĐT </v>
      </c>
      <c r="E51" s="77">
        <f>'49'!$D$11</f>
        <v>0</v>
      </c>
      <c r="F51" s="26"/>
    </row>
    <row r="52" spans="1:6">
      <c r="A52" s="12">
        <v>50</v>
      </c>
      <c r="B52" s="31">
        <f>'50'!$D$7</f>
        <v>0</v>
      </c>
      <c r="C52" s="26">
        <f>'50'!$D$9</f>
        <v>0</v>
      </c>
      <c r="D52" s="26" t="str">
        <f>'50'!$D$10</f>
        <v xml:space="preserve">TTĐT </v>
      </c>
      <c r="E52" s="77">
        <f>'50'!$D$11</f>
        <v>0</v>
      </c>
      <c r="F52" s="26"/>
    </row>
    <row r="53" spans="1:6">
      <c r="A53" s="12">
        <v>51</v>
      </c>
      <c r="B53" s="31">
        <f>'51'!$D$7</f>
        <v>0</v>
      </c>
      <c r="C53" s="26">
        <f>'51'!$D$9</f>
        <v>0</v>
      </c>
      <c r="D53" s="26" t="str">
        <f>'51'!$D$10</f>
        <v xml:space="preserve">TTĐT </v>
      </c>
      <c r="E53" s="77">
        <f>'51'!$D$11</f>
        <v>0</v>
      </c>
      <c r="F53" s="26"/>
    </row>
    <row r="54" spans="1:6">
      <c r="A54" s="12">
        <v>52</v>
      </c>
      <c r="B54" s="31">
        <f>'52'!$D$7</f>
        <v>0</v>
      </c>
      <c r="C54" s="26">
        <f>'52'!$D$9</f>
        <v>0</v>
      </c>
      <c r="D54" s="26" t="str">
        <f>'52'!$D$10</f>
        <v xml:space="preserve">TTĐT </v>
      </c>
      <c r="E54" s="77">
        <f>'52'!$D$11</f>
        <v>0</v>
      </c>
      <c r="F54" s="26"/>
    </row>
    <row r="55" spans="1:6" ht="15">
      <c r="A55" s="12">
        <v>53</v>
      </c>
      <c r="B55" s="32">
        <f>'53'!$D$7</f>
        <v>0</v>
      </c>
      <c r="C55" s="26">
        <f>'53'!$D$9</f>
        <v>0</v>
      </c>
      <c r="D55" s="26" t="str">
        <f>'53'!$D$10</f>
        <v xml:space="preserve">TTĐT </v>
      </c>
      <c r="E55" s="77">
        <f>'53'!$D$11</f>
        <v>0</v>
      </c>
      <c r="F55" s="26"/>
    </row>
    <row r="56" spans="1:6" ht="15">
      <c r="A56" s="12">
        <v>54</v>
      </c>
      <c r="B56" s="32">
        <f>'54'!$D$7</f>
        <v>0</v>
      </c>
      <c r="C56" s="67">
        <f>'54'!$D$9</f>
        <v>0</v>
      </c>
      <c r="D56" t="str">
        <f>'54'!$D$10</f>
        <v xml:space="preserve">TTĐT </v>
      </c>
      <c r="E56" s="74">
        <f>'54'!$D$11</f>
        <v>0</v>
      </c>
    </row>
    <row r="57" spans="1:6" ht="15">
      <c r="A57" s="12">
        <v>55</v>
      </c>
      <c r="B57" s="32">
        <f>'55'!$D$7</f>
        <v>0</v>
      </c>
      <c r="C57" s="67">
        <f>'55'!$D$9</f>
        <v>0</v>
      </c>
      <c r="D57" t="str">
        <f>'55'!$D$10</f>
        <v xml:space="preserve">TTĐT </v>
      </c>
      <c r="E57" s="74">
        <f>'55'!$D$11</f>
        <v>0</v>
      </c>
    </row>
    <row r="58" spans="1:6" ht="15">
      <c r="A58" s="12">
        <v>56</v>
      </c>
      <c r="B58" s="32">
        <f>'56'!$D$7</f>
        <v>0</v>
      </c>
      <c r="C58" s="67">
        <f>'56'!$D$9</f>
        <v>0</v>
      </c>
      <c r="D58" t="str">
        <f>'56'!$D$10</f>
        <v xml:space="preserve">TTĐT </v>
      </c>
      <c r="E58" s="74">
        <f>'56'!$D$11</f>
        <v>0</v>
      </c>
    </row>
    <row r="59" spans="1:6" ht="15">
      <c r="A59" s="12">
        <v>57</v>
      </c>
      <c r="B59" s="32">
        <f>'57'!$D$7</f>
        <v>0</v>
      </c>
      <c r="C59" s="67">
        <f>'57'!$D$9</f>
        <v>0</v>
      </c>
      <c r="D59" t="str">
        <f>'57'!$D$10</f>
        <v xml:space="preserve">TTĐT </v>
      </c>
      <c r="E59" s="74">
        <f>'57'!$D$11</f>
        <v>0</v>
      </c>
    </row>
    <row r="60" spans="1:6" ht="15">
      <c r="A60" s="12">
        <v>58</v>
      </c>
      <c r="B60" s="32">
        <f>'58'!$D$7</f>
        <v>0</v>
      </c>
      <c r="C60" s="67">
        <f>'58'!$D$9</f>
        <v>0</v>
      </c>
      <c r="D60" t="str">
        <f>'58'!$D$10</f>
        <v xml:space="preserve">TTĐT </v>
      </c>
      <c r="E60" s="74">
        <f>'58'!$D$11</f>
        <v>0</v>
      </c>
    </row>
    <row r="61" spans="1:6" ht="15">
      <c r="A61" s="12">
        <v>59</v>
      </c>
      <c r="B61" s="32">
        <f>'59'!$D$7</f>
        <v>0</v>
      </c>
      <c r="C61" s="67">
        <f>'59'!$D$9</f>
        <v>0</v>
      </c>
      <c r="D61" t="str">
        <f>'59'!$D$10</f>
        <v xml:space="preserve">TTĐT </v>
      </c>
      <c r="E61" s="74">
        <f>'59'!$D$11</f>
        <v>0</v>
      </c>
    </row>
    <row r="62" spans="1:6" ht="15">
      <c r="A62" s="12">
        <v>60</v>
      </c>
      <c r="B62" s="32">
        <f>'60'!$D$7</f>
        <v>0</v>
      </c>
      <c r="C62" s="67">
        <f>'60'!$D$9</f>
        <v>0</v>
      </c>
      <c r="D62" t="str">
        <f>'60'!$D$10</f>
        <v xml:space="preserve">TTĐT </v>
      </c>
      <c r="E62" s="74">
        <f>'60'!$D$11</f>
        <v>0</v>
      </c>
    </row>
    <row r="63" spans="1:6" ht="15">
      <c r="A63" s="12">
        <v>61</v>
      </c>
      <c r="B63" s="32">
        <f>'61'!$D$7</f>
        <v>0</v>
      </c>
      <c r="C63" s="26">
        <f>'61'!$D$9</f>
        <v>0</v>
      </c>
      <c r="D63" s="26" t="str">
        <f>'61'!$D$10</f>
        <v>TTĐT MB</v>
      </c>
      <c r="E63" s="77">
        <f>'61'!$D$11</f>
        <v>0</v>
      </c>
      <c r="F63" s="26"/>
    </row>
    <row r="64" spans="1:6" ht="15">
      <c r="A64" s="12">
        <v>62</v>
      </c>
      <c r="B64" s="32">
        <f>'62'!$D$7</f>
        <v>0</v>
      </c>
      <c r="C64" s="26">
        <f>'62'!$D$9</f>
        <v>0</v>
      </c>
      <c r="D64" s="26" t="str">
        <f>'62'!$D$10</f>
        <v>TTĐT MB</v>
      </c>
      <c r="E64" s="77">
        <f>'62'!$D$11</f>
        <v>0</v>
      </c>
      <c r="F64" s="26"/>
    </row>
    <row r="65" spans="1:6" ht="15">
      <c r="A65" s="12">
        <v>63</v>
      </c>
      <c r="B65" s="32">
        <f>'63'!$D$7</f>
        <v>0</v>
      </c>
      <c r="C65" s="26">
        <f>'63'!$D$9</f>
        <v>0</v>
      </c>
      <c r="D65" s="26" t="str">
        <f>'63'!$D$10</f>
        <v>TTĐT MB</v>
      </c>
      <c r="E65" s="77">
        <f>'63'!$D$11</f>
        <v>0</v>
      </c>
      <c r="F65" s="26"/>
    </row>
    <row r="66" spans="1:6" ht="15">
      <c r="A66" s="12">
        <v>64</v>
      </c>
      <c r="B66" s="32">
        <f>'64'!$D$7</f>
        <v>0</v>
      </c>
      <c r="C66" s="26">
        <f>'64'!$D$9</f>
        <v>0</v>
      </c>
      <c r="D66" s="26" t="str">
        <f>'64'!$D$10</f>
        <v>TTĐT MB</v>
      </c>
      <c r="E66" s="77">
        <f>'64'!$D$11</f>
        <v>0</v>
      </c>
      <c r="F66" s="26"/>
    </row>
    <row r="67" spans="1:6" ht="15">
      <c r="A67" s="12">
        <v>65</v>
      </c>
      <c r="B67" s="32">
        <f>'65'!$D$7</f>
        <v>0</v>
      </c>
      <c r="C67" s="26">
        <f>'65'!$D$9</f>
        <v>0</v>
      </c>
      <c r="D67" s="26" t="str">
        <f>'65'!$D$10</f>
        <v>TTĐT MB</v>
      </c>
      <c r="E67" s="77">
        <f>'65'!$D$11</f>
        <v>0</v>
      </c>
      <c r="F67" s="26"/>
    </row>
    <row r="68" spans="1:6" ht="15">
      <c r="A68" s="12">
        <v>66</v>
      </c>
      <c r="B68" s="32">
        <f>'66'!$D$7</f>
        <v>0</v>
      </c>
      <c r="C68" s="26">
        <f>'66'!$D$9</f>
        <v>0</v>
      </c>
      <c r="D68" s="26" t="str">
        <f>'66'!$D$10</f>
        <v>TTĐT MB</v>
      </c>
      <c r="E68" s="77">
        <f>'66'!$D$11</f>
        <v>0</v>
      </c>
      <c r="F68" s="26"/>
    </row>
    <row r="69" spans="1:6" ht="15">
      <c r="A69" s="12">
        <v>67</v>
      </c>
      <c r="B69" s="32">
        <f>'67'!$D$7</f>
        <v>0</v>
      </c>
      <c r="C69" s="26">
        <f>'67'!$D$9</f>
        <v>0</v>
      </c>
      <c r="D69" s="26" t="str">
        <f>'67'!$D$10</f>
        <v>TTĐT MB</v>
      </c>
      <c r="E69" s="77">
        <f>'67'!$D$11</f>
        <v>0</v>
      </c>
      <c r="F69" s="26"/>
    </row>
    <row r="70" spans="1:6" ht="15">
      <c r="A70" s="12">
        <v>68</v>
      </c>
      <c r="B70" s="32">
        <f>'68'!$D$7</f>
        <v>0</v>
      </c>
      <c r="C70" s="26">
        <f>'68'!$D$9</f>
        <v>0</v>
      </c>
      <c r="D70" s="26" t="str">
        <f>'68'!$D$10</f>
        <v>TTĐT MB</v>
      </c>
      <c r="E70" s="77">
        <f>'68'!$D$11</f>
        <v>0</v>
      </c>
      <c r="F70" s="26"/>
    </row>
    <row r="71" spans="1:6" ht="15">
      <c r="A71" s="12">
        <v>69</v>
      </c>
      <c r="B71" s="32">
        <f>'69'!$D$7</f>
        <v>0</v>
      </c>
      <c r="C71" s="26">
        <f>'69'!$D$9</f>
        <v>0</v>
      </c>
      <c r="D71" s="26" t="str">
        <f>'69'!$D$10</f>
        <v>TTĐT MB</v>
      </c>
      <c r="E71" s="77">
        <f>'69'!$D$11</f>
        <v>0</v>
      </c>
      <c r="F71" s="26"/>
    </row>
    <row r="72" spans="1:6" ht="15">
      <c r="A72" s="12">
        <v>70</v>
      </c>
      <c r="B72" s="32">
        <f>'70'!$D$7</f>
        <v>0</v>
      </c>
      <c r="C72" s="26">
        <f>'70'!$D$9</f>
        <v>0</v>
      </c>
      <c r="D72" s="26" t="str">
        <f>'70'!$D$10</f>
        <v>TTĐT MB</v>
      </c>
      <c r="E72" s="77">
        <f>'70'!$D$11</f>
        <v>0</v>
      </c>
      <c r="F72" s="26"/>
    </row>
    <row r="73" spans="1:6" ht="15">
      <c r="A73" s="12">
        <v>71</v>
      </c>
      <c r="B73" s="32">
        <f>'71'!$D$7</f>
        <v>0</v>
      </c>
      <c r="C73" s="26">
        <f>'71'!$D$9</f>
        <v>0</v>
      </c>
      <c r="D73" s="26" t="str">
        <f>'71'!$D$10</f>
        <v>TTĐT MB</v>
      </c>
      <c r="E73" s="77">
        <f>'71'!$D$11</f>
        <v>0</v>
      </c>
      <c r="F73" s="26"/>
    </row>
    <row r="74" spans="1:6" ht="15">
      <c r="A74" s="12">
        <v>72</v>
      </c>
      <c r="B74" s="32">
        <f>'72'!$D$7</f>
        <v>0</v>
      </c>
      <c r="C74" s="26">
        <f>'72'!$D$9</f>
        <v>0</v>
      </c>
      <c r="D74" s="26" t="str">
        <f>'72'!$D$10</f>
        <v>TTĐT MB</v>
      </c>
      <c r="E74" s="77">
        <f>'72'!$D$11</f>
        <v>0</v>
      </c>
      <c r="F74" s="26"/>
    </row>
    <row r="75" spans="1:6" ht="15">
      <c r="A75" s="12">
        <v>73</v>
      </c>
      <c r="B75" s="32">
        <f>'73'!$D$7</f>
        <v>0</v>
      </c>
      <c r="C75" s="26">
        <f>'73'!$D$9</f>
        <v>0</v>
      </c>
      <c r="D75" s="26" t="str">
        <f>'73'!$D$10</f>
        <v>TTĐT MB</v>
      </c>
      <c r="E75" s="77">
        <f>'73'!$D$11</f>
        <v>0</v>
      </c>
      <c r="F75" s="26"/>
    </row>
    <row r="76" spans="1:6" ht="15">
      <c r="A76" s="12">
        <v>74</v>
      </c>
      <c r="B76" s="32">
        <f>'74'!$D$7</f>
        <v>0</v>
      </c>
      <c r="C76" s="67">
        <f>'74'!$D$9</f>
        <v>0</v>
      </c>
      <c r="D76" t="str">
        <f>'74'!$D$10</f>
        <v>TTĐT MB</v>
      </c>
      <c r="E76" s="74">
        <f>'74'!$D$11</f>
        <v>0</v>
      </c>
    </row>
    <row r="77" spans="1:6" ht="15">
      <c r="A77" s="12">
        <v>75</v>
      </c>
      <c r="B77" s="32">
        <f>'75'!$D$7</f>
        <v>0</v>
      </c>
      <c r="C77" s="67">
        <f>'75'!$D$9</f>
        <v>0</v>
      </c>
      <c r="D77" t="str">
        <f>'75'!$D$10</f>
        <v>TTĐT MB</v>
      </c>
      <c r="E77" s="74">
        <f>'75'!$D$11</f>
        <v>0</v>
      </c>
    </row>
    <row r="78" spans="1:6" ht="15">
      <c r="A78" s="12">
        <v>76</v>
      </c>
      <c r="B78" s="32">
        <f>'76'!$D$7</f>
        <v>0</v>
      </c>
      <c r="C78" s="67">
        <f>'76'!$D$9</f>
        <v>0</v>
      </c>
      <c r="D78" t="str">
        <f>'76'!$D$10</f>
        <v>TTĐT MB</v>
      </c>
      <c r="E78" s="74">
        <f>'76'!$D$11</f>
        <v>0</v>
      </c>
    </row>
    <row r="79" spans="1:6" ht="15">
      <c r="A79" s="12">
        <v>77</v>
      </c>
      <c r="B79" s="32">
        <f>'77'!$D$7</f>
        <v>0</v>
      </c>
      <c r="C79" s="67">
        <f>'77'!$D$9</f>
        <v>0</v>
      </c>
      <c r="D79" t="str">
        <f>'77'!$D$10</f>
        <v>TTĐT MB</v>
      </c>
      <c r="E79" s="74">
        <f>'77'!$D$11</f>
        <v>0</v>
      </c>
    </row>
    <row r="80" spans="1:6" ht="15">
      <c r="A80" s="12">
        <v>78</v>
      </c>
      <c r="B80" s="32">
        <f>'78'!$D$7</f>
        <v>0</v>
      </c>
      <c r="C80" s="67">
        <f>'78'!$D$9</f>
        <v>0</v>
      </c>
      <c r="D80" t="str">
        <f>'78'!$D$10</f>
        <v>TTĐT MB</v>
      </c>
      <c r="E80" s="74">
        <f>'78'!$D$11</f>
        <v>0</v>
      </c>
    </row>
    <row r="81" spans="1:5" ht="15">
      <c r="A81" s="12">
        <v>79</v>
      </c>
      <c r="B81" s="32">
        <f>'79'!$D$7</f>
        <v>0</v>
      </c>
      <c r="C81" s="67">
        <f>'79'!$D$9</f>
        <v>0</v>
      </c>
      <c r="D81" t="str">
        <f>'79'!$D$10</f>
        <v>TTĐT MB</v>
      </c>
      <c r="E81" s="74">
        <f>'79'!$D$11</f>
        <v>0</v>
      </c>
    </row>
    <row r="82" spans="1:5" ht="15">
      <c r="A82" s="12">
        <v>80</v>
      </c>
      <c r="B82" s="32">
        <f>'80'!$D$7</f>
        <v>0</v>
      </c>
      <c r="C82" s="67">
        <f>'80'!$D$9</f>
        <v>0</v>
      </c>
      <c r="D82" t="str">
        <f>'80'!$D$10</f>
        <v>TTĐT MB</v>
      </c>
      <c r="E82" s="74">
        <f>'80'!$D$11</f>
        <v>0</v>
      </c>
    </row>
  </sheetData>
  <sheetProtection formatCells="0" formatColumns="0" formatRows="0" insertColumns="0" insertRows="0" insertHyperlinks="0" deleteColumns="0" deleteRows="0" sort="0" autoFilter="0" pivotTables="0"/>
  <autoFilter ref="A2:E55" xr:uid="{00000000-0009-0000-0000-000000000000}">
    <sortState xmlns:xlrd2="http://schemas.microsoft.com/office/spreadsheetml/2017/richdata2" ref="A3:E32">
      <sortCondition ref="A2"/>
    </sortState>
  </autoFilter>
  <mergeCells count="1">
    <mergeCell ref="A1:B1"/>
  </mergeCells>
  <hyperlinks>
    <hyperlink ref="B4" location="'2'!A1" display="'2'!A1" xr:uid="{00000000-0004-0000-0000-000000000000}"/>
    <hyperlink ref="B6" location="'4'!A1" display="'4'!A1" xr:uid="{00000000-0004-0000-0000-000002000000}"/>
    <hyperlink ref="B7" location="'5'!A1" display="'5'!A1" xr:uid="{00000000-0004-0000-0000-000003000000}"/>
    <hyperlink ref="B8" location="'6'!A1" display="'6'!A1" xr:uid="{00000000-0004-0000-0000-000004000000}"/>
    <hyperlink ref="B9" location="'7'!A1" display="'7'!A1" xr:uid="{00000000-0004-0000-0000-000005000000}"/>
    <hyperlink ref="B10" location="'8'!A1" display="'8'!A1" xr:uid="{00000000-0004-0000-0000-000006000000}"/>
    <hyperlink ref="B11" location="'9'!A1" display="'9'!A1" xr:uid="{00000000-0004-0000-0000-000007000000}"/>
    <hyperlink ref="B12" location="'10'!A1" display="'10'!A1" xr:uid="{00000000-0004-0000-0000-000008000000}"/>
    <hyperlink ref="B13" location="'11'!A1" display="'11'!A1" xr:uid="{00000000-0004-0000-0000-000009000000}"/>
    <hyperlink ref="B18" location="'16'!A1" display="'16'!A1" xr:uid="{00000000-0004-0000-0000-00000A000000}"/>
    <hyperlink ref="B19" location="'17'!A1" display="'17'!A1" xr:uid="{00000000-0004-0000-0000-00000B000000}"/>
    <hyperlink ref="B20" location="'18'!A1" display="'18'!A1" xr:uid="{00000000-0004-0000-0000-00000C000000}"/>
    <hyperlink ref="B21" location="'19'!A1" display="'19'!A1" xr:uid="{00000000-0004-0000-0000-00000D000000}"/>
    <hyperlink ref="B22" location="'20'!A1" display="'20'!A1" xr:uid="{00000000-0004-0000-0000-00000E000000}"/>
    <hyperlink ref="B23" location="'21'!A1" display="'21'!A1" xr:uid="{00000000-0004-0000-0000-00000F000000}"/>
    <hyperlink ref="B24" location="'22'!A1" display="'22'!A1" xr:uid="{00000000-0004-0000-0000-000010000000}"/>
    <hyperlink ref="B26" location="'24'!A1" display="'24'!A1" xr:uid="{00000000-0004-0000-0000-000011000000}"/>
    <hyperlink ref="B27" location="'25'!A1" display="'25'!A1" xr:uid="{00000000-0004-0000-0000-000012000000}"/>
    <hyperlink ref="B28" location="'26'!A1" display="'26'!A1" xr:uid="{00000000-0004-0000-0000-000013000000}"/>
    <hyperlink ref="B29" location="'27'!A1" display="'27'!A1" xr:uid="{00000000-0004-0000-0000-000014000000}"/>
    <hyperlink ref="A30" location="'28'!A1" display="'28'!A1" xr:uid="{00000000-0004-0000-0000-000015000000}"/>
    <hyperlink ref="B31" location="'29'!A1" display="'29'!A1" xr:uid="{00000000-0004-0000-0000-000016000000}"/>
    <hyperlink ref="B32" location="'30'!A1" display="'30'!A1" xr:uid="{00000000-0004-0000-0000-000017000000}"/>
    <hyperlink ref="B33" location="'31'!A1" display="'31'!A1" xr:uid="{00000000-0004-0000-0000-000018000000}"/>
    <hyperlink ref="B34" location="'32'!A1" display="'32'!A1" xr:uid="{00000000-0004-0000-0000-000019000000}"/>
    <hyperlink ref="B35" location="'33'!A1" display="'33'!A1" xr:uid="{00000000-0004-0000-0000-00001A000000}"/>
    <hyperlink ref="B36" location="'34'!A1" display="'34'!A1" xr:uid="{00000000-0004-0000-0000-00001B000000}"/>
    <hyperlink ref="B37" location="'35'!A1" display="'35'!A1" xr:uid="{00000000-0004-0000-0000-00001C000000}"/>
    <hyperlink ref="B38" location="'36'!A1" display="'36'!A1" xr:uid="{00000000-0004-0000-0000-00001D000000}"/>
    <hyperlink ref="B39" location="'37'!A1" display="'37'!A1" xr:uid="{00000000-0004-0000-0000-00001E000000}"/>
    <hyperlink ref="B40" location="'38'!A1" display="'38'!A1" xr:uid="{00000000-0004-0000-0000-00001F000000}"/>
    <hyperlink ref="B41" location="'39'!A1" display="'39'!A1" xr:uid="{00000000-0004-0000-0000-000020000000}"/>
    <hyperlink ref="B14" location="'12'!A1" display="'12'!A1" xr:uid="{00000000-0004-0000-0000-000021000000}"/>
    <hyperlink ref="B15" location="'13'!A1" display="'13'!A1" xr:uid="{00000000-0004-0000-0000-000022000000}"/>
    <hyperlink ref="B16" location="'14'!A1" display="'14'!A1" xr:uid="{00000000-0004-0000-0000-000023000000}"/>
    <hyperlink ref="B17" location="'15'!A1" display="'15'!A1" xr:uid="{00000000-0004-0000-0000-000024000000}"/>
    <hyperlink ref="B30" location="'28'!A1" display="'28'!A1" xr:uid="{00000000-0004-0000-0000-000025000000}"/>
    <hyperlink ref="B43" location="'41'!A1" display="='40'!$D$7" xr:uid="{00000000-0004-0000-0000-000026000000}"/>
    <hyperlink ref="B44" location="'42'!A1" display="'42'!A1" xr:uid="{00000000-0004-0000-0000-000027000000}"/>
    <hyperlink ref="B45" location="'43'!A1" display="'43'!A1" xr:uid="{00000000-0004-0000-0000-000028000000}"/>
    <hyperlink ref="B46" location="'44'!A1" display="'44'!A1" xr:uid="{00000000-0004-0000-0000-000029000000}"/>
    <hyperlink ref="B47" location="'45'!A1" display="='40'!$D$7" xr:uid="{00000000-0004-0000-0000-00002A000000}"/>
    <hyperlink ref="B48" location="'46'!A1" display="='40'!$D$7" xr:uid="{00000000-0004-0000-0000-00002B000000}"/>
    <hyperlink ref="B49" location="'47'!A1" display="='40'!$D$7" xr:uid="{00000000-0004-0000-0000-00002C000000}"/>
    <hyperlink ref="B50" location="'48'!A1" display="='40'!$D$7" xr:uid="{00000000-0004-0000-0000-00002D000000}"/>
    <hyperlink ref="B51" location="'49'!A1" display="='40'!$D$7" xr:uid="{00000000-0004-0000-0000-00002E000000}"/>
    <hyperlink ref="B52" location="'50'!A1" display="='40'!$D$7" xr:uid="{00000000-0004-0000-0000-00002F000000}"/>
    <hyperlink ref="B53" location="'51'!A1" display="='51'!$D$7" xr:uid="{00000000-0004-0000-0000-000030000000}"/>
    <hyperlink ref="B54" location="'52'!A1" display="='52'!$D$7" xr:uid="{00000000-0004-0000-0000-000031000000}"/>
    <hyperlink ref="B3" location="'1'!A1" display="'1'!A1" xr:uid="{00000000-0004-0000-0000-000032000000}"/>
    <hyperlink ref="B25" location="'23'!A1" display="'23'!A1" xr:uid="{00000000-0004-0000-0000-000033000000}"/>
    <hyperlink ref="B55" location="'53'!A1" display="'53'!A1" xr:uid="{00000000-0004-0000-0000-000034000000}"/>
    <hyperlink ref="B42" location="'40'!A1" display="'40'!A1" xr:uid="{00000000-0004-0000-0000-000035000000}"/>
    <hyperlink ref="B5" location="'3'!A1" display="'3'!A1" xr:uid="{00000000-0004-0000-0000-000001000000}"/>
    <hyperlink ref="B56" location="'54'!A1" display="'54'!A1" xr:uid="{0416FD4E-82A4-478E-922F-9B95F42DF81D}"/>
    <hyperlink ref="B57" location="'55'!A1" display="'55'!A1" xr:uid="{0F325C9F-D35D-4528-9AD4-30C135C7A546}"/>
    <hyperlink ref="B58" location="'56'!A1" display="'56'!A1" xr:uid="{19D690E1-C166-45FE-94ED-32A5CF78A544}"/>
    <hyperlink ref="B59" location="'57'!A1" display="'57'!A1" xr:uid="{5E9BBDFB-A969-4A91-B1E9-7257DDF62D68}"/>
    <hyperlink ref="B60" location="'58'!A1" display="'58'!A1" xr:uid="{DF9684FD-1F55-4D22-87D7-65D400548D64}"/>
    <hyperlink ref="B61" location="'59'!A1" display="'59'!A1" xr:uid="{3556E096-37DD-4907-B86C-7569E5E76116}"/>
    <hyperlink ref="B62" location="'60'!A1" display="'60'!A1" xr:uid="{3B8E35D7-9D09-4879-A96A-F9BCB0E86490}"/>
    <hyperlink ref="B63" location="'61'!A1" display="'61'!A1" xr:uid="{AAADF359-FD1E-449A-AFA3-45590632FC55}"/>
    <hyperlink ref="B64" location="'62'!A1" display="'62'!A1" xr:uid="{CFB57FB9-B0CE-45C7-B73C-FAB7BAA6218E}"/>
    <hyperlink ref="B65" location="'63'!A1" display="'63'!A1" xr:uid="{7E650487-2B17-4B26-9E7A-32237105E7C5}"/>
    <hyperlink ref="B66" location="'64'!A1" display="'64'!A1" xr:uid="{70A0C63B-07E7-45FB-A5B3-BB04A6C806FC}"/>
    <hyperlink ref="B67" location="'65'!A1" display="'65'!A1" xr:uid="{6C2B4CF0-3AC1-4207-B3C8-B05478774695}"/>
    <hyperlink ref="B68" location="'66'!A1" display="'66'!A1" xr:uid="{E3072B28-92A4-424A-A469-125F78A88BC2}"/>
    <hyperlink ref="B69" location="'67'!A1" display="'67'!A1" xr:uid="{A170E131-97AD-492A-88FF-6D98C63201BE}"/>
    <hyperlink ref="B70" location="'68'!A1" display="'68'!A1" xr:uid="{E6EEDC96-7944-450C-8667-C07A627F9431}"/>
    <hyperlink ref="B71" location="'69'!A1" display="'69'!A1" xr:uid="{AF97B908-CD48-406D-A8AB-5763CFAF4E77}"/>
    <hyperlink ref="B72" location="'70'!A1" display="'70'!A1" xr:uid="{94D551C5-5550-4CE7-B234-31E994B34696}"/>
    <hyperlink ref="B73" location="'71'!A1" display="'71'!A1" xr:uid="{C3589E65-96F1-41CC-9A8B-CE096FED091F}"/>
    <hyperlink ref="B74" location="'72'!A1" display="'72'!A1" xr:uid="{24DF5F0D-F9FA-4D15-A57B-6226F2617221}"/>
    <hyperlink ref="B75" location="'73'!A1" display="'73'!A1" xr:uid="{51C31A54-73F2-4844-BBE4-7F3779AB801D}"/>
    <hyperlink ref="B76" location="'74'!A1" display="'74'!A1" xr:uid="{6ED31C90-BC24-4A59-BF35-78ADC55E0BE5}"/>
    <hyperlink ref="B77" location="'75'!A1" display="'75'!A1" xr:uid="{99532462-A85D-4A6B-8BF5-B831488004C5}"/>
    <hyperlink ref="B78" location="'76'!A1" display="'76'!A1" xr:uid="{440BB7E2-8F37-419B-B3D8-4C14AF411E60}"/>
    <hyperlink ref="B79" location="'77'!A1" display="'77'!A1" xr:uid="{E1DD6861-4153-49D6-B190-A14BF954063A}"/>
    <hyperlink ref="B80" location="'78'!A1" display="'78'!A1" xr:uid="{D9694DCF-FBAF-438F-9293-90858EC9A1AB}"/>
    <hyperlink ref="B81" location="'79'!A1" display="'79'!A1" xr:uid="{1ED782AA-258C-4A8B-8201-352EDB2B8697}"/>
    <hyperlink ref="B82" location="'80'!A1" display="'80'!A1" xr:uid="{40B92A0D-15EB-4BA1-B91C-5CED790AA192}"/>
  </hyperlink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1:O26"/>
  <sheetViews>
    <sheetView zoomScale="70" zoomScaleNormal="70" workbookViewId="0">
      <selection activeCell="D7" sqref="D7:F7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11.8554687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16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18</v>
      </c>
      <c r="F9" s="60"/>
      <c r="G9" s="54" t="str">
        <f>B9</f>
        <v>- Thời gian:</v>
      </c>
      <c r="H9" s="40"/>
      <c r="I9" s="53" t="str">
        <f>D9</f>
        <v>Từ 17/8/2026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20</v>
      </c>
      <c r="F10" s="39"/>
      <c r="G10" s="54" t="str">
        <f>B10</f>
        <v>- Địa điểm:</v>
      </c>
      <c r="H10" s="40"/>
      <c r="I10" s="48" t="str">
        <f>D10</f>
        <v>VNBA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COUNTIF($L$14:$L32,"x")&amp;"/"&amp;COUNTA($L$14:$L32)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Từ 17/8/2026</v>
      </c>
      <c r="M13" s="15"/>
      <c r="N13" s="15"/>
      <c r="O13" s="189"/>
    </row>
    <row r="14" spans="2:15" ht="22.15" customHeight="1">
      <c r="B14" s="17">
        <f>ROW()-13</f>
        <v>1</v>
      </c>
      <c r="C14" s="105"/>
      <c r="D14" s="106"/>
      <c r="E14" s="122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18" si="0">ROW()-13</f>
        <v>2</v>
      </c>
      <c r="C15" s="105"/>
      <c r="D15" s="106"/>
      <c r="E15" s="122"/>
      <c r="F15" s="28"/>
      <c r="G15" s="17">
        <f t="shared" ref="G15:I18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105"/>
      <c r="D16" s="106"/>
      <c r="E16" s="122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105"/>
      <c r="D17" s="106"/>
      <c r="E17" s="122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105"/>
      <c r="D18" s="106"/>
      <c r="E18" s="122"/>
      <c r="F18" s="28"/>
      <c r="G18" s="17">
        <f t="shared" ref="G18:H18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" si="3">E18</f>
        <v>0</v>
      </c>
      <c r="L18" s="29"/>
      <c r="M18" s="13"/>
      <c r="N18" s="14"/>
      <c r="O18" s="18"/>
    </row>
    <row r="19" spans="2:15" ht="34.15" customHeight="1">
      <c r="B19" s="4"/>
      <c r="C19" s="64" t="s">
        <v>29</v>
      </c>
      <c r="D19" s="6"/>
      <c r="E19" s="5"/>
      <c r="F19" s="65" t="s">
        <v>30</v>
      </c>
      <c r="G19" s="43"/>
      <c r="H19" s="190" t="s">
        <v>31</v>
      </c>
      <c r="I19" s="191"/>
      <c r="J19" s="192"/>
      <c r="K19" s="44"/>
      <c r="L19" s="50"/>
      <c r="M19" s="50"/>
      <c r="N19" s="50"/>
      <c r="O19" s="50"/>
    </row>
    <row r="20" spans="2:15" ht="12.6" customHeight="1">
      <c r="B20" s="4"/>
      <c r="C20" s="5"/>
      <c r="D20" s="6"/>
      <c r="E20" s="5"/>
      <c r="F20" s="7"/>
      <c r="G20" s="33"/>
      <c r="H20" s="33"/>
      <c r="I20" s="33"/>
      <c r="J20" s="33"/>
      <c r="K20" s="33"/>
      <c r="L20" s="51"/>
      <c r="M20" s="51"/>
      <c r="N20" s="51"/>
      <c r="O20" s="51"/>
    </row>
    <row r="21" spans="2:15" ht="18.75">
      <c r="B21" s="4"/>
      <c r="C21" s="5"/>
      <c r="D21" s="6"/>
      <c r="E21" s="5"/>
      <c r="F21" s="7"/>
      <c r="G21" s="34" t="s">
        <v>32</v>
      </c>
    </row>
    <row r="22" spans="2:15" ht="18.75">
      <c r="B22" s="4"/>
      <c r="D22" s="6"/>
      <c r="E22" s="5"/>
      <c r="F22" s="7"/>
      <c r="G22" s="35" t="s">
        <v>33</v>
      </c>
    </row>
    <row r="23" spans="2:15" ht="18.75">
      <c r="C23" s="41" t="s">
        <v>34</v>
      </c>
      <c r="D23" s="5"/>
      <c r="E23" s="9" t="s">
        <v>35</v>
      </c>
      <c r="F23" s="9" t="s">
        <v>36</v>
      </c>
      <c r="G23" s="35" t="s">
        <v>37</v>
      </c>
    </row>
    <row r="24" spans="2:15" ht="18.75">
      <c r="B24" s="5"/>
      <c r="G24" s="8" t="s">
        <v>38</v>
      </c>
    </row>
    <row r="25" spans="2:15" ht="16.149999999999999" customHeight="1"/>
    <row r="26" spans="2:15" ht="16.149999999999999" customHeight="1"/>
  </sheetData>
  <mergeCells count="22">
    <mergeCell ref="H19:J19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K12:K13"/>
    <mergeCell ref="O12:O13"/>
    <mergeCell ref="I12:J13"/>
    <mergeCell ref="D7:F7"/>
    <mergeCell ref="B2:D5"/>
    <mergeCell ref="E2:F5"/>
    <mergeCell ref="N2:O2"/>
    <mergeCell ref="J3:M5"/>
    <mergeCell ref="N3:O3"/>
    <mergeCell ref="N4:O4"/>
    <mergeCell ref="N5:O5"/>
    <mergeCell ref="G2:I5"/>
  </mergeCells>
  <pageMargins left="0.47" right="0.17" top="0.37" bottom="0.41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4"/>
  <dimension ref="B1:O23"/>
  <sheetViews>
    <sheetView zoomScale="70" zoomScaleNormal="70" workbookViewId="0">
      <selection activeCell="E14" sqref="E14:E17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16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39</v>
      </c>
      <c r="F9" s="60"/>
      <c r="G9" s="54" t="str">
        <f>B9</f>
        <v>- Thời gian:</v>
      </c>
      <c r="H9" s="40"/>
      <c r="I9" s="53" t="str">
        <f>D9</f>
        <v>C17/8/2026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20</v>
      </c>
      <c r="F10" s="39"/>
      <c r="G10" s="54" t="str">
        <f>B10</f>
        <v>- Địa điểm:</v>
      </c>
      <c r="H10" s="40"/>
      <c r="I10" s="48" t="str">
        <f>D10</f>
        <v>VNBA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COUNTIF($L$14:$L31,"x")&amp;"/"&amp;COUNTA($L$14:$L31)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C17/8/2026</v>
      </c>
      <c r="M13" s="15"/>
      <c r="N13" s="15"/>
      <c r="O13" s="189"/>
    </row>
    <row r="14" spans="2:15" ht="22.15" customHeight="1">
      <c r="B14" s="17">
        <f>ROW()-13</f>
        <v>1</v>
      </c>
      <c r="C14" s="105"/>
      <c r="D14" s="106"/>
      <c r="E14" s="122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16" si="0">ROW()-13</f>
        <v>2</v>
      </c>
      <c r="C15" s="105"/>
      <c r="D15" s="106"/>
      <c r="E15" s="122"/>
      <c r="F15" s="28"/>
      <c r="G15" s="17">
        <f t="shared" ref="G15:I17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105"/>
      <c r="D16" s="106"/>
      <c r="E16" s="122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105"/>
      <c r="D17" s="106"/>
      <c r="E17" s="122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34.15" customHeight="1">
      <c r="B18" s="4"/>
      <c r="C18" s="64" t="s">
        <v>29</v>
      </c>
      <c r="D18" s="6"/>
      <c r="E18" s="5"/>
      <c r="F18" s="65" t="s">
        <v>30</v>
      </c>
      <c r="G18" s="43"/>
      <c r="H18" s="190" t="s">
        <v>31</v>
      </c>
      <c r="I18" s="191"/>
      <c r="J18" s="192"/>
      <c r="K18" s="44"/>
      <c r="L18" s="50"/>
      <c r="M18" s="50"/>
      <c r="N18" s="50"/>
      <c r="O18" s="50"/>
    </row>
    <row r="19" spans="2:15" ht="12.6" customHeight="1">
      <c r="B19" s="4"/>
      <c r="C19" s="5"/>
      <c r="D19" s="6"/>
      <c r="E19" s="5"/>
      <c r="F19" s="7"/>
      <c r="G19" s="33"/>
      <c r="H19" s="33"/>
      <c r="I19" s="33"/>
      <c r="J19" s="33"/>
      <c r="K19" s="33"/>
      <c r="L19" s="51"/>
      <c r="M19" s="51"/>
      <c r="N19" s="51"/>
      <c r="O19" s="51"/>
    </row>
    <row r="20" spans="2:15" ht="18.75">
      <c r="B20" s="4"/>
      <c r="C20" s="5"/>
      <c r="D20" s="6"/>
      <c r="E20" s="5"/>
      <c r="F20" s="7"/>
      <c r="G20" s="34" t="s">
        <v>32</v>
      </c>
    </row>
    <row r="21" spans="2:15" ht="18.75">
      <c r="B21" s="4"/>
      <c r="D21" s="6"/>
      <c r="E21" s="5"/>
      <c r="F21" s="7"/>
      <c r="G21" s="35" t="s">
        <v>33</v>
      </c>
    </row>
    <row r="22" spans="2:15" ht="18.75">
      <c r="C22" s="41" t="s">
        <v>34</v>
      </c>
      <c r="D22" s="5"/>
      <c r="E22" s="9" t="s">
        <v>35</v>
      </c>
      <c r="F22" s="9" t="s">
        <v>36</v>
      </c>
      <c r="G22" s="35" t="s">
        <v>37</v>
      </c>
    </row>
    <row r="23" spans="2:15" ht="18.75">
      <c r="B23" s="5"/>
      <c r="G23" s="8" t="s">
        <v>38</v>
      </c>
    </row>
  </sheetData>
  <mergeCells count="21">
    <mergeCell ref="B2:D5"/>
    <mergeCell ref="E2:F5"/>
    <mergeCell ref="B11:C11"/>
    <mergeCell ref="B12:B13"/>
    <mergeCell ref="C12:C13"/>
    <mergeCell ref="D12:D13"/>
    <mergeCell ref="E12:E13"/>
    <mergeCell ref="N2:O2"/>
    <mergeCell ref="J3:M5"/>
    <mergeCell ref="N3:O3"/>
    <mergeCell ref="F12:F13"/>
    <mergeCell ref="G12:G13"/>
    <mergeCell ref="H12:H13"/>
    <mergeCell ref="N4:O4"/>
    <mergeCell ref="N5:O5"/>
    <mergeCell ref="G2:I5"/>
    <mergeCell ref="H18:J18"/>
    <mergeCell ref="O12:O13"/>
    <mergeCell ref="G6:O6"/>
    <mergeCell ref="I12:J13"/>
    <mergeCell ref="K12:K13"/>
  </mergeCells>
  <pageMargins left="0.45" right="0.17" top="0.37" bottom="0.41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B1:O23"/>
  <sheetViews>
    <sheetView zoomScale="70" zoomScaleNormal="70" workbookViewId="0">
      <selection activeCell="C14" sqref="C14:E17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41.25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16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40</v>
      </c>
      <c r="F9" s="60"/>
      <c r="G9" s="54" t="str">
        <f>B9</f>
        <v>- Thời gian:</v>
      </c>
      <c r="H9" s="40"/>
      <c r="I9" s="53" t="str">
        <f>D9</f>
        <v>18/8/2026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20</v>
      </c>
      <c r="F10" s="39"/>
      <c r="G10" s="54" t="str">
        <f>B10</f>
        <v>- Địa điểm:</v>
      </c>
      <c r="H10" s="40"/>
      <c r="I10" s="48" t="str">
        <f>D10</f>
        <v>VNBA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COUNTIF($L$14:$L31,"x")&amp;"/"&amp;COUNTA($L$14:$L31)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18/8/2026</v>
      </c>
      <c r="M13" s="15"/>
      <c r="N13" s="15"/>
      <c r="O13" s="189"/>
    </row>
    <row r="14" spans="2:15" ht="22.15" customHeight="1">
      <c r="B14" s="17">
        <f>ROW()-13</f>
        <v>1</v>
      </c>
      <c r="C14" s="105"/>
      <c r="D14" s="106"/>
      <c r="E14" s="122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16" si="0">ROW()-13</f>
        <v>2</v>
      </c>
      <c r="C15" s="105"/>
      <c r="D15" s="106"/>
      <c r="E15" s="122"/>
      <c r="F15" s="28"/>
      <c r="G15" s="17">
        <f t="shared" ref="G15:I17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105"/>
      <c r="D16" s="106"/>
      <c r="E16" s="122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105"/>
      <c r="D17" s="106"/>
      <c r="E17" s="122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34.15" customHeight="1">
      <c r="B18" s="4"/>
      <c r="C18" s="64" t="s">
        <v>29</v>
      </c>
      <c r="D18" s="6"/>
      <c r="E18" s="5"/>
      <c r="F18" s="65" t="s">
        <v>30</v>
      </c>
      <c r="G18" s="43"/>
      <c r="H18" s="190" t="s">
        <v>31</v>
      </c>
      <c r="I18" s="191"/>
      <c r="J18" s="192"/>
      <c r="K18" s="44"/>
      <c r="L18" s="50"/>
      <c r="M18" s="50"/>
      <c r="N18" s="50"/>
      <c r="O18" s="50"/>
    </row>
    <row r="19" spans="2:15" ht="12.6" customHeight="1">
      <c r="B19" s="4"/>
      <c r="C19" s="5"/>
      <c r="D19" s="6"/>
      <c r="E19" s="5"/>
      <c r="F19" s="7"/>
      <c r="G19" s="33"/>
      <c r="H19" s="33"/>
      <c r="I19" s="33"/>
      <c r="J19" s="33"/>
      <c r="K19" s="33"/>
      <c r="L19" s="51"/>
      <c r="M19" s="51"/>
      <c r="N19" s="51"/>
      <c r="O19" s="51"/>
    </row>
    <row r="20" spans="2:15" ht="18.75">
      <c r="B20" s="4"/>
      <c r="C20" s="5"/>
      <c r="D20" s="6"/>
      <c r="E20" s="5"/>
      <c r="F20" s="7"/>
      <c r="G20" s="34" t="s">
        <v>32</v>
      </c>
    </row>
    <row r="21" spans="2:15" ht="18.75">
      <c r="B21" s="4"/>
      <c r="D21" s="6"/>
      <c r="E21" s="5"/>
      <c r="F21" s="7"/>
      <c r="G21" s="35" t="s">
        <v>33</v>
      </c>
    </row>
    <row r="22" spans="2:15" ht="18.75">
      <c r="C22" s="41" t="s">
        <v>34</v>
      </c>
      <c r="D22" s="5"/>
      <c r="E22" s="9" t="s">
        <v>35</v>
      </c>
      <c r="F22" s="9" t="s">
        <v>36</v>
      </c>
      <c r="G22" s="35" t="s">
        <v>37</v>
      </c>
    </row>
    <row r="23" spans="2:15" ht="18.75">
      <c r="B23" s="5"/>
      <c r="G23" s="8" t="s">
        <v>38</v>
      </c>
    </row>
  </sheetData>
  <mergeCells count="22">
    <mergeCell ref="B2:D5"/>
    <mergeCell ref="E2:F5"/>
    <mergeCell ref="F12:F13"/>
    <mergeCell ref="G12:G13"/>
    <mergeCell ref="H12:H13"/>
    <mergeCell ref="G6:O6"/>
    <mergeCell ref="G2:I5"/>
    <mergeCell ref="N2:O2"/>
    <mergeCell ref="J3:M5"/>
    <mergeCell ref="B11:C11"/>
    <mergeCell ref="B12:B13"/>
    <mergeCell ref="C12:C13"/>
    <mergeCell ref="D12:D13"/>
    <mergeCell ref="E12:E13"/>
    <mergeCell ref="D7:F7"/>
    <mergeCell ref="H18:J18"/>
    <mergeCell ref="N3:O3"/>
    <mergeCell ref="N4:O4"/>
    <mergeCell ref="N5:O5"/>
    <mergeCell ref="O12:O13"/>
    <mergeCell ref="I12:J13"/>
    <mergeCell ref="K12:K13"/>
  </mergeCells>
  <conditionalFormatting sqref="C14:C17">
    <cfRule type="duplicateValues" dxfId="1812" priority="253" stopIfTrue="1"/>
    <cfRule type="expression" dxfId="1811" priority="254" stopIfTrue="1">
      <formula>AND(COUNTIF($C$1:$C$1268, C14)+COUNTIF($C$1270:$C$65351, C14)&gt;1,NOT(ISBLANK(C14)))</formula>
    </cfRule>
    <cfRule type="expression" dxfId="1810" priority="255" stopIfTrue="1">
      <formula>AND(COUNTIF($C$1:$C$1271, C14)+COUNTIF($C$1272:$C$65351, C14)&gt;1,NOT(ISBLANK(C14)))</formula>
    </cfRule>
    <cfRule type="expression" dxfId="1809" priority="256" stopIfTrue="1">
      <formula>AND(COUNTIF($C$1:$C$1377, C14)+COUNTIF($C$1390:$C$65351, C14)&gt;1,NOT(ISBLANK(C14)))</formula>
    </cfRule>
  </conditionalFormatting>
  <pageMargins left="0.48" right="0.17" top="0.37" bottom="0.41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B1:O30"/>
  <sheetViews>
    <sheetView zoomScale="70" zoomScaleNormal="70" workbookViewId="0">
      <selection activeCell="C14" sqref="C14:E24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41</v>
      </c>
      <c r="C8" s="54"/>
      <c r="D8" s="39"/>
      <c r="F8" s="39"/>
      <c r="G8" s="54" t="str">
        <f>B8</f>
        <v>- Loại hình/hình thức đào tạo: Ban đầu/Elearning+Trực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42</v>
      </c>
      <c r="F9" s="60"/>
      <c r="G9" s="54" t="str">
        <f>B9</f>
        <v>- Thời gian:</v>
      </c>
      <c r="H9" s="40"/>
      <c r="I9" s="53" t="str">
        <f>D9</f>
        <v>19/8/2026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COUNTIF($L$14:$L38,"x")&amp;"/"&amp;COUNTA($L$14:$L38)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19/8/2026</v>
      </c>
      <c r="M13" s="15"/>
      <c r="N13" s="15"/>
      <c r="O13" s="189"/>
    </row>
    <row r="14" spans="2:15" ht="22.15" customHeight="1">
      <c r="B14" s="17">
        <f>ROW()-13</f>
        <v>1</v>
      </c>
      <c r="C14" s="69"/>
      <c r="D14" s="123"/>
      <c r="E14" s="107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9"/>
      <c r="D15" s="123"/>
      <c r="E15" s="107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124"/>
      <c r="D16" s="125"/>
      <c r="E16" s="107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9"/>
      <c r="D17" s="123"/>
      <c r="E17" s="107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9"/>
      <c r="D18" s="123"/>
      <c r="E18" s="107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9"/>
      <c r="D19" s="123"/>
      <c r="E19" s="107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9"/>
      <c r="D20" s="123"/>
      <c r="E20" s="107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9"/>
      <c r="D21" s="123"/>
      <c r="E21" s="107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9"/>
      <c r="D22" s="123"/>
      <c r="E22" s="107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4" si="6">ROW()-13</f>
        <v>10</v>
      </c>
      <c r="C23" s="69"/>
      <c r="D23" s="123"/>
      <c r="E23" s="107"/>
      <c r="F23" s="28"/>
      <c r="G23" s="17">
        <f t="shared" ref="G23" si="7">B23</f>
        <v>10</v>
      </c>
      <c r="H23" s="52">
        <f t="shared" ref="H23" si="8">C23</f>
        <v>0</v>
      </c>
      <c r="I23" s="70">
        <f t="shared" ref="I23" si="9">D23</f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9"/>
      <c r="D24" s="123"/>
      <c r="E24" s="107"/>
      <c r="F24" s="28"/>
      <c r="G24" s="17">
        <f t="shared" ref="G24:I24" si="10">B24</f>
        <v>11</v>
      </c>
      <c r="H24" s="52">
        <f t="shared" si="10"/>
        <v>0</v>
      </c>
      <c r="I24" s="70">
        <f t="shared" si="10"/>
        <v>0</v>
      </c>
      <c r="J24" s="71"/>
      <c r="K24" s="16">
        <f>E24</f>
        <v>0</v>
      </c>
      <c r="L24" s="29"/>
      <c r="M24" s="13"/>
      <c r="N24" s="14"/>
      <c r="O24" s="18"/>
    </row>
    <row r="25" spans="2:15" ht="34.15" customHeight="1">
      <c r="B25" s="4"/>
      <c r="C25" s="64" t="s">
        <v>29</v>
      </c>
      <c r="D25" s="6"/>
      <c r="E25" s="5"/>
      <c r="F25" s="65" t="s">
        <v>30</v>
      </c>
      <c r="G25" s="43"/>
      <c r="H25" s="190" t="s">
        <v>31</v>
      </c>
      <c r="I25" s="191"/>
      <c r="J25" s="192"/>
      <c r="K25" s="44"/>
      <c r="L25" s="50"/>
      <c r="M25" s="50"/>
      <c r="N25" s="50"/>
      <c r="O25" s="50"/>
    </row>
    <row r="26" spans="2:15" ht="12.6" customHeight="1">
      <c r="B26" s="4"/>
      <c r="C26" s="5"/>
      <c r="D26" s="6"/>
      <c r="E26" s="5"/>
      <c r="F26" s="7"/>
      <c r="G26" s="33"/>
      <c r="H26" s="33"/>
      <c r="I26" s="33"/>
      <c r="J26" s="33"/>
      <c r="K26" s="33"/>
      <c r="L26" s="51"/>
      <c r="M26" s="51"/>
      <c r="N26" s="51"/>
      <c r="O26" s="51"/>
    </row>
    <row r="27" spans="2:15" ht="18.75">
      <c r="B27" s="4"/>
      <c r="C27" s="5"/>
      <c r="D27" s="6"/>
      <c r="E27" s="5"/>
      <c r="F27" s="7"/>
      <c r="G27" s="34" t="s">
        <v>32</v>
      </c>
    </row>
    <row r="28" spans="2:15" ht="18.75">
      <c r="B28" s="4"/>
      <c r="D28" s="6"/>
      <c r="E28" s="5"/>
      <c r="F28" s="7"/>
      <c r="G28" s="35" t="s">
        <v>33</v>
      </c>
    </row>
    <row r="29" spans="2:15" ht="18.75">
      <c r="C29" s="41" t="s">
        <v>34</v>
      </c>
      <c r="D29" s="5"/>
      <c r="E29" s="9" t="s">
        <v>35</v>
      </c>
      <c r="F29" s="9" t="s">
        <v>36</v>
      </c>
      <c r="G29" s="35" t="s">
        <v>37</v>
      </c>
    </row>
    <row r="30" spans="2:15" ht="18.75">
      <c r="B30" s="5"/>
      <c r="G30" s="8" t="s">
        <v>38</v>
      </c>
    </row>
  </sheetData>
  <mergeCells count="21">
    <mergeCell ref="B12:B13"/>
    <mergeCell ref="C12:C13"/>
    <mergeCell ref="D12:D13"/>
    <mergeCell ref="E12:E13"/>
    <mergeCell ref="G2:I5"/>
    <mergeCell ref="G6:O6"/>
    <mergeCell ref="B11:C11"/>
    <mergeCell ref="J3:M5"/>
    <mergeCell ref="N3:O3"/>
    <mergeCell ref="N4:O4"/>
    <mergeCell ref="N5:O5"/>
    <mergeCell ref="N2:O2"/>
    <mergeCell ref="B2:D5"/>
    <mergeCell ref="E2:F5"/>
    <mergeCell ref="H25:J25"/>
    <mergeCell ref="F12:F13"/>
    <mergeCell ref="G12:G13"/>
    <mergeCell ref="O12:O13"/>
    <mergeCell ref="H12:H13"/>
    <mergeCell ref="I12:J13"/>
    <mergeCell ref="K12:K13"/>
  </mergeCells>
  <pageMargins left="0.45" right="0.17" top="0.37" bottom="0.41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B1:O21"/>
  <sheetViews>
    <sheetView zoomScale="70" zoomScaleNormal="70" workbookViewId="0">
      <selection activeCell="C14" sqref="C14:F15"/>
    </sheetView>
  </sheetViews>
  <sheetFormatPr defaultColWidth="8.85546875" defaultRowHeight="15"/>
  <cols>
    <col min="1" max="1" width="0.285156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20.5703125" style="45" customWidth="1"/>
    <col min="6" max="6" width="25.2851562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1.2851562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16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44</v>
      </c>
      <c r="F9" s="60"/>
      <c r="G9" s="54" t="str">
        <f>B9</f>
        <v>- Thời gian:</v>
      </c>
      <c r="H9" s="40"/>
      <c r="I9" s="53" t="str">
        <f>D9</f>
        <v>S18/8/2026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20</v>
      </c>
      <c r="F10" s="39"/>
      <c r="G10" s="54" t="str">
        <f>B10</f>
        <v>- Địa điểm:</v>
      </c>
      <c r="H10" s="40"/>
      <c r="I10" s="48" t="str">
        <f>D10</f>
        <v>VNBA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COUNTIF($L$14:$L29,"x")&amp;"/"&amp;COUNTA($L$14:$L29)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S18/8/2026</v>
      </c>
      <c r="M13" s="15"/>
      <c r="N13" s="15"/>
      <c r="O13" s="189"/>
    </row>
    <row r="14" spans="2:15" ht="22.15" customHeight="1">
      <c r="B14" s="17">
        <f>ROW()-13</f>
        <v>1</v>
      </c>
      <c r="C14" s="69"/>
      <c r="D14" s="123"/>
      <c r="E14" s="107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" si="0">ROW()-13</f>
        <v>2</v>
      </c>
      <c r="C15" s="69"/>
      <c r="D15" s="123"/>
      <c r="E15" s="107"/>
      <c r="F15" s="28"/>
      <c r="G15" s="17">
        <f t="shared" ref="G15:H15" si="1">B15</f>
        <v>2</v>
      </c>
      <c r="H15" s="52">
        <f t="shared" si="1"/>
        <v>0</v>
      </c>
      <c r="I15" s="70">
        <f t="shared" ref="I15" si="2">D15</f>
        <v>0</v>
      </c>
      <c r="J15" s="71"/>
      <c r="K15" s="16">
        <f t="shared" ref="K15" si="3">E15</f>
        <v>0</v>
      </c>
      <c r="L15" s="29"/>
      <c r="M15" s="13"/>
      <c r="N15" s="14"/>
      <c r="O15" s="18"/>
    </row>
    <row r="16" spans="2:15" ht="34.15" customHeight="1">
      <c r="B16" s="4"/>
      <c r="C16" s="64" t="s">
        <v>29</v>
      </c>
      <c r="D16" s="6"/>
      <c r="E16" s="5"/>
      <c r="F16" s="65" t="s">
        <v>30</v>
      </c>
      <c r="G16" s="43"/>
      <c r="H16" s="190" t="s">
        <v>31</v>
      </c>
      <c r="I16" s="191"/>
      <c r="J16" s="192"/>
      <c r="K16" s="44"/>
      <c r="L16" s="50"/>
      <c r="M16" s="50"/>
      <c r="N16" s="50"/>
      <c r="O16" s="50"/>
    </row>
    <row r="17" spans="2:15" ht="12.6" customHeight="1">
      <c r="B17" s="4"/>
      <c r="C17" s="5"/>
      <c r="D17" s="6"/>
      <c r="E17" s="5"/>
      <c r="F17" s="7"/>
      <c r="G17" s="33"/>
      <c r="H17" s="33"/>
      <c r="I17" s="33"/>
      <c r="J17" s="33"/>
      <c r="K17" s="33"/>
      <c r="L17" s="51"/>
      <c r="M17" s="51"/>
      <c r="N17" s="51"/>
      <c r="O17" s="51"/>
    </row>
    <row r="18" spans="2:15" ht="18.75">
      <c r="B18" s="4"/>
      <c r="C18" s="5"/>
      <c r="D18" s="6"/>
      <c r="E18" s="5"/>
      <c r="F18" s="7"/>
      <c r="G18" s="34" t="s">
        <v>32</v>
      </c>
    </row>
    <row r="19" spans="2:15" ht="18.75">
      <c r="B19" s="4"/>
      <c r="D19" s="6"/>
      <c r="E19" s="5"/>
      <c r="F19" s="7"/>
      <c r="G19" s="35" t="s">
        <v>33</v>
      </c>
    </row>
    <row r="20" spans="2:15" ht="18.75">
      <c r="C20" s="41" t="s">
        <v>34</v>
      </c>
      <c r="D20" s="5"/>
      <c r="E20" s="9" t="s">
        <v>35</v>
      </c>
      <c r="F20" s="9" t="s">
        <v>36</v>
      </c>
      <c r="G20" s="35" t="s">
        <v>37</v>
      </c>
    </row>
    <row r="21" spans="2:15" ht="18.75">
      <c r="B21" s="5"/>
      <c r="G21" s="8" t="s">
        <v>38</v>
      </c>
    </row>
  </sheetData>
  <mergeCells count="22">
    <mergeCell ref="B2:D5"/>
    <mergeCell ref="E2:F5"/>
    <mergeCell ref="F12:F13"/>
    <mergeCell ref="N2:O2"/>
    <mergeCell ref="J3:M5"/>
    <mergeCell ref="N3:O3"/>
    <mergeCell ref="B11:C11"/>
    <mergeCell ref="G12:G13"/>
    <mergeCell ref="H12:H13"/>
    <mergeCell ref="B12:B13"/>
    <mergeCell ref="C12:C13"/>
    <mergeCell ref="D12:D13"/>
    <mergeCell ref="E12:E13"/>
    <mergeCell ref="D7:F7"/>
    <mergeCell ref="H16:J16"/>
    <mergeCell ref="N4:O4"/>
    <mergeCell ref="N5:O5"/>
    <mergeCell ref="G6:O6"/>
    <mergeCell ref="I12:J13"/>
    <mergeCell ref="K12:K13"/>
    <mergeCell ref="O12:O13"/>
    <mergeCell ref="G2:I5"/>
  </mergeCells>
  <pageMargins left="0.45" right="0.17" top="0.37" bottom="0.41" header="0.3" footer="0.3"/>
  <pageSetup paperSize="9" orientation="portrait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O21"/>
  <sheetViews>
    <sheetView zoomScale="85" zoomScaleNormal="85" workbookViewId="0">
      <selection activeCell="D11" sqref="D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1:15" ht="8.25" customHeight="1"/>
    <row r="2" spans="1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1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1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1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1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1:15" s="48" customFormat="1" ht="39.75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1:15" s="48" customFormat="1" ht="22.5" customHeight="1">
      <c r="B8" s="54" t="s">
        <v>16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1:15" s="48" customFormat="1" ht="22.5" customHeight="1">
      <c r="B9" s="54" t="s">
        <v>17</v>
      </c>
      <c r="C9" s="54"/>
      <c r="D9" s="59" t="s">
        <v>45</v>
      </c>
      <c r="F9" s="60"/>
      <c r="G9" s="54" t="str">
        <f>B9</f>
        <v>- Thời gian:</v>
      </c>
      <c r="H9" s="40"/>
      <c r="I9" s="53" t="str">
        <f>D9</f>
        <v>C18/8/2026</v>
      </c>
      <c r="J9" s="53"/>
      <c r="K9" s="61"/>
      <c r="L9" s="60"/>
      <c r="M9" s="60"/>
      <c r="N9" s="57"/>
      <c r="O9" s="58"/>
    </row>
    <row r="10" spans="1:15" s="48" customFormat="1" ht="22.5" customHeight="1">
      <c r="B10" s="54" t="s">
        <v>19</v>
      </c>
      <c r="C10" s="54"/>
      <c r="D10" s="39" t="s">
        <v>20</v>
      </c>
      <c r="F10" s="39"/>
      <c r="G10" s="54" t="str">
        <f>B10</f>
        <v>- Địa điểm:</v>
      </c>
      <c r="H10" s="40"/>
      <c r="I10" s="48" t="str">
        <f>D10</f>
        <v>VNBA</v>
      </c>
      <c r="K10" s="56"/>
      <c r="L10" s="39"/>
      <c r="M10" s="39"/>
      <c r="N10" s="57"/>
      <c r="O10" s="58"/>
    </row>
    <row r="11" spans="1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COUNTIF($L$16:$L29,"x")&amp;"/"&amp;COUNTA($L$16:$L29)</f>
        <v>0/0</v>
      </c>
      <c r="M11" s="57"/>
      <c r="N11" s="58"/>
      <c r="O11" s="58"/>
    </row>
    <row r="12" spans="1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1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C18/8/2026</v>
      </c>
      <c r="M13" s="15"/>
      <c r="N13" s="15"/>
      <c r="O13" s="189"/>
    </row>
    <row r="14" spans="1:15" ht="24.75" customHeight="1">
      <c r="B14" s="17">
        <f>ROW()-13</f>
        <v>1</v>
      </c>
      <c r="C14" s="69"/>
      <c r="D14" s="123"/>
      <c r="E14" s="107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1:15" ht="22.15" customHeight="1">
      <c r="B15" s="17">
        <f t="shared" ref="B15" si="0">ROW()-13</f>
        <v>2</v>
      </c>
      <c r="C15" s="69"/>
      <c r="D15" s="123"/>
      <c r="E15" s="107"/>
      <c r="F15" s="28"/>
      <c r="G15" s="17">
        <f t="shared" ref="G15" si="1">B15</f>
        <v>2</v>
      </c>
      <c r="H15" s="52">
        <f t="shared" ref="H15" si="2">C15</f>
        <v>0</v>
      </c>
      <c r="I15" s="70">
        <f t="shared" ref="I15" si="3">D15</f>
        <v>0</v>
      </c>
      <c r="J15" s="71"/>
      <c r="K15" s="16">
        <f t="shared" ref="K15" si="4">E15</f>
        <v>0</v>
      </c>
      <c r="L15" s="29"/>
      <c r="M15" s="13"/>
      <c r="N15" s="14"/>
      <c r="O15" s="18"/>
    </row>
    <row r="16" spans="1:15" ht="34.15" customHeight="1">
      <c r="A16" s="45" t="s">
        <v>46</v>
      </c>
      <c r="B16" s="4"/>
      <c r="C16" s="64" t="s">
        <v>29</v>
      </c>
      <c r="D16" s="6"/>
      <c r="E16" s="5"/>
      <c r="F16" s="65" t="s">
        <v>30</v>
      </c>
      <c r="G16" s="43"/>
      <c r="H16" s="190" t="s">
        <v>31</v>
      </c>
      <c r="I16" s="191"/>
      <c r="J16" s="192"/>
      <c r="K16" s="44"/>
      <c r="L16" s="50"/>
      <c r="M16" s="50"/>
      <c r="N16" s="50"/>
      <c r="O16" s="50"/>
    </row>
    <row r="17" spans="2:15" ht="12.6" customHeight="1">
      <c r="B17" s="4"/>
      <c r="C17" s="5"/>
      <c r="D17" s="6"/>
      <c r="E17" s="5"/>
      <c r="F17" s="7"/>
      <c r="G17" s="33"/>
      <c r="H17" s="33"/>
      <c r="I17" s="33"/>
      <c r="J17" s="33"/>
      <c r="K17" s="33"/>
      <c r="L17" s="51"/>
      <c r="M17" s="51"/>
      <c r="N17" s="51"/>
      <c r="O17" s="51"/>
    </row>
    <row r="18" spans="2:15" ht="18.75">
      <c r="B18" s="4"/>
      <c r="C18" s="5"/>
      <c r="D18" s="6"/>
      <c r="E18" s="5"/>
      <c r="F18" s="7"/>
      <c r="G18" s="34" t="s">
        <v>32</v>
      </c>
    </row>
    <row r="19" spans="2:15" ht="18.75">
      <c r="B19" s="4"/>
      <c r="D19" s="6"/>
      <c r="E19" s="5"/>
      <c r="F19" s="7"/>
      <c r="G19" s="35" t="s">
        <v>33</v>
      </c>
    </row>
    <row r="20" spans="2:15" ht="18.75">
      <c r="C20" s="41" t="s">
        <v>34</v>
      </c>
      <c r="D20" s="5"/>
      <c r="E20" s="9" t="s">
        <v>35</v>
      </c>
      <c r="F20" s="9" t="s">
        <v>36</v>
      </c>
      <c r="G20" s="35" t="s">
        <v>37</v>
      </c>
    </row>
    <row r="21" spans="2:15" ht="18.75">
      <c r="B21" s="5"/>
      <c r="G21" s="8" t="s">
        <v>38</v>
      </c>
    </row>
  </sheetData>
  <mergeCells count="22">
    <mergeCell ref="B2:D5"/>
    <mergeCell ref="E2:F5"/>
    <mergeCell ref="F12:F13"/>
    <mergeCell ref="N2:O2"/>
    <mergeCell ref="J3:M5"/>
    <mergeCell ref="N3:O3"/>
    <mergeCell ref="B11:C11"/>
    <mergeCell ref="G12:G13"/>
    <mergeCell ref="H12:H13"/>
    <mergeCell ref="B12:B13"/>
    <mergeCell ref="C12:C13"/>
    <mergeCell ref="D12:D13"/>
    <mergeCell ref="E12:E13"/>
    <mergeCell ref="D7:F7"/>
    <mergeCell ref="H16:J16"/>
    <mergeCell ref="N4:O4"/>
    <mergeCell ref="N5:O5"/>
    <mergeCell ref="G6:O6"/>
    <mergeCell ref="I12:J13"/>
    <mergeCell ref="K12:K13"/>
    <mergeCell ref="O12:O13"/>
    <mergeCell ref="G2:I5"/>
  </mergeCells>
  <pageMargins left="0.45" right="0.17" top="0.37" bottom="0.41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B1:O39"/>
  <sheetViews>
    <sheetView zoomScale="70" zoomScaleNormal="70" workbookViewId="0">
      <selection activeCell="C14" sqref="C14:E33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44</v>
      </c>
      <c r="F9" s="60"/>
      <c r="G9" s="54" t="str">
        <f>B9</f>
        <v>- Thời gian:</v>
      </c>
      <c r="H9" s="40"/>
      <c r="I9" s="53" t="str">
        <f>D9</f>
        <v>S18/8/2026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S18/8/2026</v>
      </c>
      <c r="M13" s="15"/>
      <c r="N13" s="15"/>
      <c r="O13" s="189"/>
    </row>
    <row r="14" spans="2:15" ht="22.15" customHeight="1">
      <c r="B14" s="17">
        <f>ROW()-13</f>
        <v>1</v>
      </c>
      <c r="C14" s="128"/>
      <c r="D14" s="129"/>
      <c r="E14" s="130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128"/>
      <c r="D15" s="129"/>
      <c r="E15" s="130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105"/>
      <c r="D16" s="106"/>
      <c r="E16" s="107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105"/>
      <c r="D17" s="106"/>
      <c r="E17" s="107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105"/>
      <c r="D18" s="106"/>
      <c r="E18" s="107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105"/>
      <c r="D19" s="106"/>
      <c r="E19" s="107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105"/>
      <c r="D20" s="106"/>
      <c r="E20" s="107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105"/>
      <c r="D21" s="106"/>
      <c r="E21" s="107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105"/>
      <c r="D22" s="106"/>
      <c r="E22" s="107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105"/>
      <c r="D23" s="106"/>
      <c r="E23" s="107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128"/>
      <c r="D24" s="129"/>
      <c r="E24" s="130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128"/>
      <c r="D25" s="129"/>
      <c r="E25" s="130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128"/>
      <c r="D26" s="129"/>
      <c r="E26" s="130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128"/>
      <c r="D27" s="129"/>
      <c r="E27" s="130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128"/>
      <c r="D28" s="129"/>
      <c r="E28" s="130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128"/>
      <c r="D29" s="129"/>
      <c r="E29" s="130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128"/>
      <c r="D30" s="129"/>
      <c r="E30" s="130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3" si="12">ROW()-13</f>
        <v>18</v>
      </c>
      <c r="C31" s="128"/>
      <c r="D31" s="129"/>
      <c r="E31" s="130"/>
      <c r="F31" s="28"/>
      <c r="G31" s="17">
        <f t="shared" ref="G31" si="13">B31</f>
        <v>18</v>
      </c>
      <c r="H31" s="52">
        <f t="shared" ref="H31" si="14">C31</f>
        <v>0</v>
      </c>
      <c r="I31" s="70">
        <f t="shared" ref="I31" si="15">D31</f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>ROW()-13</f>
        <v>19</v>
      </c>
      <c r="C32" s="128"/>
      <c r="D32" s="129"/>
      <c r="E32" s="130"/>
      <c r="F32" s="138"/>
      <c r="G32" s="17">
        <f>B32</f>
        <v>19</v>
      </c>
      <c r="H32" s="52">
        <f>C32</f>
        <v>0</v>
      </c>
      <c r="I32" s="70">
        <f>D32</f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 t="shared" si="12"/>
        <v>20</v>
      </c>
      <c r="C33" s="105"/>
      <c r="D33" s="106"/>
      <c r="E33" s="107"/>
      <c r="F33" s="138"/>
      <c r="G33" s="17">
        <f t="shared" ref="G33:I33" si="16">B33</f>
        <v>20</v>
      </c>
      <c r="H33" s="52">
        <f t="shared" si="16"/>
        <v>0</v>
      </c>
      <c r="I33" s="70">
        <f t="shared" si="16"/>
        <v>0</v>
      </c>
      <c r="J33" s="71"/>
      <c r="K33" s="16">
        <f>E33</f>
        <v>0</v>
      </c>
      <c r="L33" s="29"/>
      <c r="M33" s="13"/>
      <c r="N33" s="14"/>
      <c r="O33" s="18"/>
    </row>
    <row r="34" spans="2:15" ht="34.15" customHeight="1">
      <c r="B34" s="4"/>
      <c r="C34" s="64" t="s">
        <v>29</v>
      </c>
      <c r="D34" s="6"/>
      <c r="E34" s="5"/>
      <c r="F34" s="65" t="s">
        <v>30</v>
      </c>
      <c r="G34" s="43"/>
      <c r="H34" s="190" t="s">
        <v>31</v>
      </c>
      <c r="I34" s="191"/>
      <c r="J34" s="192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32</v>
      </c>
    </row>
    <row r="37" spans="2:15" ht="18.75">
      <c r="B37" s="4"/>
      <c r="D37" s="6"/>
      <c r="E37" s="5"/>
      <c r="F37" s="7"/>
      <c r="G37" s="35" t="s">
        <v>33</v>
      </c>
    </row>
    <row r="38" spans="2:15" ht="18.75">
      <c r="C38" s="41" t="s">
        <v>34</v>
      </c>
      <c r="D38" s="5"/>
      <c r="E38" s="9" t="s">
        <v>35</v>
      </c>
      <c r="F38" s="9" t="s">
        <v>36</v>
      </c>
      <c r="G38" s="35" t="s">
        <v>37</v>
      </c>
    </row>
    <row r="39" spans="2:15" ht="18.75">
      <c r="B39" s="5"/>
      <c r="G39" s="8" t="s">
        <v>38</v>
      </c>
    </row>
  </sheetData>
  <mergeCells count="21">
    <mergeCell ref="E12:E13"/>
    <mergeCell ref="J3:M5"/>
    <mergeCell ref="N3:O3"/>
    <mergeCell ref="N4:O4"/>
    <mergeCell ref="N5:O5"/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</mergeCells>
  <pageMargins left="0.45" right="0.17" top="0.37" bottom="0.41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B1:O39"/>
  <sheetViews>
    <sheetView zoomScale="70" zoomScaleNormal="70" workbookViewId="0">
      <selection activeCell="C14" sqref="C14:E33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44</v>
      </c>
      <c r="F9" s="60"/>
      <c r="G9" s="54" t="str">
        <f>B9</f>
        <v>- Thời gian:</v>
      </c>
      <c r="H9" s="40"/>
      <c r="I9" s="53" t="str">
        <f>D9</f>
        <v>S18/8/2026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COUNTIF($L$14:$L47,"x")&amp;"/"&amp;COUNTA($L$14:$L47)</f>
        <v>17/20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S18/8/2026</v>
      </c>
      <c r="M13" s="15"/>
      <c r="N13" s="15"/>
      <c r="O13" s="189"/>
    </row>
    <row r="14" spans="2:15" ht="22.15" customHeight="1">
      <c r="B14" s="17">
        <f>ROW()-13</f>
        <v>1</v>
      </c>
      <c r="C14" s="128"/>
      <c r="D14" s="129"/>
      <c r="E14" s="130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 t="s">
        <v>48</v>
      </c>
      <c r="M14" s="13"/>
      <c r="N14" s="14"/>
      <c r="O14" s="15"/>
    </row>
    <row r="15" spans="2:15" ht="22.15" customHeight="1">
      <c r="B15" s="17">
        <f t="shared" ref="B15:B21" si="0">ROW()-13</f>
        <v>2</v>
      </c>
      <c r="C15" s="128"/>
      <c r="D15" s="129"/>
      <c r="E15" s="130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 t="s">
        <v>48</v>
      </c>
      <c r="M15" s="13"/>
      <c r="N15" s="14"/>
      <c r="O15" s="18"/>
    </row>
    <row r="16" spans="2:15" ht="22.15" customHeight="1">
      <c r="B16" s="17">
        <f t="shared" si="0"/>
        <v>3</v>
      </c>
      <c r="C16" s="105"/>
      <c r="D16" s="106"/>
      <c r="E16" s="107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 t="s">
        <v>48</v>
      </c>
      <c r="M16" s="13"/>
      <c r="N16" s="14"/>
      <c r="O16" s="15"/>
    </row>
    <row r="17" spans="2:15" ht="22.15" customHeight="1">
      <c r="B17" s="17">
        <f>ROW()-13</f>
        <v>4</v>
      </c>
      <c r="C17" s="105"/>
      <c r="D17" s="106"/>
      <c r="E17" s="107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 t="s">
        <v>48</v>
      </c>
      <c r="M17" s="13"/>
      <c r="N17" s="14"/>
      <c r="O17" s="15"/>
    </row>
    <row r="18" spans="2:15" ht="22.15" customHeight="1">
      <c r="B18" s="17">
        <f t="shared" si="0"/>
        <v>5</v>
      </c>
      <c r="C18" s="105"/>
      <c r="D18" s="106"/>
      <c r="E18" s="107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 t="s">
        <v>49</v>
      </c>
      <c r="M18" s="13"/>
      <c r="N18" s="14"/>
      <c r="O18" s="18" t="s">
        <v>50</v>
      </c>
    </row>
    <row r="19" spans="2:15" ht="22.15" customHeight="1">
      <c r="B19" s="17">
        <f t="shared" si="0"/>
        <v>6</v>
      </c>
      <c r="C19" s="105"/>
      <c r="D19" s="106"/>
      <c r="E19" s="107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 t="s">
        <v>49</v>
      </c>
      <c r="M19" s="13"/>
      <c r="N19" s="14"/>
      <c r="O19" s="15"/>
    </row>
    <row r="20" spans="2:15" ht="22.15" customHeight="1">
      <c r="B20" s="17">
        <f>ROW()-13</f>
        <v>7</v>
      </c>
      <c r="C20" s="105"/>
      <c r="D20" s="106"/>
      <c r="E20" s="107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 t="s">
        <v>48</v>
      </c>
      <c r="M20" s="13"/>
      <c r="N20" s="14"/>
      <c r="O20" s="15"/>
    </row>
    <row r="21" spans="2:15" ht="22.15" customHeight="1">
      <c r="B21" s="17">
        <f t="shared" si="0"/>
        <v>8</v>
      </c>
      <c r="C21" s="105"/>
      <c r="D21" s="106"/>
      <c r="E21" s="107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 t="s">
        <v>48</v>
      </c>
      <c r="M21" s="13"/>
      <c r="N21" s="14"/>
      <c r="O21" s="18"/>
    </row>
    <row r="22" spans="2:15" ht="22.15" customHeight="1">
      <c r="B22" s="17">
        <f>ROW()-13</f>
        <v>9</v>
      </c>
      <c r="C22" s="105"/>
      <c r="D22" s="106"/>
      <c r="E22" s="107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 t="s">
        <v>48</v>
      </c>
      <c r="M22" s="13"/>
      <c r="N22" s="14"/>
      <c r="O22" s="15"/>
    </row>
    <row r="23" spans="2:15" ht="22.15" customHeight="1">
      <c r="B23" s="17">
        <f t="shared" ref="B23:B29" si="6">ROW()-13</f>
        <v>10</v>
      </c>
      <c r="C23" s="105"/>
      <c r="D23" s="106"/>
      <c r="E23" s="107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 t="s">
        <v>48</v>
      </c>
      <c r="M23" s="13"/>
      <c r="N23" s="14"/>
      <c r="O23" s="18"/>
    </row>
    <row r="24" spans="2:15" ht="22.15" customHeight="1">
      <c r="B24" s="17">
        <f t="shared" si="6"/>
        <v>11</v>
      </c>
      <c r="C24" s="128"/>
      <c r="D24" s="129"/>
      <c r="E24" s="130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 t="s">
        <v>51</v>
      </c>
      <c r="M24" s="13"/>
      <c r="N24" s="14"/>
      <c r="O24" s="15"/>
    </row>
    <row r="25" spans="2:15" ht="22.15" customHeight="1">
      <c r="B25" s="17">
        <f>ROW()-13</f>
        <v>12</v>
      </c>
      <c r="C25" s="128"/>
      <c r="D25" s="129"/>
      <c r="E25" s="130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 t="s">
        <v>48</v>
      </c>
      <c r="M25" s="13"/>
      <c r="N25" s="14"/>
      <c r="O25" s="15"/>
    </row>
    <row r="26" spans="2:15" ht="22.15" customHeight="1">
      <c r="B26" s="17">
        <f t="shared" si="6"/>
        <v>13</v>
      </c>
      <c r="C26" s="128"/>
      <c r="D26" s="129"/>
      <c r="E26" s="130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 t="s">
        <v>48</v>
      </c>
      <c r="M26" s="13"/>
      <c r="N26" s="14"/>
      <c r="O26" s="18"/>
    </row>
    <row r="27" spans="2:15" ht="22.15" customHeight="1">
      <c r="B27" s="17">
        <f t="shared" si="6"/>
        <v>14</v>
      </c>
      <c r="C27" s="128"/>
      <c r="D27" s="129"/>
      <c r="E27" s="130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 t="s">
        <v>48</v>
      </c>
      <c r="M27" s="13"/>
      <c r="N27" s="14"/>
      <c r="O27" s="15"/>
    </row>
    <row r="28" spans="2:15" ht="22.15" customHeight="1">
      <c r="B28" s="17">
        <f>ROW()-13</f>
        <v>15</v>
      </c>
      <c r="C28" s="128"/>
      <c r="D28" s="129"/>
      <c r="E28" s="130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 t="s">
        <v>48</v>
      </c>
      <c r="M28" s="13"/>
      <c r="N28" s="14"/>
      <c r="O28" s="15"/>
    </row>
    <row r="29" spans="2:15" ht="22.15" customHeight="1">
      <c r="B29" s="17">
        <f t="shared" si="6"/>
        <v>16</v>
      </c>
      <c r="C29" s="128"/>
      <c r="D29" s="129"/>
      <c r="E29" s="130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 t="s">
        <v>49</v>
      </c>
      <c r="M29" s="13"/>
      <c r="N29" s="14"/>
      <c r="O29" s="18" t="s">
        <v>52</v>
      </c>
    </row>
    <row r="30" spans="2:15" ht="22.15" customHeight="1">
      <c r="B30" s="17">
        <f>ROW()-13</f>
        <v>17</v>
      </c>
      <c r="C30" s="128"/>
      <c r="D30" s="129"/>
      <c r="E30" s="130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 t="s">
        <v>48</v>
      </c>
      <c r="M30" s="13"/>
      <c r="N30" s="14"/>
      <c r="O30" s="15"/>
    </row>
    <row r="31" spans="2:15" ht="22.15" customHeight="1">
      <c r="B31" s="17">
        <f t="shared" ref="B31:B33" si="12">ROW()-13</f>
        <v>18</v>
      </c>
      <c r="C31" s="128"/>
      <c r="D31" s="129"/>
      <c r="E31" s="130"/>
      <c r="F31" s="28"/>
      <c r="G31" s="17">
        <f t="shared" ref="G31" si="13">B31</f>
        <v>18</v>
      </c>
      <c r="H31" s="52">
        <f t="shared" ref="H31" si="14">C31</f>
        <v>0</v>
      </c>
      <c r="I31" s="70">
        <f t="shared" ref="I31" si="15">D31</f>
        <v>0</v>
      </c>
      <c r="J31" s="71"/>
      <c r="K31" s="16">
        <f>E31</f>
        <v>0</v>
      </c>
      <c r="L31" s="29" t="s">
        <v>48</v>
      </c>
      <c r="M31" s="13"/>
      <c r="N31" s="14"/>
      <c r="O31" s="18"/>
    </row>
    <row r="32" spans="2:15" ht="22.15" customHeight="1">
      <c r="B32" s="17">
        <f>ROW()-13</f>
        <v>19</v>
      </c>
      <c r="C32" s="128"/>
      <c r="D32" s="129"/>
      <c r="E32" s="130"/>
      <c r="F32" s="27"/>
      <c r="G32" s="17">
        <f>B32</f>
        <v>19</v>
      </c>
      <c r="H32" s="52">
        <f>C32</f>
        <v>0</v>
      </c>
      <c r="I32" s="70">
        <f>D32</f>
        <v>0</v>
      </c>
      <c r="J32" s="71"/>
      <c r="K32" s="16">
        <f>E32</f>
        <v>0</v>
      </c>
      <c r="L32" s="29" t="s">
        <v>48</v>
      </c>
      <c r="M32" s="13"/>
      <c r="N32" s="14"/>
      <c r="O32" s="15"/>
    </row>
    <row r="33" spans="2:15" ht="22.15" customHeight="1">
      <c r="B33" s="17">
        <f t="shared" si="12"/>
        <v>20</v>
      </c>
      <c r="C33" s="105"/>
      <c r="D33" s="106"/>
      <c r="E33" s="107"/>
      <c r="F33" s="28"/>
      <c r="G33" s="17">
        <f t="shared" ref="G33:I33" si="16">B33</f>
        <v>20</v>
      </c>
      <c r="H33" s="52">
        <f t="shared" si="16"/>
        <v>0</v>
      </c>
      <c r="I33" s="70">
        <f t="shared" si="16"/>
        <v>0</v>
      </c>
      <c r="J33" s="71"/>
      <c r="K33" s="16">
        <f>E33</f>
        <v>0</v>
      </c>
      <c r="L33" s="29" t="s">
        <v>48</v>
      </c>
      <c r="M33" s="13"/>
      <c r="N33" s="14"/>
      <c r="O33" s="18"/>
    </row>
    <row r="34" spans="2:15" ht="34.15" customHeight="1">
      <c r="B34" s="4"/>
      <c r="C34" s="64" t="s">
        <v>29</v>
      </c>
      <c r="D34" s="6"/>
      <c r="E34" s="5"/>
      <c r="F34" s="65" t="s">
        <v>30</v>
      </c>
      <c r="G34" s="43"/>
      <c r="H34" s="190" t="s">
        <v>31</v>
      </c>
      <c r="I34" s="191"/>
      <c r="J34" s="192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32</v>
      </c>
    </row>
    <row r="37" spans="2:15" ht="18.75">
      <c r="B37" s="4"/>
      <c r="D37" s="6"/>
      <c r="E37" s="5"/>
      <c r="F37" s="7"/>
      <c r="G37" s="35" t="s">
        <v>33</v>
      </c>
    </row>
    <row r="38" spans="2:15" ht="18.75">
      <c r="C38" s="41" t="s">
        <v>34</v>
      </c>
      <c r="D38" s="5"/>
      <c r="E38" s="9" t="s">
        <v>35</v>
      </c>
      <c r="F38" s="9" t="s">
        <v>36</v>
      </c>
      <c r="G38" s="35" t="s">
        <v>37</v>
      </c>
    </row>
    <row r="39" spans="2:15" ht="18.75">
      <c r="B39" s="5"/>
      <c r="G39" s="8" t="s">
        <v>38</v>
      </c>
    </row>
  </sheetData>
  <mergeCells count="21">
    <mergeCell ref="N4:O4"/>
    <mergeCell ref="N5:O5"/>
    <mergeCell ref="G6:O6"/>
    <mergeCell ref="I12:J13"/>
    <mergeCell ref="K12:K13"/>
    <mergeCell ref="O12:O13"/>
    <mergeCell ref="G2:I5"/>
    <mergeCell ref="N2:O2"/>
    <mergeCell ref="J3:M5"/>
    <mergeCell ref="N3:O3"/>
    <mergeCell ref="B2:D5"/>
    <mergeCell ref="E2:F5"/>
    <mergeCell ref="H34:J34"/>
    <mergeCell ref="F12:F13"/>
    <mergeCell ref="G12:G13"/>
    <mergeCell ref="H12:H13"/>
    <mergeCell ref="B11:C11"/>
    <mergeCell ref="B12:B13"/>
    <mergeCell ref="C12:C13"/>
    <mergeCell ref="D12:D13"/>
    <mergeCell ref="E12:E13"/>
  </mergeCells>
  <conditionalFormatting sqref="C14:C33">
    <cfRule type="duplicateValues" dxfId="1808" priority="257" stopIfTrue="1"/>
    <cfRule type="expression" dxfId="1807" priority="258" stopIfTrue="1">
      <formula>AND(COUNTIF($C$1:$C$1284, C14)+COUNTIF($C$1286:$C$65367, C14)&gt;1,NOT(ISBLANK(C14)))</formula>
    </cfRule>
    <cfRule type="expression" dxfId="1806" priority="259" stopIfTrue="1">
      <formula>AND(COUNTIF($C$1:$C$1287, C14)+COUNTIF($C$1288:$C$65367, C14)&gt;1,NOT(ISBLANK(C14)))</formula>
    </cfRule>
    <cfRule type="expression" dxfId="1805" priority="260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pageSetUpPr fitToPage="1"/>
  </sheetPr>
  <dimension ref="B1:O37"/>
  <sheetViews>
    <sheetView zoomScale="70" zoomScaleNormal="70" workbookViewId="0">
      <selection activeCell="D11" sqref="D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20.5703125" style="45" customWidth="1"/>
    <col min="6" max="6" width="25.2851562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1.2851562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53</v>
      </c>
      <c r="F9" s="60"/>
      <c r="G9" s="54" t="str">
        <f>B9</f>
        <v>- Thời gian:</v>
      </c>
      <c r="H9" s="40"/>
      <c r="I9" s="53" t="str">
        <f>D9</f>
        <v>S17/8/2026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COUNTIF($L$14:$L42,"x")&amp;"/"&amp;COUNTA($L$14:$L42)</f>
        <v>15/15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S17/8/2026</v>
      </c>
      <c r="M13" s="15"/>
      <c r="N13" s="15"/>
      <c r="O13" s="189"/>
    </row>
    <row r="14" spans="2:15" ht="22.15" customHeight="1">
      <c r="B14" s="17">
        <f t="shared" ref="B14:B17" si="0">ROW()-13</f>
        <v>1</v>
      </c>
      <c r="C14" s="126"/>
      <c r="D14" s="127"/>
      <c r="E14" s="126"/>
      <c r="F14" s="28"/>
      <c r="G14" s="17">
        <f t="shared" ref="G14:H15" si="1">B14</f>
        <v>1</v>
      </c>
      <c r="H14" s="52">
        <f t="shared" si="1"/>
        <v>0</v>
      </c>
      <c r="I14" s="70">
        <f t="shared" ref="I14:I17" si="2">D14</f>
        <v>0</v>
      </c>
      <c r="J14" s="71"/>
      <c r="K14" s="16">
        <f t="shared" ref="K14:K15" si="3">E14</f>
        <v>0</v>
      </c>
      <c r="L14" s="29" t="s">
        <v>51</v>
      </c>
      <c r="M14" s="13"/>
      <c r="N14" s="14"/>
      <c r="O14" s="18"/>
    </row>
    <row r="15" spans="2:15" ht="22.15" customHeight="1">
      <c r="B15" s="17">
        <f t="shared" si="0"/>
        <v>2</v>
      </c>
      <c r="C15" s="126"/>
      <c r="D15" s="127"/>
      <c r="E15" s="126"/>
      <c r="F15" s="28"/>
      <c r="G15" s="17">
        <f t="shared" si="1"/>
        <v>2</v>
      </c>
      <c r="H15" s="52">
        <f t="shared" si="1"/>
        <v>0</v>
      </c>
      <c r="I15" s="70">
        <f t="shared" si="2"/>
        <v>0</v>
      </c>
      <c r="J15" s="71"/>
      <c r="K15" s="16">
        <f t="shared" si="3"/>
        <v>0</v>
      </c>
      <c r="L15" s="29" t="s">
        <v>51</v>
      </c>
      <c r="M15" s="13"/>
      <c r="N15" s="14"/>
      <c r="O15" s="15"/>
    </row>
    <row r="16" spans="2:15" ht="22.15" customHeight="1">
      <c r="B16" s="17">
        <f>ROW()-13</f>
        <v>3</v>
      </c>
      <c r="C16" s="126"/>
      <c r="D16" s="127"/>
      <c r="E16" s="126"/>
      <c r="F16" s="27"/>
      <c r="G16" s="17">
        <f>B16</f>
        <v>3</v>
      </c>
      <c r="H16" s="52">
        <f>C16</f>
        <v>0</v>
      </c>
      <c r="I16" s="70">
        <f t="shared" si="2"/>
        <v>0</v>
      </c>
      <c r="J16" s="71"/>
      <c r="K16" s="16">
        <f>E16</f>
        <v>0</v>
      </c>
      <c r="L16" s="29" t="s">
        <v>51</v>
      </c>
      <c r="M16" s="13"/>
      <c r="N16" s="14"/>
      <c r="O16" s="15"/>
    </row>
    <row r="17" spans="2:15" ht="22.15" customHeight="1">
      <c r="B17" s="17">
        <f t="shared" si="0"/>
        <v>4</v>
      </c>
      <c r="C17" s="126"/>
      <c r="D17" s="127"/>
      <c r="E17" s="126"/>
      <c r="F17" s="28"/>
      <c r="G17" s="17">
        <f t="shared" ref="G17:H17" si="4">B17</f>
        <v>4</v>
      </c>
      <c r="H17" s="52">
        <f t="shared" si="4"/>
        <v>0</v>
      </c>
      <c r="I17" s="70">
        <f t="shared" si="2"/>
        <v>0</v>
      </c>
      <c r="J17" s="71"/>
      <c r="K17" s="16">
        <f t="shared" ref="K17" si="5">E17</f>
        <v>0</v>
      </c>
      <c r="L17" s="29" t="s">
        <v>51</v>
      </c>
      <c r="M17" s="13"/>
      <c r="N17" s="14"/>
      <c r="O17" s="18"/>
    </row>
    <row r="18" spans="2:15" ht="22.15" customHeight="1">
      <c r="B18" s="17">
        <f>ROW()-13</f>
        <v>5</v>
      </c>
      <c r="C18" s="126"/>
      <c r="D18" s="127"/>
      <c r="E18" s="126"/>
      <c r="F18" s="27"/>
      <c r="G18" s="17">
        <f>B18</f>
        <v>5</v>
      </c>
      <c r="H18" s="52">
        <f>C18</f>
        <v>0</v>
      </c>
      <c r="I18" s="70">
        <f>D18</f>
        <v>0</v>
      </c>
      <c r="J18" s="71"/>
      <c r="K18" s="16">
        <f>E18</f>
        <v>0</v>
      </c>
      <c r="L18" s="29" t="s">
        <v>51</v>
      </c>
      <c r="M18" s="13"/>
      <c r="N18" s="14"/>
      <c r="O18" s="15"/>
    </row>
    <row r="19" spans="2:15" ht="22.15" customHeight="1">
      <c r="B19" s="17">
        <f t="shared" ref="B19:B24" si="6">ROW()-13</f>
        <v>6</v>
      </c>
      <c r="C19" s="126"/>
      <c r="D19" s="127"/>
      <c r="E19" s="126"/>
      <c r="F19" s="28"/>
      <c r="G19" s="17">
        <f t="shared" ref="G19:I24" si="7">B19</f>
        <v>6</v>
      </c>
      <c r="H19" s="52">
        <f t="shared" si="7"/>
        <v>0</v>
      </c>
      <c r="I19" s="70">
        <f t="shared" si="7"/>
        <v>0</v>
      </c>
      <c r="J19" s="71"/>
      <c r="K19" s="16">
        <f>E19</f>
        <v>0</v>
      </c>
      <c r="L19" s="29" t="s">
        <v>51</v>
      </c>
      <c r="M19" s="13"/>
      <c r="N19" s="14"/>
      <c r="O19" s="18"/>
    </row>
    <row r="20" spans="2:15" ht="22.15" customHeight="1">
      <c r="B20" s="17">
        <f t="shared" si="6"/>
        <v>7</v>
      </c>
      <c r="C20" s="126"/>
      <c r="D20" s="127"/>
      <c r="E20" s="126"/>
      <c r="F20" s="28"/>
      <c r="G20" s="17">
        <f t="shared" si="7"/>
        <v>7</v>
      </c>
      <c r="H20" s="52">
        <f t="shared" si="7"/>
        <v>0</v>
      </c>
      <c r="I20" s="70">
        <f t="shared" si="7"/>
        <v>0</v>
      </c>
      <c r="J20" s="71"/>
      <c r="K20" s="16">
        <f>E20</f>
        <v>0</v>
      </c>
      <c r="L20" s="29" t="s">
        <v>51</v>
      </c>
      <c r="M20" s="13"/>
      <c r="N20" s="14"/>
      <c r="O20" s="15"/>
    </row>
    <row r="21" spans="2:15" ht="22.15" customHeight="1">
      <c r="B21" s="17">
        <f>ROW()-13</f>
        <v>8</v>
      </c>
      <c r="C21" s="126"/>
      <c r="D21" s="127"/>
      <c r="E21" s="126"/>
      <c r="F21" s="27"/>
      <c r="G21" s="17">
        <f>B21</f>
        <v>8</v>
      </c>
      <c r="H21" s="52">
        <f>C21</f>
        <v>0</v>
      </c>
      <c r="I21" s="70">
        <f t="shared" si="7"/>
        <v>0</v>
      </c>
      <c r="J21" s="71"/>
      <c r="K21" s="16">
        <f>E21</f>
        <v>0</v>
      </c>
      <c r="L21" s="29" t="s">
        <v>51</v>
      </c>
      <c r="M21" s="13"/>
      <c r="N21" s="14"/>
      <c r="O21" s="15"/>
    </row>
    <row r="22" spans="2:15" ht="22.15" customHeight="1">
      <c r="B22" s="17">
        <f t="shared" si="6"/>
        <v>9</v>
      </c>
      <c r="C22" s="126"/>
      <c r="D22" s="127"/>
      <c r="E22" s="126"/>
      <c r="F22" s="28"/>
      <c r="G22" s="17">
        <f t="shared" ref="G22:H22" si="8">B22</f>
        <v>9</v>
      </c>
      <c r="H22" s="52">
        <f t="shared" si="8"/>
        <v>0</v>
      </c>
      <c r="I22" s="70">
        <f t="shared" si="7"/>
        <v>0</v>
      </c>
      <c r="J22" s="71"/>
      <c r="K22" s="16">
        <f t="shared" ref="K22" si="9">E22</f>
        <v>0</v>
      </c>
      <c r="L22" s="29" t="s">
        <v>51</v>
      </c>
      <c r="M22" s="13"/>
      <c r="N22" s="14"/>
      <c r="O22" s="18"/>
    </row>
    <row r="23" spans="2:15" ht="22.15" customHeight="1">
      <c r="B23" s="17">
        <f>ROW()-13</f>
        <v>10</v>
      </c>
      <c r="C23" s="126"/>
      <c r="D23" s="127"/>
      <c r="E23" s="126"/>
      <c r="F23" s="27"/>
      <c r="G23" s="17">
        <f>B23</f>
        <v>10</v>
      </c>
      <c r="H23" s="52">
        <f>C23</f>
        <v>0</v>
      </c>
      <c r="I23" s="70">
        <f t="shared" si="7"/>
        <v>0</v>
      </c>
      <c r="J23" s="71"/>
      <c r="K23" s="16">
        <f>E23</f>
        <v>0</v>
      </c>
      <c r="L23" s="29" t="s">
        <v>51</v>
      </c>
      <c r="M23" s="13"/>
      <c r="N23" s="14"/>
      <c r="O23" s="15"/>
    </row>
    <row r="24" spans="2:15" ht="22.15" customHeight="1">
      <c r="B24" s="17">
        <f t="shared" si="6"/>
        <v>11</v>
      </c>
      <c r="C24" s="126"/>
      <c r="D24" s="127"/>
      <c r="E24" s="126"/>
      <c r="F24" s="28"/>
      <c r="G24" s="17">
        <f t="shared" ref="G24:H24" si="10">B24</f>
        <v>11</v>
      </c>
      <c r="H24" s="52">
        <f t="shared" si="10"/>
        <v>0</v>
      </c>
      <c r="I24" s="70">
        <f t="shared" si="7"/>
        <v>0</v>
      </c>
      <c r="J24" s="71"/>
      <c r="K24" s="16">
        <f t="shared" ref="K24" si="11">E24</f>
        <v>0</v>
      </c>
      <c r="L24" s="29" t="s">
        <v>51</v>
      </c>
      <c r="M24" s="13"/>
      <c r="N24" s="14"/>
      <c r="O24" s="18"/>
    </row>
    <row r="25" spans="2:15" ht="22.15" customHeight="1">
      <c r="B25" s="17">
        <f>ROW()-13</f>
        <v>12</v>
      </c>
      <c r="C25" s="126"/>
      <c r="D25" s="127"/>
      <c r="E25" s="126"/>
      <c r="F25" s="27"/>
      <c r="G25" s="17">
        <f>B25</f>
        <v>12</v>
      </c>
      <c r="H25" s="52">
        <f>C25</f>
        <v>0</v>
      </c>
      <c r="I25" s="70">
        <f>D25</f>
        <v>0</v>
      </c>
      <c r="J25" s="71"/>
      <c r="K25" s="16">
        <f>E25</f>
        <v>0</v>
      </c>
      <c r="L25" s="29" t="s">
        <v>51</v>
      </c>
      <c r="M25" s="13"/>
      <c r="N25" s="14"/>
      <c r="O25" s="15"/>
    </row>
    <row r="26" spans="2:15" ht="22.15" customHeight="1">
      <c r="B26" s="17">
        <f t="shared" ref="B26:B28" si="12">ROW()-13</f>
        <v>13</v>
      </c>
      <c r="C26" s="126"/>
      <c r="D26" s="127"/>
      <c r="E26" s="126"/>
      <c r="F26" s="28"/>
      <c r="G26" s="17">
        <f t="shared" ref="G26:I26" si="13">B26</f>
        <v>13</v>
      </c>
      <c r="H26" s="52">
        <f t="shared" si="13"/>
        <v>0</v>
      </c>
      <c r="I26" s="70">
        <f t="shared" si="13"/>
        <v>0</v>
      </c>
      <c r="J26" s="71"/>
      <c r="K26" s="16">
        <f>E26</f>
        <v>0</v>
      </c>
      <c r="L26" s="29" t="s">
        <v>51</v>
      </c>
      <c r="M26" s="13"/>
      <c r="N26" s="14"/>
      <c r="O26" s="18"/>
    </row>
    <row r="27" spans="2:15" ht="22.15" customHeight="1">
      <c r="B27" s="17">
        <f t="shared" si="12"/>
        <v>14</v>
      </c>
      <c r="C27" s="126"/>
      <c r="D27" s="127"/>
      <c r="E27" s="126"/>
      <c r="F27" s="28"/>
      <c r="G27" s="17">
        <f t="shared" ref="G27" si="14">B27</f>
        <v>14</v>
      </c>
      <c r="H27" s="52">
        <f t="shared" ref="H27" si="15">C27</f>
        <v>0</v>
      </c>
      <c r="I27" s="70">
        <f t="shared" ref="I27" si="16">D27</f>
        <v>0</v>
      </c>
      <c r="J27" s="71"/>
      <c r="K27" s="16">
        <f>E27</f>
        <v>0</v>
      </c>
      <c r="L27" s="29" t="s">
        <v>51</v>
      </c>
      <c r="M27" s="13"/>
      <c r="N27" s="14"/>
      <c r="O27" s="15"/>
    </row>
    <row r="28" spans="2:15" ht="22.15" customHeight="1">
      <c r="B28" s="17">
        <f t="shared" si="12"/>
        <v>15</v>
      </c>
      <c r="C28" s="126"/>
      <c r="D28" s="127"/>
      <c r="E28" s="126"/>
      <c r="F28" s="28"/>
      <c r="G28" s="17">
        <f t="shared" ref="G28" si="17">B28</f>
        <v>15</v>
      </c>
      <c r="H28" s="52">
        <f t="shared" ref="H28" si="18">C28</f>
        <v>0</v>
      </c>
      <c r="I28" s="70">
        <f t="shared" ref="I28" si="19">D28</f>
        <v>0</v>
      </c>
      <c r="J28" s="71"/>
      <c r="K28" s="16">
        <f>E28</f>
        <v>0</v>
      </c>
      <c r="L28" s="29" t="s">
        <v>51</v>
      </c>
      <c r="M28" s="13"/>
      <c r="N28" s="14"/>
      <c r="O28" s="15"/>
    </row>
    <row r="29" spans="2:15" ht="34.15" customHeight="1">
      <c r="B29" s="4"/>
      <c r="C29" s="64" t="s">
        <v>29</v>
      </c>
      <c r="D29" s="6"/>
      <c r="E29" s="5"/>
      <c r="F29" s="65" t="s">
        <v>30</v>
      </c>
      <c r="G29" s="43"/>
      <c r="H29" s="190" t="s">
        <v>31</v>
      </c>
      <c r="I29" s="191"/>
      <c r="J29" s="192"/>
      <c r="K29" s="44"/>
      <c r="L29" s="50"/>
      <c r="M29" s="50"/>
      <c r="N29" s="50"/>
      <c r="O29" s="50"/>
    </row>
    <row r="30" spans="2:15" ht="12.6" customHeight="1">
      <c r="B30" s="4"/>
      <c r="C30" s="5"/>
      <c r="D30" s="6"/>
      <c r="E30" s="5"/>
      <c r="F30" s="7"/>
      <c r="G30" s="33"/>
      <c r="H30" s="33"/>
      <c r="I30" s="33"/>
      <c r="J30" s="33"/>
      <c r="K30" s="33"/>
      <c r="L30" s="51"/>
      <c r="M30" s="51"/>
      <c r="N30" s="51"/>
      <c r="O30" s="51"/>
    </row>
    <row r="31" spans="2:15" ht="18.75">
      <c r="B31" s="4"/>
      <c r="C31" s="5"/>
      <c r="D31" s="6"/>
      <c r="E31" s="5"/>
      <c r="F31" s="7"/>
      <c r="G31" s="34" t="s">
        <v>32</v>
      </c>
    </row>
    <row r="32" spans="2:15" ht="18.75">
      <c r="B32" s="4"/>
      <c r="D32" s="6"/>
      <c r="E32" s="5"/>
      <c r="F32" s="7"/>
      <c r="G32" s="35" t="s">
        <v>33</v>
      </c>
    </row>
    <row r="33" spans="2:8" ht="18.75">
      <c r="C33" s="41" t="s">
        <v>34</v>
      </c>
      <c r="D33" s="5"/>
      <c r="E33" s="9" t="s">
        <v>35</v>
      </c>
      <c r="F33" s="9" t="s">
        <v>36</v>
      </c>
      <c r="G33" s="35" t="s">
        <v>37</v>
      </c>
    </row>
    <row r="34" spans="2:8" ht="18.75">
      <c r="B34" s="5"/>
      <c r="G34" s="8" t="s">
        <v>38</v>
      </c>
    </row>
    <row r="37" spans="2:8">
      <c r="H37" s="51" t="s">
        <v>54</v>
      </c>
    </row>
  </sheetData>
  <mergeCells count="22">
    <mergeCell ref="D7:F7"/>
    <mergeCell ref="F12:F13"/>
    <mergeCell ref="G12:G13"/>
    <mergeCell ref="H12:H13"/>
    <mergeCell ref="B11:C11"/>
    <mergeCell ref="B12:B13"/>
    <mergeCell ref="C12:C13"/>
    <mergeCell ref="D12:D13"/>
    <mergeCell ref="E12:E13"/>
    <mergeCell ref="B2:D5"/>
    <mergeCell ref="E2:F5"/>
    <mergeCell ref="G2:I5"/>
    <mergeCell ref="N2:O2"/>
    <mergeCell ref="J3:M5"/>
    <mergeCell ref="N3:O3"/>
    <mergeCell ref="H29:J29"/>
    <mergeCell ref="N4:O4"/>
    <mergeCell ref="N5:O5"/>
    <mergeCell ref="G6:O6"/>
    <mergeCell ref="I12:J13"/>
    <mergeCell ref="K12:K13"/>
    <mergeCell ref="O12:O13"/>
  </mergeCells>
  <conditionalFormatting sqref="C14">
    <cfRule type="duplicateValues" dxfId="1804" priority="266"/>
    <cfRule type="duplicateValues" dxfId="1803" priority="302"/>
    <cfRule type="duplicateValues" dxfId="1802" priority="303"/>
    <cfRule type="duplicateValues" dxfId="1801" priority="304"/>
    <cfRule type="duplicateValues" dxfId="1800" priority="305"/>
    <cfRule type="duplicateValues" dxfId="1799" priority="306"/>
    <cfRule type="duplicateValues" dxfId="1798" priority="307"/>
    <cfRule type="duplicateValues" dxfId="1797" priority="308"/>
    <cfRule type="duplicateValues" dxfId="1796" priority="309"/>
    <cfRule type="duplicateValues" dxfId="1795" priority="310"/>
    <cfRule type="duplicateValues" dxfId="1794" priority="311"/>
    <cfRule type="duplicateValues" dxfId="1793" priority="312"/>
    <cfRule type="duplicateValues" dxfId="1792" priority="313"/>
    <cfRule type="duplicateValues" dxfId="1791" priority="314"/>
    <cfRule type="duplicateValues" dxfId="1790" priority="315"/>
    <cfRule type="duplicateValues" dxfId="1789" priority="316"/>
    <cfRule type="duplicateValues" dxfId="1788" priority="265"/>
    <cfRule type="duplicateValues" dxfId="1787" priority="263"/>
    <cfRule type="duplicateValues" dxfId="1786" priority="262"/>
    <cfRule type="duplicateValues" dxfId="1785" priority="261"/>
    <cfRule type="duplicateValues" dxfId="1784" priority="260"/>
    <cfRule type="duplicateValues" dxfId="1783" priority="259"/>
    <cfRule type="duplicateValues" dxfId="1782" priority="258"/>
    <cfRule type="duplicateValues" dxfId="1781" priority="257"/>
    <cfRule type="duplicateValues" dxfId="1780" priority="256"/>
    <cfRule type="duplicateValues" dxfId="1779" priority="255"/>
    <cfRule type="duplicateValues" dxfId="1778" priority="254"/>
    <cfRule type="duplicateValues" dxfId="1777" priority="253"/>
    <cfRule type="duplicateValues" dxfId="1776" priority="252"/>
    <cfRule type="duplicateValues" dxfId="1775" priority="251"/>
    <cfRule type="duplicateValues" dxfId="1774" priority="219"/>
    <cfRule type="duplicateValues" dxfId="1773" priority="250"/>
    <cfRule type="duplicateValues" dxfId="1772" priority="249"/>
    <cfRule type="duplicateValues" dxfId="1771" priority="248"/>
    <cfRule type="duplicateValues" dxfId="1770" priority="247"/>
    <cfRule type="duplicateValues" dxfId="1769" priority="246"/>
    <cfRule type="duplicateValues" dxfId="1768" priority="245"/>
    <cfRule type="duplicateValues" dxfId="1767" priority="264"/>
    <cfRule type="duplicateValues" dxfId="1766" priority="244"/>
    <cfRule type="duplicateValues" dxfId="1765" priority="243"/>
    <cfRule type="duplicateValues" dxfId="1764" priority="242"/>
    <cfRule type="duplicateValues" dxfId="1763" priority="241"/>
    <cfRule type="duplicateValues" dxfId="1762" priority="240"/>
    <cfRule type="duplicateValues" dxfId="1761" priority="239"/>
    <cfRule type="duplicateValues" dxfId="1760" priority="238"/>
    <cfRule type="duplicateValues" dxfId="1759" priority="237"/>
    <cfRule type="duplicateValues" dxfId="1758" priority="236"/>
    <cfRule type="duplicateValues" dxfId="1757" priority="235"/>
    <cfRule type="duplicateValues" dxfId="1756" priority="234"/>
    <cfRule type="duplicateValues" dxfId="1755" priority="233"/>
    <cfRule type="duplicateValues" dxfId="1754" priority="232"/>
    <cfRule type="duplicateValues" dxfId="1753" priority="231"/>
    <cfRule type="duplicateValues" dxfId="1752" priority="230"/>
    <cfRule type="duplicateValues" dxfId="1751" priority="229"/>
    <cfRule type="duplicateValues" dxfId="1750" priority="228"/>
    <cfRule type="duplicateValues" dxfId="1749" priority="227"/>
    <cfRule type="duplicateValues" dxfId="1748" priority="226"/>
    <cfRule type="duplicateValues" dxfId="1747" priority="225"/>
    <cfRule type="duplicateValues" dxfId="1746" priority="224"/>
    <cfRule type="duplicateValues" dxfId="1745" priority="223"/>
    <cfRule type="duplicateValues" dxfId="1744" priority="222"/>
    <cfRule type="duplicateValues" dxfId="1743" priority="221"/>
    <cfRule type="duplicateValues" dxfId="1742" priority="220"/>
    <cfRule type="duplicateValues" dxfId="1741" priority="301"/>
    <cfRule type="duplicateValues" dxfId="1740" priority="300"/>
    <cfRule type="duplicateValues" dxfId="1739" priority="299"/>
    <cfRule type="duplicateValues" dxfId="1738" priority="298"/>
    <cfRule type="duplicateValues" dxfId="1737" priority="297"/>
    <cfRule type="duplicateValues" dxfId="1736" priority="296"/>
    <cfRule type="duplicateValues" dxfId="1735" priority="295"/>
    <cfRule type="duplicateValues" dxfId="1734" priority="294"/>
    <cfRule type="duplicateValues" dxfId="1733" priority="293"/>
    <cfRule type="duplicateValues" dxfId="1732" priority="292"/>
    <cfRule type="duplicateValues" dxfId="1731" priority="291"/>
    <cfRule type="duplicateValues" dxfId="1730" priority="290"/>
    <cfRule type="duplicateValues" dxfId="1729" priority="289"/>
    <cfRule type="duplicateValues" dxfId="1728" priority="288"/>
    <cfRule type="duplicateValues" dxfId="1727" priority="287"/>
    <cfRule type="duplicateValues" dxfId="1726" priority="286"/>
    <cfRule type="duplicateValues" dxfId="1725" priority="285"/>
    <cfRule type="duplicateValues" dxfId="1724" priority="284"/>
    <cfRule type="duplicateValues" dxfId="1723" priority="283"/>
    <cfRule type="duplicateValues" dxfId="1722" priority="282"/>
    <cfRule type="duplicateValues" dxfId="1721" priority="281"/>
    <cfRule type="duplicateValues" dxfId="1720" priority="280"/>
    <cfRule type="duplicateValues" dxfId="1719" priority="279"/>
    <cfRule type="duplicateValues" dxfId="1718" priority="278"/>
    <cfRule type="duplicateValues" dxfId="1717" priority="277"/>
    <cfRule type="duplicateValues" dxfId="1716" priority="276"/>
    <cfRule type="duplicateValues" dxfId="1715" priority="275"/>
    <cfRule type="duplicateValues" dxfId="1714" priority="274"/>
    <cfRule type="duplicateValues" dxfId="1713" priority="273"/>
    <cfRule type="duplicateValues" dxfId="1712" priority="272"/>
    <cfRule type="duplicateValues" dxfId="1711" priority="271"/>
    <cfRule type="duplicateValues" dxfId="1710" priority="270"/>
    <cfRule type="duplicateValues" dxfId="1709" priority="269"/>
    <cfRule type="duplicateValues" dxfId="1708" priority="268"/>
    <cfRule type="duplicateValues" dxfId="1707" priority="267"/>
  </conditionalFormatting>
  <conditionalFormatting sqref="C15">
    <cfRule type="duplicateValues" dxfId="1706" priority="179"/>
    <cfRule type="duplicateValues" dxfId="1705" priority="156"/>
    <cfRule type="duplicateValues" dxfId="1704" priority="157"/>
    <cfRule type="duplicateValues" dxfId="1703" priority="158"/>
    <cfRule type="duplicateValues" dxfId="1702" priority="159"/>
    <cfRule type="duplicateValues" dxfId="1701" priority="160"/>
    <cfRule type="duplicateValues" dxfId="1700" priority="161"/>
    <cfRule type="duplicateValues" dxfId="1699" priority="162"/>
    <cfRule type="duplicateValues" dxfId="1698" priority="163"/>
    <cfRule type="duplicateValues" dxfId="1697" priority="164"/>
    <cfRule type="duplicateValues" dxfId="1696" priority="165"/>
    <cfRule type="duplicateValues" dxfId="1695" priority="166"/>
    <cfRule type="duplicateValues" dxfId="1694" priority="167"/>
    <cfRule type="duplicateValues" dxfId="1693" priority="168"/>
    <cfRule type="duplicateValues" dxfId="1692" priority="169"/>
    <cfRule type="duplicateValues" dxfId="1691" priority="170"/>
    <cfRule type="duplicateValues" dxfId="1690" priority="171"/>
    <cfRule type="duplicateValues" dxfId="1689" priority="172"/>
    <cfRule type="duplicateValues" dxfId="1688" priority="173"/>
    <cfRule type="duplicateValues" dxfId="1687" priority="174"/>
    <cfRule type="duplicateValues" dxfId="1686" priority="175"/>
    <cfRule type="duplicateValues" dxfId="1685" priority="176"/>
    <cfRule type="duplicateValues" dxfId="1684" priority="177"/>
    <cfRule type="duplicateValues" dxfId="1683" priority="178"/>
    <cfRule type="duplicateValues" dxfId="1682" priority="180"/>
    <cfRule type="duplicateValues" dxfId="1681" priority="181"/>
    <cfRule type="duplicateValues" dxfId="1680" priority="182"/>
    <cfRule type="duplicateValues" dxfId="1679" priority="183"/>
    <cfRule type="duplicateValues" dxfId="1678" priority="184"/>
    <cfRule type="duplicateValues" dxfId="1677" priority="185"/>
    <cfRule type="duplicateValues" dxfId="1676" priority="186"/>
    <cfRule type="duplicateValues" dxfId="1675" priority="187"/>
    <cfRule type="duplicateValues" dxfId="1674" priority="189"/>
    <cfRule type="duplicateValues" dxfId="1673" priority="190"/>
    <cfRule type="duplicateValues" dxfId="1672" priority="191"/>
    <cfRule type="duplicateValues" dxfId="1671" priority="192"/>
    <cfRule type="duplicateValues" dxfId="1670" priority="193"/>
    <cfRule type="duplicateValues" dxfId="1669" priority="194"/>
    <cfRule type="duplicateValues" dxfId="1668" priority="195"/>
    <cfRule type="duplicateValues" dxfId="1667" priority="196"/>
    <cfRule type="duplicateValues" dxfId="1666" priority="197"/>
    <cfRule type="duplicateValues" dxfId="1665" priority="198"/>
    <cfRule type="duplicateValues" dxfId="1664" priority="199"/>
    <cfRule type="duplicateValues" dxfId="1663" priority="200"/>
    <cfRule type="duplicateValues" dxfId="1662" priority="201"/>
    <cfRule type="duplicateValues" dxfId="1661" priority="202"/>
    <cfRule type="duplicateValues" dxfId="1660" priority="203"/>
    <cfRule type="duplicateValues" dxfId="1659" priority="151"/>
    <cfRule type="duplicateValues" dxfId="1658" priority="147"/>
    <cfRule type="duplicateValues" dxfId="1657" priority="148"/>
    <cfRule type="duplicateValues" dxfId="1656" priority="149"/>
    <cfRule type="duplicateValues" dxfId="1655" priority="150"/>
    <cfRule type="duplicateValues" dxfId="1654" priority="188"/>
    <cfRule type="duplicateValues" dxfId="1653" priority="152"/>
    <cfRule type="duplicateValues" dxfId="1652" priority="153"/>
    <cfRule type="duplicateValues" dxfId="1651" priority="154"/>
    <cfRule type="duplicateValues" dxfId="1650" priority="155"/>
  </conditionalFormatting>
  <conditionalFormatting sqref="C15:C18">
    <cfRule type="duplicateValues" dxfId="1649" priority="578"/>
    <cfRule type="duplicateValues" dxfId="1648" priority="561"/>
    <cfRule type="duplicateValues" dxfId="1647" priority="559"/>
    <cfRule type="duplicateValues" dxfId="1646" priority="558"/>
    <cfRule type="duplicateValues" dxfId="1645" priority="557"/>
    <cfRule type="duplicateValues" dxfId="1644" priority="556"/>
    <cfRule type="duplicateValues" dxfId="1643" priority="583"/>
    <cfRule type="duplicateValues" dxfId="1642" priority="582"/>
    <cfRule type="duplicateValues" dxfId="1641" priority="581"/>
    <cfRule type="duplicateValues" dxfId="1640" priority="580"/>
    <cfRule type="duplicateValues" dxfId="1639" priority="579"/>
    <cfRule type="duplicateValues" dxfId="1638" priority="562"/>
    <cfRule type="duplicateValues" dxfId="1637" priority="552"/>
    <cfRule type="duplicateValues" dxfId="1636" priority="555"/>
    <cfRule type="duplicateValues" dxfId="1635" priority="554"/>
    <cfRule type="duplicateValues" dxfId="1634" priority="553"/>
    <cfRule type="duplicateValues" dxfId="1633" priority="560"/>
    <cfRule type="duplicateValues" dxfId="1632" priority="567"/>
    <cfRule type="duplicateValues" dxfId="1631" priority="563"/>
    <cfRule type="duplicateValues" dxfId="1630" priority="564"/>
    <cfRule type="duplicateValues" dxfId="1629" priority="565"/>
    <cfRule type="duplicateValues" dxfId="1628" priority="566"/>
    <cfRule type="duplicateValues" dxfId="1627" priority="568"/>
    <cfRule type="duplicateValues" dxfId="1626" priority="569"/>
    <cfRule type="duplicateValues" dxfId="1625" priority="570"/>
    <cfRule type="duplicateValues" dxfId="1624" priority="571"/>
    <cfRule type="duplicateValues" dxfId="1623" priority="572"/>
    <cfRule type="duplicateValues" dxfId="1622" priority="573"/>
    <cfRule type="duplicateValues" dxfId="1621" priority="574"/>
    <cfRule type="duplicateValues" dxfId="1620" priority="575"/>
    <cfRule type="duplicateValues" dxfId="1619" priority="576"/>
    <cfRule type="duplicateValues" dxfId="1618" priority="577"/>
  </conditionalFormatting>
  <conditionalFormatting sqref="C16">
    <cfRule type="duplicateValues" dxfId="1617" priority="611"/>
    <cfRule type="duplicateValues" dxfId="1616" priority="610"/>
    <cfRule type="duplicateValues" dxfId="1615" priority="609"/>
    <cfRule type="duplicateValues" dxfId="1614" priority="608"/>
    <cfRule type="duplicateValues" dxfId="1613" priority="606"/>
    <cfRule type="duplicateValues" dxfId="1612" priority="605"/>
    <cfRule type="duplicateValues" dxfId="1611" priority="603"/>
    <cfRule type="duplicateValues" dxfId="1610" priority="602"/>
    <cfRule type="duplicateValues" dxfId="1609" priority="601"/>
    <cfRule type="duplicateValues" dxfId="1608" priority="600"/>
    <cfRule type="duplicateValues" dxfId="1607" priority="599"/>
    <cfRule type="duplicateValues" dxfId="1606" priority="598"/>
    <cfRule type="duplicateValues" dxfId="1605" priority="597"/>
    <cfRule type="duplicateValues" dxfId="1604" priority="596"/>
    <cfRule type="duplicateValues" dxfId="1603" priority="595"/>
    <cfRule type="duplicateValues" dxfId="1602" priority="594"/>
    <cfRule type="duplicateValues" dxfId="1601" priority="593"/>
    <cfRule type="duplicateValues" dxfId="1600" priority="592"/>
    <cfRule type="duplicateValues" dxfId="1599" priority="591"/>
    <cfRule type="duplicateValues" dxfId="1598" priority="590"/>
    <cfRule type="duplicateValues" dxfId="1597" priority="589"/>
    <cfRule type="duplicateValues" dxfId="1596" priority="588"/>
    <cfRule type="duplicateValues" dxfId="1595" priority="587"/>
    <cfRule type="duplicateValues" dxfId="1594" priority="586"/>
    <cfRule type="duplicateValues" dxfId="1593" priority="585"/>
    <cfRule type="duplicateValues" dxfId="1592" priority="584"/>
    <cfRule type="duplicateValues" dxfId="1591" priority="204"/>
    <cfRule type="duplicateValues" dxfId="1590" priority="205"/>
    <cfRule type="duplicateValues" dxfId="1589" priority="206"/>
    <cfRule type="duplicateValues" dxfId="1588" priority="207"/>
    <cfRule type="duplicateValues" dxfId="1587" priority="208"/>
    <cfRule type="duplicateValues" dxfId="1586" priority="209"/>
    <cfRule type="duplicateValues" dxfId="1585" priority="210"/>
    <cfRule type="duplicateValues" dxfId="1584" priority="211"/>
    <cfRule type="duplicateValues" dxfId="1583" priority="212"/>
    <cfRule type="duplicateValues" dxfId="1582" priority="213"/>
    <cfRule type="duplicateValues" dxfId="1581" priority="214"/>
    <cfRule type="duplicateValues" dxfId="1580" priority="215"/>
    <cfRule type="duplicateValues" dxfId="1579" priority="216"/>
    <cfRule type="duplicateValues" dxfId="1578" priority="217"/>
    <cfRule type="duplicateValues" dxfId="1577" priority="218"/>
    <cfRule type="duplicateValues" dxfId="1576" priority="607"/>
    <cfRule type="duplicateValues" dxfId="1575" priority="625"/>
    <cfRule type="duplicateValues" dxfId="1574" priority="624"/>
    <cfRule type="duplicateValues" dxfId="1573" priority="623"/>
    <cfRule type="duplicateValues" dxfId="1572" priority="622"/>
    <cfRule type="duplicateValues" dxfId="1571" priority="604"/>
    <cfRule type="duplicateValues" dxfId="1570" priority="621"/>
    <cfRule type="duplicateValues" dxfId="1569" priority="620"/>
    <cfRule type="duplicateValues" dxfId="1568" priority="619"/>
    <cfRule type="duplicateValues" dxfId="1567" priority="618"/>
    <cfRule type="duplicateValues" dxfId="1566" priority="617"/>
    <cfRule type="duplicateValues" dxfId="1565" priority="616"/>
    <cfRule type="duplicateValues" dxfId="1564" priority="615"/>
    <cfRule type="duplicateValues" dxfId="1563" priority="614"/>
    <cfRule type="duplicateValues" dxfId="1562" priority="613"/>
    <cfRule type="duplicateValues" dxfId="1561" priority="612"/>
  </conditionalFormatting>
  <conditionalFormatting sqref="C17:C18">
    <cfRule type="duplicateValues" dxfId="1560" priority="120"/>
    <cfRule type="duplicateValues" dxfId="1559" priority="119"/>
    <cfRule type="duplicateValues" dxfId="1558" priority="118"/>
    <cfRule type="duplicateValues" dxfId="1557" priority="117"/>
    <cfRule type="duplicateValues" dxfId="1556" priority="116"/>
    <cfRule type="duplicateValues" dxfId="1555" priority="115"/>
    <cfRule type="duplicateValues" dxfId="1554" priority="113"/>
    <cfRule type="duplicateValues" dxfId="1553" priority="112"/>
    <cfRule type="duplicateValues" dxfId="1552" priority="111"/>
    <cfRule type="duplicateValues" dxfId="1551" priority="110"/>
    <cfRule type="duplicateValues" dxfId="1550" priority="109"/>
    <cfRule type="duplicateValues" dxfId="1549" priority="108"/>
    <cfRule type="duplicateValues" dxfId="1548" priority="107"/>
    <cfRule type="duplicateValues" dxfId="1547" priority="106"/>
    <cfRule type="duplicateValues" dxfId="1546" priority="105"/>
    <cfRule type="duplicateValues" dxfId="1545" priority="104"/>
    <cfRule type="duplicateValues" dxfId="1544" priority="103"/>
    <cfRule type="duplicateValues" dxfId="1543" priority="102"/>
    <cfRule type="duplicateValues" dxfId="1542" priority="101"/>
    <cfRule type="duplicateValues" dxfId="1541" priority="137"/>
    <cfRule type="duplicateValues" dxfId="1540" priority="138"/>
    <cfRule type="duplicateValues" dxfId="1539" priority="99"/>
    <cfRule type="duplicateValues" dxfId="1538" priority="98"/>
    <cfRule type="duplicateValues" dxfId="1537" priority="97"/>
    <cfRule type="duplicateValues" dxfId="1536" priority="96"/>
    <cfRule type="duplicateValues" dxfId="1535" priority="95"/>
    <cfRule type="duplicateValues" dxfId="1534" priority="94"/>
    <cfRule type="duplicateValues" dxfId="1533" priority="93"/>
    <cfRule type="duplicateValues" dxfId="1532" priority="92"/>
    <cfRule type="duplicateValues" dxfId="1531" priority="91"/>
    <cfRule type="duplicateValues" dxfId="1530" priority="90"/>
    <cfRule type="duplicateValues" dxfId="1529" priority="139"/>
    <cfRule type="duplicateValues" dxfId="1528" priority="140"/>
    <cfRule type="duplicateValues" dxfId="1527" priority="141"/>
    <cfRule type="duplicateValues" dxfId="1526" priority="142"/>
    <cfRule type="duplicateValues" dxfId="1525" priority="143"/>
    <cfRule type="duplicateValues" dxfId="1524" priority="144"/>
    <cfRule type="duplicateValues" dxfId="1523" priority="145"/>
    <cfRule type="duplicateValues" dxfId="1522" priority="136"/>
    <cfRule type="duplicateValues" dxfId="1521" priority="146"/>
    <cfRule type="duplicateValues" dxfId="1520" priority="114"/>
    <cfRule type="duplicateValues" dxfId="1519" priority="135"/>
    <cfRule type="duplicateValues" dxfId="1518" priority="134"/>
    <cfRule type="duplicateValues" dxfId="1517" priority="133"/>
    <cfRule type="duplicateValues" dxfId="1516" priority="132"/>
    <cfRule type="duplicateValues" dxfId="1515" priority="131"/>
    <cfRule type="duplicateValues" dxfId="1514" priority="130"/>
    <cfRule type="duplicateValues" dxfId="1513" priority="129"/>
    <cfRule type="duplicateValues" dxfId="1512" priority="128"/>
    <cfRule type="duplicateValues" dxfId="1511" priority="127"/>
    <cfRule type="duplicateValues" dxfId="1510" priority="126"/>
    <cfRule type="duplicateValues" dxfId="1509" priority="125"/>
    <cfRule type="duplicateValues" dxfId="1508" priority="124"/>
    <cfRule type="duplicateValues" dxfId="1507" priority="123"/>
    <cfRule type="duplicateValues" dxfId="1506" priority="122"/>
    <cfRule type="duplicateValues" dxfId="1505" priority="121"/>
    <cfRule type="duplicateValues" dxfId="1504" priority="100"/>
  </conditionalFormatting>
  <conditionalFormatting sqref="C19:C22">
    <cfRule type="duplicateValues" dxfId="1503" priority="359"/>
    <cfRule type="duplicateValues" dxfId="1502" priority="360"/>
    <cfRule type="duplicateValues" dxfId="1501" priority="361"/>
    <cfRule type="duplicateValues" dxfId="1500" priority="362"/>
    <cfRule type="duplicateValues" dxfId="1499" priority="363"/>
    <cfRule type="duplicateValues" dxfId="1498" priority="364"/>
    <cfRule type="duplicateValues" dxfId="1497" priority="365"/>
    <cfRule type="duplicateValues" dxfId="1496" priority="366"/>
    <cfRule type="duplicateValues" dxfId="1495" priority="367"/>
    <cfRule type="duplicateValues" dxfId="1494" priority="368"/>
    <cfRule type="duplicateValues" dxfId="1493" priority="369"/>
    <cfRule type="duplicateValues" dxfId="1492" priority="370"/>
    <cfRule type="duplicateValues" dxfId="1491" priority="371"/>
    <cfRule type="duplicateValues" dxfId="1490" priority="372"/>
    <cfRule type="duplicateValues" dxfId="1489" priority="373"/>
    <cfRule type="duplicateValues" dxfId="1488" priority="317"/>
    <cfRule type="duplicateValues" dxfId="1487" priority="318"/>
    <cfRule type="duplicateValues" dxfId="1486" priority="319"/>
    <cfRule type="duplicateValues" dxfId="1485" priority="320"/>
    <cfRule type="duplicateValues" dxfId="1484" priority="321"/>
    <cfRule type="duplicateValues" dxfId="1483" priority="322"/>
    <cfRule type="duplicateValues" dxfId="1482" priority="323"/>
    <cfRule type="duplicateValues" dxfId="1481" priority="324"/>
    <cfRule type="duplicateValues" dxfId="1480" priority="325"/>
    <cfRule type="duplicateValues" dxfId="1479" priority="326"/>
    <cfRule type="duplicateValues" dxfId="1478" priority="327"/>
    <cfRule type="duplicateValues" dxfId="1477" priority="328"/>
    <cfRule type="duplicateValues" dxfId="1476" priority="329"/>
    <cfRule type="duplicateValues" dxfId="1475" priority="330"/>
    <cfRule type="duplicateValues" dxfId="1474" priority="331"/>
    <cfRule type="duplicateValues" dxfId="1473" priority="332"/>
    <cfRule type="duplicateValues" dxfId="1472" priority="333"/>
    <cfRule type="duplicateValues" dxfId="1471" priority="334"/>
    <cfRule type="duplicateValues" dxfId="1470" priority="335"/>
    <cfRule type="duplicateValues" dxfId="1469" priority="336"/>
    <cfRule type="duplicateValues" dxfId="1468" priority="337"/>
    <cfRule type="duplicateValues" dxfId="1467" priority="338"/>
    <cfRule type="duplicateValues" dxfId="1466" priority="339"/>
    <cfRule type="duplicateValues" dxfId="1465" priority="340"/>
    <cfRule type="duplicateValues" dxfId="1464" priority="341"/>
    <cfRule type="duplicateValues" dxfId="1463" priority="342"/>
    <cfRule type="duplicateValues" dxfId="1462" priority="343"/>
    <cfRule type="duplicateValues" dxfId="1461" priority="344"/>
    <cfRule type="duplicateValues" dxfId="1460" priority="345"/>
    <cfRule type="duplicateValues" dxfId="1459" priority="346"/>
    <cfRule type="duplicateValues" dxfId="1458" priority="347"/>
    <cfRule type="duplicateValues" dxfId="1457" priority="348"/>
    <cfRule type="duplicateValues" dxfId="1456" priority="349"/>
    <cfRule type="duplicateValues" dxfId="1455" priority="350"/>
    <cfRule type="duplicateValues" dxfId="1454" priority="351"/>
    <cfRule type="duplicateValues" dxfId="1453" priority="352"/>
    <cfRule type="duplicateValues" dxfId="1452" priority="353"/>
    <cfRule type="duplicateValues" dxfId="1451" priority="354"/>
    <cfRule type="duplicateValues" dxfId="1450" priority="355"/>
    <cfRule type="duplicateValues" dxfId="1449" priority="356"/>
    <cfRule type="duplicateValues" dxfId="1448" priority="357"/>
    <cfRule type="duplicateValues" dxfId="1447" priority="358"/>
  </conditionalFormatting>
  <conditionalFormatting sqref="C19:C23">
    <cfRule type="duplicateValues" dxfId="1446" priority="447"/>
    <cfRule type="duplicateValues" dxfId="1445" priority="448"/>
    <cfRule type="duplicateValues" dxfId="1444" priority="449"/>
    <cfRule type="duplicateValues" dxfId="1443" priority="450"/>
    <cfRule type="duplicateValues" dxfId="1442" priority="451"/>
    <cfRule type="duplicateValues" dxfId="1441" priority="452"/>
    <cfRule type="duplicateValues" dxfId="1440" priority="453"/>
    <cfRule type="duplicateValues" dxfId="1439" priority="454"/>
    <cfRule type="duplicateValues" dxfId="1438" priority="455"/>
    <cfRule type="duplicateValues" dxfId="1437" priority="456"/>
    <cfRule type="duplicateValues" dxfId="1436" priority="457"/>
    <cfRule type="duplicateValues" dxfId="1435" priority="458"/>
    <cfRule type="duplicateValues" dxfId="1434" priority="459"/>
    <cfRule type="duplicateValues" dxfId="1433" priority="460"/>
    <cfRule type="duplicateValues" dxfId="1432" priority="461"/>
    <cfRule type="duplicateValues" dxfId="1431" priority="434"/>
    <cfRule type="duplicateValues" dxfId="1430" priority="435"/>
    <cfRule type="duplicateValues" dxfId="1429" priority="437"/>
    <cfRule type="duplicateValues" dxfId="1428" priority="438"/>
    <cfRule type="duplicateValues" dxfId="1427" priority="439"/>
    <cfRule type="duplicateValues" dxfId="1426" priority="440"/>
    <cfRule type="duplicateValues" dxfId="1425" priority="441"/>
    <cfRule type="duplicateValues" dxfId="1424" priority="442"/>
    <cfRule type="duplicateValues" dxfId="1423" priority="443"/>
    <cfRule type="duplicateValues" dxfId="1422" priority="444"/>
    <cfRule type="duplicateValues" dxfId="1421" priority="445"/>
    <cfRule type="duplicateValues" dxfId="1420" priority="446"/>
    <cfRule type="duplicateValues" dxfId="1419" priority="462"/>
    <cfRule type="duplicateValues" dxfId="1418" priority="436"/>
    <cfRule type="duplicateValues" dxfId="1417" priority="431"/>
    <cfRule type="duplicateValues" dxfId="1416" priority="432"/>
    <cfRule type="duplicateValues" dxfId="1415" priority="433"/>
  </conditionalFormatting>
  <conditionalFormatting sqref="C23">
    <cfRule type="duplicateValues" dxfId="1414" priority="374"/>
    <cfRule type="duplicateValues" dxfId="1413" priority="375"/>
    <cfRule type="duplicateValues" dxfId="1412" priority="376"/>
    <cfRule type="duplicateValues" dxfId="1411" priority="377"/>
    <cfRule type="duplicateValues" dxfId="1410" priority="378"/>
    <cfRule type="duplicateValues" dxfId="1409" priority="379"/>
    <cfRule type="duplicateValues" dxfId="1408" priority="380"/>
    <cfRule type="duplicateValues" dxfId="1407" priority="381"/>
    <cfRule type="duplicateValues" dxfId="1406" priority="382"/>
    <cfRule type="duplicateValues" dxfId="1405" priority="383"/>
    <cfRule type="duplicateValues" dxfId="1404" priority="384"/>
    <cfRule type="duplicateValues" dxfId="1403" priority="385"/>
    <cfRule type="duplicateValues" dxfId="1402" priority="386"/>
    <cfRule type="duplicateValues" dxfId="1401" priority="387"/>
    <cfRule type="duplicateValues" dxfId="1400" priority="388"/>
    <cfRule type="duplicateValues" dxfId="1399" priority="389"/>
    <cfRule type="duplicateValues" dxfId="1398" priority="390"/>
    <cfRule type="duplicateValues" dxfId="1397" priority="391"/>
    <cfRule type="duplicateValues" dxfId="1396" priority="392"/>
    <cfRule type="duplicateValues" dxfId="1395" priority="393"/>
    <cfRule type="duplicateValues" dxfId="1394" priority="394"/>
    <cfRule type="duplicateValues" dxfId="1393" priority="395"/>
    <cfRule type="duplicateValues" dxfId="1392" priority="396"/>
    <cfRule type="duplicateValues" dxfId="1391" priority="397"/>
    <cfRule type="duplicateValues" dxfId="1390" priority="398"/>
    <cfRule type="duplicateValues" dxfId="1389" priority="399"/>
    <cfRule type="duplicateValues" dxfId="1388" priority="400"/>
    <cfRule type="duplicateValues" dxfId="1387" priority="401"/>
    <cfRule type="duplicateValues" dxfId="1386" priority="402"/>
    <cfRule type="duplicateValues" dxfId="1385" priority="420"/>
    <cfRule type="duplicateValues" dxfId="1384" priority="421"/>
    <cfRule type="duplicateValues" dxfId="1383" priority="422"/>
    <cfRule type="duplicateValues" dxfId="1382" priority="423"/>
    <cfRule type="duplicateValues" dxfId="1381" priority="424"/>
    <cfRule type="duplicateValues" dxfId="1380" priority="404"/>
    <cfRule type="duplicateValues" dxfId="1379" priority="426"/>
    <cfRule type="duplicateValues" dxfId="1378" priority="427"/>
    <cfRule type="duplicateValues" dxfId="1377" priority="428"/>
    <cfRule type="duplicateValues" dxfId="1376" priority="429"/>
    <cfRule type="duplicateValues" dxfId="1375" priority="430"/>
    <cfRule type="duplicateValues" dxfId="1374" priority="405"/>
    <cfRule type="duplicateValues" dxfId="1373" priority="406"/>
    <cfRule type="duplicateValues" dxfId="1372" priority="407"/>
    <cfRule type="duplicateValues" dxfId="1371" priority="408"/>
    <cfRule type="duplicateValues" dxfId="1370" priority="409"/>
    <cfRule type="duplicateValues" dxfId="1369" priority="403"/>
    <cfRule type="duplicateValues" dxfId="1368" priority="410"/>
    <cfRule type="duplicateValues" dxfId="1367" priority="411"/>
    <cfRule type="duplicateValues" dxfId="1366" priority="412"/>
    <cfRule type="duplicateValues" dxfId="1365" priority="413"/>
    <cfRule type="duplicateValues" dxfId="1364" priority="414"/>
    <cfRule type="duplicateValues" dxfId="1363" priority="415"/>
    <cfRule type="duplicateValues" dxfId="1362" priority="416"/>
    <cfRule type="duplicateValues" dxfId="1361" priority="417"/>
    <cfRule type="duplicateValues" dxfId="1360" priority="418"/>
    <cfRule type="duplicateValues" dxfId="1359" priority="419"/>
    <cfRule type="duplicateValues" dxfId="1358" priority="425"/>
  </conditionalFormatting>
  <conditionalFormatting sqref="C24:C26">
    <cfRule type="duplicateValues" dxfId="1357" priority="1058"/>
    <cfRule type="duplicateValues" dxfId="1356" priority="1102"/>
    <cfRule type="duplicateValues" dxfId="1355" priority="1014"/>
    <cfRule type="duplicateValues" dxfId="1354" priority="1015"/>
    <cfRule type="duplicateValues" dxfId="1353" priority="1016"/>
    <cfRule type="duplicateValues" dxfId="1352" priority="1017"/>
    <cfRule type="duplicateValues" dxfId="1351" priority="1018"/>
    <cfRule type="duplicateValues" dxfId="1350" priority="1019"/>
    <cfRule type="duplicateValues" dxfId="1349" priority="1020"/>
    <cfRule type="duplicateValues" dxfId="1348" priority="1021"/>
    <cfRule type="duplicateValues" dxfId="1347" priority="1022"/>
    <cfRule type="duplicateValues" dxfId="1346" priority="1023"/>
    <cfRule type="duplicateValues" dxfId="1345" priority="1024"/>
    <cfRule type="duplicateValues" dxfId="1344" priority="1025"/>
    <cfRule type="duplicateValues" dxfId="1343" priority="1026"/>
    <cfRule type="duplicateValues" dxfId="1342" priority="1027"/>
    <cfRule type="duplicateValues" dxfId="1341" priority="1028"/>
    <cfRule type="duplicateValues" dxfId="1340" priority="1029"/>
    <cfRule type="duplicateValues" dxfId="1339" priority="1030"/>
    <cfRule type="duplicateValues" dxfId="1338" priority="1031"/>
    <cfRule type="duplicateValues" dxfId="1337" priority="1032"/>
    <cfRule type="duplicateValues" dxfId="1336" priority="1033"/>
    <cfRule type="duplicateValues" dxfId="1335" priority="1034"/>
    <cfRule type="duplicateValues" dxfId="1334" priority="1035"/>
    <cfRule type="duplicateValues" dxfId="1333" priority="1036"/>
    <cfRule type="duplicateValues" dxfId="1332" priority="1037"/>
    <cfRule type="duplicateValues" dxfId="1331" priority="1038"/>
    <cfRule type="duplicateValues" dxfId="1330" priority="1039"/>
    <cfRule type="duplicateValues" dxfId="1329" priority="1040"/>
    <cfRule type="duplicateValues" dxfId="1328" priority="1041"/>
    <cfRule type="duplicateValues" dxfId="1327" priority="1042"/>
    <cfRule type="duplicateValues" dxfId="1326" priority="1043"/>
    <cfRule type="duplicateValues" dxfId="1325" priority="1044"/>
    <cfRule type="duplicateValues" dxfId="1324" priority="1045"/>
    <cfRule type="duplicateValues" dxfId="1323" priority="1046"/>
    <cfRule type="duplicateValues" dxfId="1322" priority="1047"/>
    <cfRule type="duplicateValues" dxfId="1321" priority="1048"/>
    <cfRule type="duplicateValues" dxfId="1320" priority="1049"/>
    <cfRule type="duplicateValues" dxfId="1319" priority="1050"/>
    <cfRule type="duplicateValues" dxfId="1318" priority="1051"/>
    <cfRule type="duplicateValues" dxfId="1317" priority="1052"/>
    <cfRule type="duplicateValues" dxfId="1316" priority="1053"/>
    <cfRule type="duplicateValues" dxfId="1315" priority="1054"/>
    <cfRule type="duplicateValues" dxfId="1314" priority="1055"/>
    <cfRule type="duplicateValues" dxfId="1313" priority="1056"/>
    <cfRule type="duplicateValues" dxfId="1312" priority="1057"/>
    <cfRule type="duplicateValues" dxfId="1311" priority="1059"/>
    <cfRule type="duplicateValues" dxfId="1310" priority="1060"/>
    <cfRule type="duplicateValues" dxfId="1309" priority="1061"/>
    <cfRule type="duplicateValues" dxfId="1308" priority="1062"/>
    <cfRule type="duplicateValues" dxfId="1307" priority="1063"/>
    <cfRule type="duplicateValues" dxfId="1306" priority="1064"/>
    <cfRule type="duplicateValues" dxfId="1305" priority="1065"/>
    <cfRule type="duplicateValues" dxfId="1304" priority="1066"/>
    <cfRule type="duplicateValues" dxfId="1303" priority="1067"/>
    <cfRule type="duplicateValues" dxfId="1302" priority="1068"/>
    <cfRule type="duplicateValues" dxfId="1301" priority="1069"/>
    <cfRule type="duplicateValues" dxfId="1300" priority="1070"/>
    <cfRule type="duplicateValues" dxfId="1299" priority="1071"/>
    <cfRule type="duplicateValues" dxfId="1298" priority="1072"/>
    <cfRule type="duplicateValues" dxfId="1297" priority="1073"/>
    <cfRule type="duplicateValues" dxfId="1296" priority="1074"/>
    <cfRule type="duplicateValues" dxfId="1295" priority="1075"/>
    <cfRule type="duplicateValues" dxfId="1294" priority="1076"/>
    <cfRule type="duplicateValues" dxfId="1293" priority="1077"/>
    <cfRule type="duplicateValues" dxfId="1292" priority="1078"/>
    <cfRule type="duplicateValues" dxfId="1291" priority="1079"/>
    <cfRule type="duplicateValues" dxfId="1290" priority="1080"/>
    <cfRule type="duplicateValues" dxfId="1289" priority="1081"/>
    <cfRule type="duplicateValues" dxfId="1288" priority="1082"/>
    <cfRule type="duplicateValues" dxfId="1287" priority="1083"/>
    <cfRule type="duplicateValues" dxfId="1286" priority="1084"/>
    <cfRule type="duplicateValues" dxfId="1285" priority="1085"/>
    <cfRule type="duplicateValues" dxfId="1284" priority="1086"/>
    <cfRule type="duplicateValues" dxfId="1283" priority="1087"/>
    <cfRule type="duplicateValues" dxfId="1282" priority="1088"/>
    <cfRule type="duplicateValues" dxfId="1281" priority="1089"/>
    <cfRule type="duplicateValues" dxfId="1280" priority="1090"/>
    <cfRule type="duplicateValues" dxfId="1279" priority="1091"/>
    <cfRule type="duplicateValues" dxfId="1278" priority="1092"/>
    <cfRule type="duplicateValues" dxfId="1277" priority="1093"/>
    <cfRule type="duplicateValues" dxfId="1276" priority="1094"/>
    <cfRule type="duplicateValues" dxfId="1275" priority="1095"/>
    <cfRule type="duplicateValues" dxfId="1274" priority="1096"/>
    <cfRule type="duplicateValues" dxfId="1273" priority="1097"/>
    <cfRule type="duplicateValues" dxfId="1272" priority="1098"/>
    <cfRule type="duplicateValues" dxfId="1271" priority="1099"/>
    <cfRule type="duplicateValues" dxfId="1270" priority="1100"/>
    <cfRule type="duplicateValues" dxfId="1269" priority="1101"/>
  </conditionalFormatting>
  <conditionalFormatting sqref="C27">
    <cfRule type="duplicateValues" dxfId="1268" priority="866"/>
    <cfRule type="duplicateValues" dxfId="1267" priority="760"/>
    <cfRule type="duplicateValues" dxfId="1266" priority="761"/>
    <cfRule type="duplicateValues" dxfId="1265" priority="762"/>
    <cfRule type="duplicateValues" dxfId="1264" priority="763"/>
    <cfRule type="duplicateValues" dxfId="1263" priority="764"/>
    <cfRule type="duplicateValues" dxfId="1262" priority="765"/>
    <cfRule type="duplicateValues" dxfId="1261" priority="766"/>
    <cfRule type="duplicateValues" dxfId="1260" priority="767"/>
    <cfRule type="duplicateValues" dxfId="1259" priority="768"/>
    <cfRule type="duplicateValues" dxfId="1258" priority="769"/>
    <cfRule type="duplicateValues" dxfId="1257" priority="770"/>
    <cfRule type="duplicateValues" dxfId="1256" priority="771"/>
    <cfRule type="duplicateValues" dxfId="1255" priority="772"/>
    <cfRule type="duplicateValues" dxfId="1254" priority="773"/>
    <cfRule type="duplicateValues" dxfId="1253" priority="774"/>
    <cfRule type="duplicateValues" dxfId="1252" priority="775"/>
    <cfRule type="duplicateValues" dxfId="1251" priority="776"/>
    <cfRule type="duplicateValues" dxfId="1250" priority="777"/>
    <cfRule type="duplicateValues" dxfId="1249" priority="778"/>
    <cfRule type="duplicateValues" dxfId="1248" priority="779"/>
    <cfRule type="duplicateValues" dxfId="1247" priority="780"/>
    <cfRule type="duplicateValues" dxfId="1246" priority="781"/>
    <cfRule type="duplicateValues" dxfId="1245" priority="782"/>
    <cfRule type="duplicateValues" dxfId="1244" priority="783"/>
    <cfRule type="duplicateValues" dxfId="1243" priority="784"/>
    <cfRule type="duplicateValues" dxfId="1242" priority="785"/>
    <cfRule type="duplicateValues" dxfId="1241" priority="786"/>
    <cfRule type="duplicateValues" dxfId="1240" priority="787"/>
    <cfRule type="duplicateValues" dxfId="1239" priority="788"/>
    <cfRule type="duplicateValues" dxfId="1238" priority="789"/>
    <cfRule type="duplicateValues" dxfId="1237" priority="790"/>
    <cfRule type="duplicateValues" dxfId="1236" priority="791"/>
    <cfRule type="duplicateValues" dxfId="1235" priority="792"/>
    <cfRule type="duplicateValues" dxfId="1234" priority="793"/>
    <cfRule type="duplicateValues" dxfId="1233" priority="794"/>
    <cfRule type="duplicateValues" dxfId="1232" priority="795"/>
    <cfRule type="duplicateValues" dxfId="1231" priority="796"/>
    <cfRule type="duplicateValues" dxfId="1230" priority="797"/>
    <cfRule type="duplicateValues" dxfId="1229" priority="798"/>
    <cfRule type="duplicateValues" dxfId="1228" priority="841"/>
    <cfRule type="duplicateValues" dxfId="1227" priority="842"/>
    <cfRule type="duplicateValues" dxfId="1226" priority="844"/>
    <cfRule type="duplicateValues" dxfId="1225" priority="843"/>
    <cfRule type="duplicateValues" dxfId="1224" priority="845"/>
    <cfRule type="duplicateValues" dxfId="1223" priority="757"/>
    <cfRule type="duplicateValues" dxfId="1222" priority="846"/>
    <cfRule type="duplicateValues" dxfId="1221" priority="847"/>
    <cfRule type="duplicateValues" dxfId="1220" priority="848"/>
    <cfRule type="duplicateValues" dxfId="1219" priority="849"/>
    <cfRule type="duplicateValues" dxfId="1218" priority="850"/>
    <cfRule type="duplicateValues" dxfId="1217" priority="851"/>
    <cfRule type="duplicateValues" dxfId="1216" priority="852"/>
    <cfRule type="duplicateValues" dxfId="1215" priority="853"/>
    <cfRule type="duplicateValues" dxfId="1214" priority="854"/>
    <cfRule type="duplicateValues" dxfId="1213" priority="855"/>
    <cfRule type="duplicateValues" dxfId="1212" priority="856"/>
    <cfRule type="duplicateValues" dxfId="1211" priority="857"/>
    <cfRule type="duplicateValues" dxfId="1210" priority="858"/>
    <cfRule type="duplicateValues" dxfId="1209" priority="859"/>
    <cfRule type="duplicateValues" dxfId="1208" priority="860"/>
    <cfRule type="duplicateValues" dxfId="1207" priority="861"/>
    <cfRule type="duplicateValues" dxfId="1206" priority="862"/>
    <cfRule type="duplicateValues" dxfId="1205" priority="863"/>
    <cfRule type="duplicateValues" dxfId="1204" priority="864"/>
    <cfRule type="duplicateValues" dxfId="1203" priority="865"/>
    <cfRule type="duplicateValues" dxfId="1202" priority="867"/>
    <cfRule type="duplicateValues" dxfId="1201" priority="759"/>
    <cfRule type="duplicateValues" dxfId="1200" priority="868"/>
    <cfRule type="duplicateValues" dxfId="1199" priority="869"/>
    <cfRule type="duplicateValues" dxfId="1198" priority="870"/>
    <cfRule type="duplicateValues" dxfId="1197" priority="871"/>
    <cfRule type="duplicateValues" dxfId="1196" priority="872"/>
    <cfRule type="duplicateValues" dxfId="1195" priority="873"/>
    <cfRule type="duplicateValues" dxfId="1194" priority="874"/>
    <cfRule type="duplicateValues" dxfId="1193" priority="875"/>
    <cfRule type="duplicateValues" dxfId="1192" priority="876"/>
    <cfRule type="duplicateValues" dxfId="1191" priority="877"/>
    <cfRule type="duplicateValues" dxfId="1190" priority="878"/>
    <cfRule type="duplicateValues" dxfId="1189" priority="879"/>
    <cfRule type="duplicateValues" dxfId="1188" priority="880"/>
    <cfRule type="duplicateValues" dxfId="1187" priority="881"/>
    <cfRule type="duplicateValues" dxfId="1186" priority="882"/>
    <cfRule type="duplicateValues" dxfId="1185" priority="888"/>
    <cfRule type="duplicateValues" dxfId="1184" priority="889"/>
    <cfRule type="duplicateValues" dxfId="1183" priority="890"/>
    <cfRule type="duplicateValues" dxfId="1182" priority="891"/>
    <cfRule type="duplicateValues" dxfId="1181" priority="758"/>
    <cfRule type="duplicateValues" dxfId="1180" priority="892"/>
  </conditionalFormatting>
  <conditionalFormatting sqref="C28">
    <cfRule type="duplicateValues" dxfId="1179" priority="3"/>
    <cfRule type="duplicateValues" dxfId="1178" priority="4"/>
    <cfRule type="duplicateValues" dxfId="1177" priority="5"/>
    <cfRule type="duplicateValues" dxfId="1176" priority="6"/>
    <cfRule type="duplicateValues" dxfId="1175" priority="7"/>
    <cfRule type="duplicateValues" dxfId="1174" priority="8"/>
    <cfRule type="duplicateValues" dxfId="1173" priority="9"/>
    <cfRule type="duplicateValues" dxfId="1172" priority="10"/>
    <cfRule type="duplicateValues" dxfId="1171" priority="11"/>
    <cfRule type="duplicateValues" dxfId="1170" priority="12"/>
    <cfRule type="duplicateValues" dxfId="1169" priority="13"/>
    <cfRule type="duplicateValues" dxfId="1168" priority="14"/>
    <cfRule type="duplicateValues" dxfId="1167" priority="15"/>
    <cfRule type="duplicateValues" dxfId="1166" priority="16"/>
    <cfRule type="duplicateValues" dxfId="1165" priority="2"/>
    <cfRule type="duplicateValues" dxfId="1164" priority="1"/>
    <cfRule type="duplicateValues" dxfId="1163" priority="89"/>
    <cfRule type="duplicateValues" dxfId="1162" priority="88"/>
    <cfRule type="duplicateValues" dxfId="1161" priority="87"/>
    <cfRule type="duplicateValues" dxfId="1160" priority="86"/>
    <cfRule type="duplicateValues" dxfId="1159" priority="85"/>
    <cfRule type="duplicateValues" dxfId="1158" priority="84"/>
    <cfRule type="duplicateValues" dxfId="1157" priority="82"/>
    <cfRule type="duplicateValues" dxfId="1156" priority="81"/>
    <cfRule type="duplicateValues" dxfId="1155" priority="80"/>
    <cfRule type="duplicateValues" dxfId="1154" priority="79"/>
    <cfRule type="duplicateValues" dxfId="1153" priority="78"/>
    <cfRule type="duplicateValues" dxfId="1152" priority="77"/>
    <cfRule type="duplicateValues" dxfId="1151" priority="76"/>
    <cfRule type="duplicateValues" dxfId="1150" priority="75"/>
    <cfRule type="duplicateValues" dxfId="1149" priority="74"/>
    <cfRule type="duplicateValues" dxfId="1148" priority="73"/>
    <cfRule type="duplicateValues" dxfId="1147" priority="72"/>
    <cfRule type="duplicateValues" dxfId="1146" priority="71"/>
    <cfRule type="duplicateValues" dxfId="1145" priority="70"/>
    <cfRule type="duplicateValues" dxfId="1144" priority="69"/>
    <cfRule type="duplicateValues" dxfId="1143" priority="68"/>
    <cfRule type="duplicateValues" dxfId="1142" priority="67"/>
    <cfRule type="duplicateValues" dxfId="1141" priority="66"/>
    <cfRule type="duplicateValues" dxfId="1140" priority="65"/>
    <cfRule type="duplicateValues" dxfId="1139" priority="64"/>
    <cfRule type="duplicateValues" dxfId="1138" priority="63"/>
    <cfRule type="duplicateValues" dxfId="1137" priority="62"/>
    <cfRule type="duplicateValues" dxfId="1136" priority="61"/>
    <cfRule type="duplicateValues" dxfId="1135" priority="59"/>
    <cfRule type="duplicateValues" dxfId="1134" priority="58"/>
    <cfRule type="duplicateValues" dxfId="1133" priority="57"/>
    <cfRule type="duplicateValues" dxfId="1132" priority="56"/>
    <cfRule type="duplicateValues" dxfId="1131" priority="55"/>
    <cfRule type="duplicateValues" dxfId="1130" priority="54"/>
    <cfRule type="duplicateValues" dxfId="1129" priority="53"/>
    <cfRule type="duplicateValues" dxfId="1128" priority="52"/>
    <cfRule type="duplicateValues" dxfId="1127" priority="51"/>
    <cfRule type="duplicateValues" dxfId="1126" priority="50"/>
    <cfRule type="duplicateValues" dxfId="1125" priority="49"/>
    <cfRule type="duplicateValues" dxfId="1124" priority="48"/>
    <cfRule type="duplicateValues" dxfId="1123" priority="47"/>
    <cfRule type="duplicateValues" dxfId="1122" priority="46"/>
    <cfRule type="duplicateValues" dxfId="1121" priority="45"/>
    <cfRule type="duplicateValues" dxfId="1120" priority="44"/>
    <cfRule type="duplicateValues" dxfId="1119" priority="43"/>
    <cfRule type="duplicateValues" dxfId="1118" priority="42"/>
    <cfRule type="duplicateValues" dxfId="1117" priority="41"/>
    <cfRule type="duplicateValues" dxfId="1116" priority="40"/>
    <cfRule type="duplicateValues" dxfId="1115" priority="39"/>
    <cfRule type="duplicateValues" dxfId="1114" priority="37"/>
    <cfRule type="duplicateValues" dxfId="1113" priority="36"/>
    <cfRule type="duplicateValues" dxfId="1112" priority="35"/>
    <cfRule type="duplicateValues" dxfId="1111" priority="34"/>
    <cfRule type="duplicateValues" dxfId="1110" priority="33"/>
    <cfRule type="duplicateValues" dxfId="1109" priority="32"/>
    <cfRule type="duplicateValues" dxfId="1108" priority="31"/>
    <cfRule type="duplicateValues" dxfId="1107" priority="30"/>
    <cfRule type="duplicateValues" dxfId="1106" priority="29"/>
    <cfRule type="duplicateValues" dxfId="1105" priority="28"/>
    <cfRule type="duplicateValues" dxfId="1104" priority="27"/>
    <cfRule type="duplicateValues" dxfId="1103" priority="26"/>
    <cfRule type="duplicateValues" dxfId="1102" priority="25"/>
    <cfRule type="duplicateValues" dxfId="1101" priority="24"/>
    <cfRule type="duplicateValues" dxfId="1100" priority="23"/>
    <cfRule type="duplicateValues" dxfId="1099" priority="22"/>
    <cfRule type="duplicateValues" dxfId="1098" priority="21"/>
    <cfRule type="duplicateValues" dxfId="1097" priority="20"/>
    <cfRule type="duplicateValues" dxfId="1096" priority="19"/>
    <cfRule type="duplicateValues" dxfId="1095" priority="18"/>
    <cfRule type="duplicateValues" dxfId="1094" priority="17"/>
    <cfRule type="duplicateValues" dxfId="1093" priority="38"/>
    <cfRule type="duplicateValues" dxfId="1092" priority="83"/>
    <cfRule type="duplicateValues" dxfId="1091" priority="60"/>
  </conditionalFormatting>
  <pageMargins left="0.45" right="0.17" top="0.37" bottom="0.41" header="0.3" footer="0.3"/>
  <pageSetup paperSize="9" scale="5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/>
  <dimension ref="B1:O34"/>
  <sheetViews>
    <sheetView zoomScale="85" zoomScaleNormal="85" workbookViewId="0">
      <selection activeCell="C14" sqref="C14:F2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39</v>
      </c>
      <c r="F9" s="60"/>
      <c r="G9" s="54" t="str">
        <f>B9</f>
        <v>- Thời gian:</v>
      </c>
      <c r="H9" s="40"/>
      <c r="I9" s="53" t="str">
        <f>D9</f>
        <v>C17/8/2026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COUNTIF($L$14:$L42,"x")&amp;"/"&amp;COUNTA($L$14:$L42)</f>
        <v>14/14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C17/8/2026</v>
      </c>
      <c r="M13" s="15"/>
      <c r="N13" s="15"/>
      <c r="O13" s="189"/>
    </row>
    <row r="14" spans="2:15" ht="22.15" customHeight="1">
      <c r="B14" s="17">
        <f>ROW()-13</f>
        <v>1</v>
      </c>
      <c r="C14" s="126"/>
      <c r="D14" s="127"/>
      <c r="E14" s="126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 t="s">
        <v>51</v>
      </c>
      <c r="M14" s="13"/>
      <c r="N14" s="14"/>
      <c r="O14" s="15"/>
    </row>
    <row r="15" spans="2:15" ht="22.15" customHeight="1">
      <c r="B15" s="17">
        <f t="shared" ref="B15:B21" si="0">ROW()-13</f>
        <v>2</v>
      </c>
      <c r="C15" s="126"/>
      <c r="D15" s="127"/>
      <c r="E15" s="126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 t="s">
        <v>51</v>
      </c>
      <c r="M15" s="13"/>
      <c r="N15" s="14"/>
      <c r="O15" s="18"/>
    </row>
    <row r="16" spans="2:15" ht="22.15" customHeight="1">
      <c r="B16" s="17">
        <f t="shared" si="0"/>
        <v>3</v>
      </c>
      <c r="C16" s="126"/>
      <c r="D16" s="127"/>
      <c r="E16" s="126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 t="s">
        <v>51</v>
      </c>
      <c r="M16" s="13"/>
      <c r="N16" s="14"/>
      <c r="O16" s="15"/>
    </row>
    <row r="17" spans="2:15" ht="22.15" customHeight="1">
      <c r="B17" s="17">
        <f>ROW()-13</f>
        <v>4</v>
      </c>
      <c r="C17" s="126"/>
      <c r="D17" s="127"/>
      <c r="E17" s="126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126"/>
      <c r="D18" s="127"/>
      <c r="E18" s="126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 t="s">
        <v>51</v>
      </c>
      <c r="M18" s="13"/>
      <c r="N18" s="14"/>
      <c r="O18" s="18"/>
    </row>
    <row r="19" spans="2:15" ht="22.15" customHeight="1">
      <c r="B19" s="17">
        <f t="shared" si="0"/>
        <v>6</v>
      </c>
      <c r="C19" s="126"/>
      <c r="D19" s="127"/>
      <c r="E19" s="126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 t="s">
        <v>51</v>
      </c>
      <c r="M19" s="13"/>
      <c r="N19" s="14"/>
      <c r="O19" s="15"/>
    </row>
    <row r="20" spans="2:15" ht="22.15" customHeight="1">
      <c r="B20" s="17">
        <f>ROW()-13</f>
        <v>7</v>
      </c>
      <c r="C20" s="126"/>
      <c r="D20" s="127"/>
      <c r="E20" s="126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 t="s">
        <v>51</v>
      </c>
      <c r="M20" s="13"/>
      <c r="N20" s="14"/>
      <c r="O20" s="15"/>
    </row>
    <row r="21" spans="2:15" ht="22.15" customHeight="1">
      <c r="B21" s="17">
        <f t="shared" si="0"/>
        <v>8</v>
      </c>
      <c r="C21" s="97"/>
      <c r="D21" s="96"/>
      <c r="E21" s="97"/>
      <c r="F21" s="137"/>
      <c r="G21" s="154">
        <f t="shared" ref="G21:H21" si="4">B21</f>
        <v>8</v>
      </c>
      <c r="H21" s="155">
        <f t="shared" si="4"/>
        <v>0</v>
      </c>
      <c r="I21" s="156">
        <f t="shared" si="1"/>
        <v>0</v>
      </c>
      <c r="J21" s="157"/>
      <c r="K21" s="158">
        <f t="shared" ref="K21" si="5">E21</f>
        <v>0</v>
      </c>
      <c r="L21" s="159" t="s">
        <v>51</v>
      </c>
      <c r="M21" s="160"/>
      <c r="N21" s="161"/>
      <c r="O21" s="18"/>
    </row>
    <row r="22" spans="2:15" ht="22.15" customHeight="1">
      <c r="B22" s="17">
        <f>ROW()-13</f>
        <v>9</v>
      </c>
      <c r="C22" s="97"/>
      <c r="D22" s="96"/>
      <c r="E22" s="97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 t="s">
        <v>51</v>
      </c>
      <c r="M22" s="13"/>
      <c r="N22" s="14"/>
      <c r="O22" s="15"/>
    </row>
    <row r="23" spans="2:15" ht="22.15" customHeight="1">
      <c r="B23" s="17">
        <f t="shared" ref="B23:B28" si="6">ROW()-13</f>
        <v>10</v>
      </c>
      <c r="C23" s="126"/>
      <c r="D23" s="127"/>
      <c r="E23" s="126"/>
      <c r="F23" s="28"/>
      <c r="G23" s="17">
        <f t="shared" ref="G23:I25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 t="s">
        <v>51</v>
      </c>
      <c r="M23" s="13"/>
      <c r="N23" s="14"/>
      <c r="O23" s="18"/>
    </row>
    <row r="24" spans="2:15" ht="22.15" customHeight="1">
      <c r="B24" s="17">
        <f t="shared" si="6"/>
        <v>11</v>
      </c>
      <c r="C24" s="126"/>
      <c r="D24" s="127"/>
      <c r="E24" s="126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 t="s">
        <v>51</v>
      </c>
      <c r="M24" s="13"/>
      <c r="N24" s="14"/>
      <c r="O24" s="15"/>
    </row>
    <row r="25" spans="2:15" ht="22.15" customHeight="1">
      <c r="B25" s="17">
        <f>ROW()-13</f>
        <v>12</v>
      </c>
      <c r="C25" s="126"/>
      <c r="D25" s="127"/>
      <c r="E25" s="126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 t="s">
        <v>51</v>
      </c>
      <c r="M25" s="13"/>
      <c r="N25" s="14"/>
      <c r="O25" s="15"/>
    </row>
    <row r="26" spans="2:15" ht="22.15" customHeight="1">
      <c r="B26" s="17">
        <f t="shared" si="6"/>
        <v>13</v>
      </c>
      <c r="C26" s="126"/>
      <c r="D26" s="127"/>
      <c r="E26" s="126"/>
      <c r="F26" s="28"/>
      <c r="G26" s="17">
        <f t="shared" ref="G26:G28" si="8">B26</f>
        <v>13</v>
      </c>
      <c r="H26" s="52">
        <f t="shared" ref="H26:H28" si="9">C26</f>
        <v>0</v>
      </c>
      <c r="I26" s="70">
        <f t="shared" ref="I26:I28" si="10">D26</f>
        <v>0</v>
      </c>
      <c r="J26" s="71"/>
      <c r="K26" s="16">
        <f t="shared" ref="K26:K27" si="11">E26</f>
        <v>0</v>
      </c>
      <c r="L26" s="29" t="s">
        <v>51</v>
      </c>
      <c r="M26" s="13"/>
      <c r="N26" s="14"/>
      <c r="O26" s="18"/>
    </row>
    <row r="27" spans="2:15" ht="22.15" customHeight="1">
      <c r="B27" s="17">
        <f t="shared" si="6"/>
        <v>14</v>
      </c>
      <c r="C27" s="126"/>
      <c r="D27" s="127"/>
      <c r="E27" s="126"/>
      <c r="F27" s="28"/>
      <c r="G27" s="17">
        <f t="shared" si="8"/>
        <v>14</v>
      </c>
      <c r="H27" s="52">
        <f t="shared" si="9"/>
        <v>0</v>
      </c>
      <c r="I27" s="70">
        <f t="shared" si="10"/>
        <v>0</v>
      </c>
      <c r="J27" s="71"/>
      <c r="K27" s="16">
        <f t="shared" si="11"/>
        <v>0</v>
      </c>
      <c r="L27" s="29" t="s">
        <v>51</v>
      </c>
      <c r="M27" s="13"/>
      <c r="N27" s="14"/>
      <c r="O27" s="15"/>
    </row>
    <row r="28" spans="2:15" ht="22.15" customHeight="1">
      <c r="B28" s="17">
        <f t="shared" si="6"/>
        <v>15</v>
      </c>
      <c r="C28" s="126"/>
      <c r="D28" s="127"/>
      <c r="E28" s="126"/>
      <c r="F28" s="139"/>
      <c r="G28" s="17">
        <f t="shared" si="8"/>
        <v>15</v>
      </c>
      <c r="H28" s="52">
        <f t="shared" si="9"/>
        <v>0</v>
      </c>
      <c r="I28" s="70">
        <f t="shared" si="10"/>
        <v>0</v>
      </c>
      <c r="J28" s="71"/>
      <c r="K28" s="16">
        <f>E28</f>
        <v>0</v>
      </c>
      <c r="L28" s="29" t="s">
        <v>51</v>
      </c>
      <c r="M28" s="13"/>
      <c r="N28" s="14"/>
      <c r="O28" s="18"/>
    </row>
    <row r="29" spans="2:15" ht="34.15" customHeight="1">
      <c r="B29" s="4"/>
      <c r="C29" s="64" t="s">
        <v>29</v>
      </c>
      <c r="D29" s="6"/>
      <c r="E29" s="5"/>
      <c r="F29" s="65" t="s">
        <v>30</v>
      </c>
      <c r="G29" s="43"/>
      <c r="H29" s="190" t="s">
        <v>31</v>
      </c>
      <c r="I29" s="191"/>
      <c r="J29" s="192"/>
      <c r="K29" s="44"/>
      <c r="L29" s="50"/>
      <c r="M29" s="50"/>
      <c r="N29" s="50"/>
      <c r="O29" s="50"/>
    </row>
    <row r="30" spans="2:15" ht="12.6" customHeight="1">
      <c r="B30" s="4"/>
      <c r="C30" s="5"/>
      <c r="D30" s="6"/>
      <c r="E30" s="5"/>
      <c r="F30" s="7"/>
      <c r="G30" s="33"/>
      <c r="H30" s="33"/>
      <c r="I30" s="33"/>
      <c r="J30" s="33"/>
      <c r="K30" s="33"/>
      <c r="L30" s="51"/>
      <c r="M30" s="51"/>
      <c r="N30" s="51"/>
      <c r="O30" s="51"/>
    </row>
    <row r="31" spans="2:15" ht="18.75">
      <c r="B31" s="4"/>
      <c r="C31" s="5"/>
      <c r="D31" s="6"/>
      <c r="E31" s="5"/>
      <c r="F31" s="7"/>
      <c r="G31" s="34" t="s">
        <v>32</v>
      </c>
    </row>
    <row r="32" spans="2:15" ht="18.75">
      <c r="B32" s="4"/>
      <c r="D32" s="6"/>
      <c r="E32" s="5"/>
      <c r="F32" s="7"/>
      <c r="G32" s="35" t="s">
        <v>33</v>
      </c>
    </row>
    <row r="33" spans="2:7" ht="18.75">
      <c r="C33" s="41" t="s">
        <v>34</v>
      </c>
      <c r="D33" s="5"/>
      <c r="E33" s="9" t="s">
        <v>35</v>
      </c>
      <c r="F33" s="9" t="s">
        <v>36</v>
      </c>
      <c r="G33" s="35" t="s">
        <v>37</v>
      </c>
    </row>
    <row r="34" spans="2:7" ht="18.75">
      <c r="B34" s="5"/>
      <c r="G34" s="8" t="s">
        <v>38</v>
      </c>
    </row>
  </sheetData>
  <mergeCells count="22">
    <mergeCell ref="D7:F7"/>
    <mergeCell ref="N2:O2"/>
    <mergeCell ref="J3:M5"/>
    <mergeCell ref="N3:O3"/>
    <mergeCell ref="N4:O4"/>
    <mergeCell ref="N5:O5"/>
    <mergeCell ref="H29:J29"/>
    <mergeCell ref="B2:D5"/>
    <mergeCell ref="F12:F13"/>
    <mergeCell ref="G12:G13"/>
    <mergeCell ref="H12:H13"/>
    <mergeCell ref="B11:C11"/>
    <mergeCell ref="B12:B13"/>
    <mergeCell ref="C12:C13"/>
    <mergeCell ref="D12:D13"/>
    <mergeCell ref="E12:E13"/>
    <mergeCell ref="E2:F5"/>
    <mergeCell ref="G2:I5"/>
    <mergeCell ref="G6:O6"/>
    <mergeCell ref="I12:J13"/>
    <mergeCell ref="K12:K13"/>
    <mergeCell ref="O12:O13"/>
  </mergeCells>
  <conditionalFormatting sqref="C14:C16">
    <cfRule type="duplicateValues" dxfId="1090" priority="90"/>
    <cfRule type="duplicateValues" dxfId="1089" priority="91"/>
    <cfRule type="duplicateValues" dxfId="1088" priority="92"/>
    <cfRule type="duplicateValues" dxfId="1087" priority="93"/>
    <cfRule type="duplicateValues" dxfId="1086" priority="94"/>
    <cfRule type="duplicateValues" dxfId="1085" priority="95"/>
    <cfRule type="duplicateValues" dxfId="1084" priority="96"/>
    <cfRule type="duplicateValues" dxfId="1083" priority="97"/>
    <cfRule type="duplicateValues" dxfId="1082" priority="98"/>
    <cfRule type="duplicateValues" dxfId="1081" priority="99"/>
    <cfRule type="duplicateValues" dxfId="1080" priority="100"/>
    <cfRule type="duplicateValues" dxfId="1079" priority="101"/>
    <cfRule type="duplicateValues" dxfId="1078" priority="102"/>
    <cfRule type="duplicateValues" dxfId="1077" priority="103"/>
    <cfRule type="duplicateValues" dxfId="1076" priority="104"/>
    <cfRule type="duplicateValues" dxfId="1075" priority="105"/>
    <cfRule type="duplicateValues" dxfId="1074" priority="106"/>
    <cfRule type="duplicateValues" dxfId="1073" priority="107"/>
    <cfRule type="duplicateValues" dxfId="1072" priority="108"/>
    <cfRule type="duplicateValues" dxfId="1071" priority="109"/>
    <cfRule type="duplicateValues" dxfId="1070" priority="110"/>
    <cfRule type="duplicateValues" dxfId="1069" priority="111"/>
    <cfRule type="duplicateValues" dxfId="1068" priority="112"/>
    <cfRule type="duplicateValues" dxfId="1067" priority="113"/>
    <cfRule type="duplicateValues" dxfId="1066" priority="114"/>
    <cfRule type="duplicateValues" dxfId="1065" priority="115"/>
    <cfRule type="duplicateValues" dxfId="1064" priority="116"/>
    <cfRule type="duplicateValues" dxfId="1063" priority="117"/>
    <cfRule type="duplicateValues" dxfId="1062" priority="118"/>
    <cfRule type="duplicateValues" dxfId="1061" priority="119"/>
    <cfRule type="duplicateValues" dxfId="1060" priority="120"/>
    <cfRule type="duplicateValues" dxfId="1059" priority="121"/>
    <cfRule type="duplicateValues" dxfId="1058" priority="122"/>
    <cfRule type="duplicateValues" dxfId="1057" priority="123"/>
    <cfRule type="duplicateValues" dxfId="1056" priority="124"/>
    <cfRule type="duplicateValues" dxfId="1055" priority="125"/>
    <cfRule type="duplicateValues" dxfId="1054" priority="126"/>
    <cfRule type="duplicateValues" dxfId="1053" priority="127"/>
    <cfRule type="duplicateValues" dxfId="1052" priority="128"/>
    <cfRule type="duplicateValues" dxfId="1051" priority="129"/>
    <cfRule type="duplicateValues" dxfId="1050" priority="130"/>
    <cfRule type="duplicateValues" dxfId="1049" priority="131"/>
    <cfRule type="duplicateValues" dxfId="1048" priority="132"/>
    <cfRule type="duplicateValues" dxfId="1047" priority="133"/>
    <cfRule type="duplicateValues" dxfId="1046" priority="134"/>
    <cfRule type="duplicateValues" dxfId="1045" priority="135"/>
    <cfRule type="duplicateValues" dxfId="1044" priority="136"/>
    <cfRule type="duplicateValues" dxfId="1043" priority="137"/>
    <cfRule type="duplicateValues" dxfId="1042" priority="138"/>
    <cfRule type="duplicateValues" dxfId="1041" priority="139"/>
    <cfRule type="duplicateValues" dxfId="1040" priority="140"/>
    <cfRule type="duplicateValues" dxfId="1039" priority="141"/>
    <cfRule type="duplicateValues" dxfId="1038" priority="142"/>
    <cfRule type="duplicateValues" dxfId="1037" priority="143"/>
    <cfRule type="duplicateValues" dxfId="1036" priority="144"/>
    <cfRule type="duplicateValues" dxfId="1035" priority="145"/>
    <cfRule type="duplicateValues" dxfId="1034" priority="146"/>
    <cfRule type="duplicateValues" dxfId="1033" priority="445"/>
    <cfRule type="duplicateValues" dxfId="1032" priority="444"/>
    <cfRule type="duplicateValues" dxfId="1031" priority="443"/>
    <cfRule type="duplicateValues" dxfId="1030" priority="442"/>
    <cfRule type="duplicateValues" dxfId="1029" priority="441"/>
    <cfRule type="duplicateValues" dxfId="1028" priority="440"/>
    <cfRule type="duplicateValues" dxfId="1027" priority="439"/>
    <cfRule type="duplicateValues" dxfId="1026" priority="438"/>
    <cfRule type="duplicateValues" dxfId="1025" priority="437"/>
    <cfRule type="duplicateValues" dxfId="1024" priority="436"/>
    <cfRule type="duplicateValues" dxfId="1023" priority="435"/>
    <cfRule type="duplicateValues" dxfId="1022" priority="434"/>
    <cfRule type="duplicateValues" dxfId="1021" priority="433"/>
    <cfRule type="duplicateValues" dxfId="1020" priority="432"/>
    <cfRule type="duplicateValues" dxfId="1019" priority="431"/>
    <cfRule type="duplicateValues" dxfId="1018" priority="430"/>
    <cfRule type="duplicateValues" dxfId="1017" priority="429"/>
    <cfRule type="duplicateValues" dxfId="1016" priority="428"/>
    <cfRule type="duplicateValues" dxfId="1015" priority="427"/>
    <cfRule type="duplicateValues" dxfId="1014" priority="426"/>
    <cfRule type="duplicateValues" dxfId="1013" priority="425"/>
    <cfRule type="duplicateValues" dxfId="1012" priority="424"/>
    <cfRule type="duplicateValues" dxfId="1011" priority="423"/>
    <cfRule type="duplicateValues" dxfId="1010" priority="422"/>
    <cfRule type="duplicateValues" dxfId="1009" priority="421"/>
    <cfRule type="duplicateValues" dxfId="1008" priority="420"/>
    <cfRule type="duplicateValues" dxfId="1007" priority="419"/>
    <cfRule type="duplicateValues" dxfId="1006" priority="418"/>
    <cfRule type="duplicateValues" dxfId="1005" priority="417"/>
    <cfRule type="duplicateValues" dxfId="1004" priority="416"/>
    <cfRule type="duplicateValues" dxfId="1003" priority="415"/>
    <cfRule type="duplicateValues" dxfId="1002" priority="414"/>
  </conditionalFormatting>
  <conditionalFormatting sqref="C17:C20">
    <cfRule type="duplicateValues" dxfId="1001" priority="194"/>
    <cfRule type="duplicateValues" dxfId="1000" priority="195"/>
    <cfRule type="duplicateValues" dxfId="999" priority="196"/>
    <cfRule type="duplicateValues" dxfId="998" priority="197"/>
    <cfRule type="duplicateValues" dxfId="997" priority="198"/>
    <cfRule type="duplicateValues" dxfId="996" priority="199"/>
    <cfRule type="duplicateValues" dxfId="995" priority="200"/>
    <cfRule type="duplicateValues" dxfId="994" priority="201"/>
    <cfRule type="duplicateValues" dxfId="993" priority="202"/>
    <cfRule type="duplicateValues" dxfId="992" priority="203"/>
    <cfRule type="duplicateValues" dxfId="991" priority="204"/>
    <cfRule type="duplicateValues" dxfId="990" priority="205"/>
    <cfRule type="duplicateValues" dxfId="989" priority="206"/>
    <cfRule type="duplicateValues" dxfId="988" priority="207"/>
    <cfRule type="duplicateValues" dxfId="987" priority="208"/>
    <cfRule type="duplicateValues" dxfId="986" priority="209"/>
    <cfRule type="duplicateValues" dxfId="985" priority="210"/>
    <cfRule type="duplicateValues" dxfId="984" priority="211"/>
    <cfRule type="duplicateValues" dxfId="983" priority="212"/>
    <cfRule type="duplicateValues" dxfId="982" priority="213"/>
    <cfRule type="duplicateValues" dxfId="981" priority="214"/>
    <cfRule type="duplicateValues" dxfId="980" priority="215"/>
    <cfRule type="duplicateValues" dxfId="979" priority="216"/>
    <cfRule type="duplicateValues" dxfId="978" priority="217"/>
    <cfRule type="duplicateValues" dxfId="977" priority="218"/>
    <cfRule type="duplicateValues" dxfId="976" priority="219"/>
    <cfRule type="duplicateValues" dxfId="975" priority="220"/>
    <cfRule type="duplicateValues" dxfId="974" priority="221"/>
    <cfRule type="duplicateValues" dxfId="973" priority="222"/>
    <cfRule type="duplicateValues" dxfId="972" priority="223"/>
    <cfRule type="duplicateValues" dxfId="971" priority="224"/>
    <cfRule type="duplicateValues" dxfId="970" priority="225"/>
    <cfRule type="duplicateValues" dxfId="969" priority="226"/>
    <cfRule type="duplicateValues" dxfId="968" priority="227"/>
    <cfRule type="duplicateValues" dxfId="967" priority="228"/>
    <cfRule type="duplicateValues" dxfId="966" priority="229"/>
    <cfRule type="duplicateValues" dxfId="965" priority="230"/>
    <cfRule type="duplicateValues" dxfId="964" priority="231"/>
    <cfRule type="duplicateValues" dxfId="963" priority="232"/>
    <cfRule type="duplicateValues" dxfId="962" priority="233"/>
    <cfRule type="duplicateValues" dxfId="961" priority="234"/>
    <cfRule type="duplicateValues" dxfId="960" priority="235"/>
    <cfRule type="duplicateValues" dxfId="959" priority="236"/>
    <cfRule type="duplicateValues" dxfId="958" priority="237"/>
    <cfRule type="duplicateValues" dxfId="957" priority="238"/>
    <cfRule type="duplicateValues" dxfId="956" priority="239"/>
    <cfRule type="duplicateValues" dxfId="955" priority="240"/>
    <cfRule type="duplicateValues" dxfId="954" priority="241"/>
    <cfRule type="duplicateValues" dxfId="953" priority="242"/>
    <cfRule type="duplicateValues" dxfId="952" priority="243"/>
    <cfRule type="duplicateValues" dxfId="951" priority="244"/>
    <cfRule type="duplicateValues" dxfId="950" priority="245"/>
    <cfRule type="duplicateValues" dxfId="949" priority="246"/>
    <cfRule type="duplicateValues" dxfId="948" priority="247"/>
    <cfRule type="duplicateValues" dxfId="947" priority="248"/>
    <cfRule type="duplicateValues" dxfId="946" priority="249"/>
    <cfRule type="duplicateValues" dxfId="945" priority="250"/>
    <cfRule type="duplicateValues" dxfId="944" priority="162"/>
    <cfRule type="duplicateValues" dxfId="943" priority="163"/>
    <cfRule type="duplicateValues" dxfId="942" priority="164"/>
    <cfRule type="duplicateValues" dxfId="941" priority="165"/>
    <cfRule type="duplicateValues" dxfId="940" priority="166"/>
    <cfRule type="duplicateValues" dxfId="939" priority="167"/>
    <cfRule type="duplicateValues" dxfId="938" priority="168"/>
    <cfRule type="duplicateValues" dxfId="937" priority="169"/>
    <cfRule type="duplicateValues" dxfId="936" priority="170"/>
    <cfRule type="duplicateValues" dxfId="935" priority="171"/>
    <cfRule type="duplicateValues" dxfId="934" priority="172"/>
    <cfRule type="duplicateValues" dxfId="933" priority="173"/>
    <cfRule type="duplicateValues" dxfId="932" priority="174"/>
    <cfRule type="duplicateValues" dxfId="931" priority="175"/>
    <cfRule type="duplicateValues" dxfId="930" priority="176"/>
    <cfRule type="duplicateValues" dxfId="929" priority="177"/>
    <cfRule type="duplicateValues" dxfId="928" priority="178"/>
    <cfRule type="duplicateValues" dxfId="927" priority="179"/>
    <cfRule type="duplicateValues" dxfId="926" priority="180"/>
    <cfRule type="duplicateValues" dxfId="925" priority="181"/>
    <cfRule type="duplicateValues" dxfId="924" priority="182"/>
    <cfRule type="duplicateValues" dxfId="923" priority="183"/>
    <cfRule type="duplicateValues" dxfId="922" priority="184"/>
    <cfRule type="duplicateValues" dxfId="921" priority="185"/>
    <cfRule type="duplicateValues" dxfId="920" priority="186"/>
    <cfRule type="duplicateValues" dxfId="919" priority="187"/>
    <cfRule type="duplicateValues" dxfId="918" priority="188"/>
    <cfRule type="duplicateValues" dxfId="917" priority="189"/>
    <cfRule type="duplicateValues" dxfId="916" priority="190"/>
    <cfRule type="duplicateValues" dxfId="915" priority="191"/>
    <cfRule type="duplicateValues" dxfId="914" priority="192"/>
    <cfRule type="duplicateValues" dxfId="913" priority="193"/>
  </conditionalFormatting>
  <conditionalFormatting sqref="C21 C23:C28">
    <cfRule type="duplicateValues" dxfId="912" priority="893"/>
    <cfRule type="duplicateValues" dxfId="911" priority="894"/>
    <cfRule type="duplicateValues" dxfId="910" priority="895"/>
    <cfRule type="duplicateValues" dxfId="909" priority="896"/>
    <cfRule type="duplicateValues" dxfId="908" priority="897"/>
    <cfRule type="duplicateValues" dxfId="907" priority="898"/>
    <cfRule type="duplicateValues" dxfId="906" priority="899"/>
    <cfRule type="duplicateValues" dxfId="905" priority="900"/>
    <cfRule type="duplicateValues" dxfId="904" priority="901"/>
    <cfRule type="duplicateValues" dxfId="903" priority="902"/>
    <cfRule type="duplicateValues" dxfId="902" priority="903"/>
    <cfRule type="duplicateValues" dxfId="901" priority="904"/>
    <cfRule type="duplicateValues" dxfId="900" priority="905"/>
    <cfRule type="duplicateValues" dxfId="899" priority="906"/>
    <cfRule type="duplicateValues" dxfId="898" priority="907"/>
    <cfRule type="duplicateValues" dxfId="897" priority="908"/>
    <cfRule type="duplicateValues" dxfId="896" priority="909"/>
    <cfRule type="duplicateValues" dxfId="895" priority="910"/>
    <cfRule type="duplicateValues" dxfId="894" priority="911"/>
    <cfRule type="duplicateValues" dxfId="893" priority="912"/>
    <cfRule type="duplicateValues" dxfId="892" priority="913"/>
    <cfRule type="duplicateValues" dxfId="891" priority="914"/>
    <cfRule type="duplicateValues" dxfId="890" priority="915"/>
    <cfRule type="duplicateValues" dxfId="889" priority="916"/>
    <cfRule type="duplicateValues" dxfId="888" priority="917"/>
    <cfRule type="duplicateValues" dxfId="887" priority="918"/>
    <cfRule type="duplicateValues" dxfId="886" priority="919"/>
    <cfRule type="duplicateValues" dxfId="885" priority="920"/>
    <cfRule type="duplicateValues" dxfId="884" priority="921"/>
    <cfRule type="duplicateValues" dxfId="883" priority="922"/>
    <cfRule type="duplicateValues" dxfId="882" priority="923"/>
    <cfRule type="duplicateValues" dxfId="881" priority="924"/>
  </conditionalFormatting>
  <conditionalFormatting sqref="C21">
    <cfRule type="duplicateValues" dxfId="880" priority="389"/>
    <cfRule type="duplicateValues" dxfId="879" priority="390"/>
    <cfRule type="duplicateValues" dxfId="878" priority="391"/>
    <cfRule type="duplicateValues" dxfId="877" priority="392"/>
    <cfRule type="duplicateValues" dxfId="876" priority="393"/>
    <cfRule type="duplicateValues" dxfId="875" priority="394"/>
    <cfRule type="duplicateValues" dxfId="874" priority="395"/>
    <cfRule type="duplicateValues" dxfId="873" priority="396"/>
    <cfRule type="duplicateValues" dxfId="872" priority="397"/>
    <cfRule type="duplicateValues" dxfId="871" priority="398"/>
    <cfRule type="duplicateValues" dxfId="870" priority="399"/>
    <cfRule type="duplicateValues" dxfId="869" priority="400"/>
    <cfRule type="duplicateValues" dxfId="868" priority="401"/>
    <cfRule type="duplicateValues" dxfId="867" priority="402"/>
    <cfRule type="duplicateValues" dxfId="866" priority="403"/>
    <cfRule type="duplicateValues" dxfId="865" priority="404"/>
    <cfRule type="duplicateValues" dxfId="864" priority="405"/>
    <cfRule type="duplicateValues" dxfId="863" priority="406"/>
    <cfRule type="duplicateValues" dxfId="862" priority="407"/>
    <cfRule type="duplicateValues" dxfId="861" priority="408"/>
    <cfRule type="duplicateValues" dxfId="860" priority="409"/>
    <cfRule type="duplicateValues" dxfId="859" priority="410"/>
    <cfRule type="duplicateValues" dxfId="858" priority="411"/>
    <cfRule type="duplicateValues" dxfId="857" priority="412"/>
    <cfRule type="duplicateValues" dxfId="856" priority="413"/>
    <cfRule type="duplicateValues" dxfId="855" priority="357"/>
    <cfRule type="duplicateValues" dxfId="854" priority="358"/>
    <cfRule type="duplicateValues" dxfId="853" priority="359"/>
    <cfRule type="duplicateValues" dxfId="852" priority="360"/>
    <cfRule type="duplicateValues" dxfId="851" priority="361"/>
    <cfRule type="duplicateValues" dxfId="850" priority="362"/>
    <cfRule type="duplicateValues" dxfId="849" priority="363"/>
    <cfRule type="duplicateValues" dxfId="848" priority="364"/>
    <cfRule type="duplicateValues" dxfId="847" priority="365"/>
    <cfRule type="duplicateValues" dxfId="846" priority="366"/>
    <cfRule type="duplicateValues" dxfId="845" priority="367"/>
    <cfRule type="duplicateValues" dxfId="844" priority="368"/>
    <cfRule type="duplicateValues" dxfId="843" priority="369"/>
    <cfRule type="duplicateValues" dxfId="842" priority="370"/>
    <cfRule type="duplicateValues" dxfId="841" priority="371"/>
    <cfRule type="duplicateValues" dxfId="840" priority="372"/>
    <cfRule type="duplicateValues" dxfId="839" priority="373"/>
    <cfRule type="duplicateValues" dxfId="838" priority="374"/>
    <cfRule type="duplicateValues" dxfId="837" priority="375"/>
    <cfRule type="duplicateValues" dxfId="836" priority="376"/>
    <cfRule type="duplicateValues" dxfId="835" priority="377"/>
    <cfRule type="duplicateValues" dxfId="834" priority="378"/>
    <cfRule type="duplicateValues" dxfId="833" priority="379"/>
    <cfRule type="duplicateValues" dxfId="832" priority="380"/>
    <cfRule type="duplicateValues" dxfId="831" priority="381"/>
    <cfRule type="duplicateValues" dxfId="830" priority="382"/>
    <cfRule type="duplicateValues" dxfId="829" priority="383"/>
    <cfRule type="duplicateValues" dxfId="828" priority="384"/>
    <cfRule type="duplicateValues" dxfId="827" priority="385"/>
    <cfRule type="duplicateValues" dxfId="826" priority="386"/>
    <cfRule type="duplicateValues" dxfId="825" priority="387"/>
    <cfRule type="duplicateValues" dxfId="824" priority="388"/>
  </conditionalFormatting>
  <conditionalFormatting sqref="C22">
    <cfRule type="duplicateValues" dxfId="823" priority="446"/>
    <cfRule type="duplicateValues" dxfId="822" priority="447"/>
    <cfRule type="duplicateValues" dxfId="821" priority="448"/>
    <cfRule type="duplicateValues" dxfId="820" priority="449"/>
    <cfRule type="duplicateValues" dxfId="819" priority="450"/>
    <cfRule type="duplicateValues" dxfId="818" priority="451"/>
    <cfRule type="duplicateValues" dxfId="817" priority="452"/>
    <cfRule type="duplicateValues" dxfId="816" priority="453"/>
    <cfRule type="duplicateValues" dxfId="815" priority="454"/>
    <cfRule type="duplicateValues" dxfId="814" priority="455"/>
    <cfRule type="duplicateValues" dxfId="813" priority="456"/>
    <cfRule type="duplicateValues" dxfId="812" priority="457"/>
    <cfRule type="duplicateValues" dxfId="811" priority="458"/>
    <cfRule type="duplicateValues" dxfId="810" priority="459"/>
    <cfRule type="duplicateValues" dxfId="809" priority="460"/>
    <cfRule type="duplicateValues" dxfId="808" priority="461"/>
    <cfRule type="duplicateValues" dxfId="807" priority="462"/>
    <cfRule type="duplicateValues" dxfId="806" priority="463"/>
    <cfRule type="duplicateValues" dxfId="805" priority="464"/>
    <cfRule type="duplicateValues" dxfId="804" priority="465"/>
    <cfRule type="duplicateValues" dxfId="803" priority="466"/>
    <cfRule type="duplicateValues" dxfId="802" priority="467"/>
    <cfRule type="duplicateValues" dxfId="801" priority="468"/>
    <cfRule type="duplicateValues" dxfId="800" priority="469"/>
    <cfRule type="duplicateValues" dxfId="799" priority="470"/>
    <cfRule type="duplicateValues" dxfId="798" priority="471"/>
    <cfRule type="duplicateValues" dxfId="797" priority="472"/>
    <cfRule type="duplicateValues" dxfId="796" priority="473"/>
    <cfRule type="duplicateValues" dxfId="795" priority="474"/>
    <cfRule type="duplicateValues" dxfId="794" priority="475"/>
    <cfRule type="duplicateValues" dxfId="793" priority="476"/>
    <cfRule type="duplicateValues" dxfId="792" priority="477"/>
    <cfRule type="duplicateValues" dxfId="791" priority="478"/>
    <cfRule type="duplicateValues" dxfId="790" priority="479"/>
    <cfRule type="duplicateValues" dxfId="789" priority="480"/>
    <cfRule type="duplicateValues" dxfId="788" priority="481"/>
    <cfRule type="duplicateValues" dxfId="787" priority="482"/>
    <cfRule type="duplicateValues" dxfId="786" priority="483"/>
    <cfRule type="duplicateValues" dxfId="785" priority="484"/>
    <cfRule type="duplicateValues" dxfId="784" priority="485"/>
    <cfRule type="duplicateValues" dxfId="783" priority="486"/>
    <cfRule type="duplicateValues" dxfId="782" priority="487"/>
    <cfRule type="duplicateValues" dxfId="781" priority="488"/>
    <cfRule type="duplicateValues" dxfId="780" priority="489"/>
    <cfRule type="duplicateValues" dxfId="779" priority="490"/>
    <cfRule type="duplicateValues" dxfId="778" priority="491"/>
    <cfRule type="duplicateValues" dxfId="777" priority="492"/>
    <cfRule type="duplicateValues" dxfId="776" priority="493"/>
    <cfRule type="duplicateValues" dxfId="775" priority="494"/>
    <cfRule type="duplicateValues" dxfId="774" priority="495"/>
    <cfRule type="duplicateValues" dxfId="773" priority="496"/>
    <cfRule type="duplicateValues" dxfId="772" priority="497"/>
    <cfRule type="duplicateValues" dxfId="771" priority="498"/>
    <cfRule type="duplicateValues" dxfId="770" priority="499"/>
    <cfRule type="duplicateValues" dxfId="769" priority="500"/>
    <cfRule type="duplicateValues" dxfId="768" priority="501"/>
    <cfRule type="duplicateValues" dxfId="767" priority="502"/>
    <cfRule type="duplicateValues" dxfId="766" priority="282"/>
    <cfRule type="duplicateValues" dxfId="765" priority="281"/>
    <cfRule type="duplicateValues" dxfId="764" priority="280"/>
    <cfRule type="duplicateValues" dxfId="763" priority="279"/>
    <cfRule type="duplicateValues" dxfId="762" priority="278"/>
    <cfRule type="duplicateValues" dxfId="761" priority="277"/>
    <cfRule type="duplicateValues" dxfId="760" priority="276"/>
    <cfRule type="duplicateValues" dxfId="759" priority="275"/>
    <cfRule type="duplicateValues" dxfId="758" priority="274"/>
    <cfRule type="duplicateValues" dxfId="757" priority="273"/>
    <cfRule type="duplicateValues" dxfId="756" priority="272"/>
    <cfRule type="duplicateValues" dxfId="755" priority="271"/>
    <cfRule type="duplicateValues" dxfId="754" priority="270"/>
    <cfRule type="duplicateValues" dxfId="753" priority="269"/>
    <cfRule type="duplicateValues" dxfId="752" priority="268"/>
    <cfRule type="duplicateValues" dxfId="751" priority="267"/>
    <cfRule type="duplicateValues" dxfId="750" priority="266"/>
    <cfRule type="duplicateValues" dxfId="749" priority="265"/>
    <cfRule type="duplicateValues" dxfId="748" priority="264"/>
    <cfRule type="duplicateValues" dxfId="747" priority="263"/>
    <cfRule type="duplicateValues" dxfId="746" priority="262"/>
    <cfRule type="duplicateValues" dxfId="745" priority="261"/>
    <cfRule type="duplicateValues" dxfId="744" priority="260"/>
    <cfRule type="duplicateValues" dxfId="743" priority="259"/>
    <cfRule type="duplicateValues" dxfId="742" priority="258"/>
    <cfRule type="duplicateValues" dxfId="741" priority="257"/>
    <cfRule type="duplicateValues" dxfId="740" priority="256"/>
    <cfRule type="duplicateValues" dxfId="739" priority="255"/>
    <cfRule type="duplicateValues" dxfId="738" priority="254"/>
    <cfRule type="duplicateValues" dxfId="737" priority="253"/>
    <cfRule type="duplicateValues" dxfId="736" priority="252"/>
    <cfRule type="duplicateValues" dxfId="735" priority="251"/>
  </conditionalFormatting>
  <conditionalFormatting sqref="C23:C28">
    <cfRule type="duplicateValues" dxfId="734" priority="957"/>
    <cfRule type="duplicateValues" dxfId="733" priority="958"/>
    <cfRule type="duplicateValues" dxfId="732" priority="959"/>
    <cfRule type="duplicateValues" dxfId="731" priority="960"/>
    <cfRule type="duplicateValues" dxfId="730" priority="961"/>
    <cfRule type="duplicateValues" dxfId="729" priority="962"/>
    <cfRule type="duplicateValues" dxfId="728" priority="963"/>
    <cfRule type="duplicateValues" dxfId="727" priority="964"/>
    <cfRule type="duplicateValues" dxfId="726" priority="965"/>
    <cfRule type="duplicateValues" dxfId="725" priority="966"/>
    <cfRule type="duplicateValues" dxfId="724" priority="967"/>
    <cfRule type="duplicateValues" dxfId="723" priority="968"/>
    <cfRule type="duplicateValues" dxfId="722" priority="969"/>
    <cfRule type="duplicateValues" dxfId="721" priority="970"/>
    <cfRule type="duplicateValues" dxfId="720" priority="971"/>
    <cfRule type="duplicateValues" dxfId="719" priority="972"/>
    <cfRule type="duplicateValues" dxfId="718" priority="973"/>
    <cfRule type="duplicateValues" dxfId="717" priority="974"/>
    <cfRule type="duplicateValues" dxfId="716" priority="975"/>
    <cfRule type="duplicateValues" dxfId="715" priority="976"/>
    <cfRule type="duplicateValues" dxfId="714" priority="977"/>
    <cfRule type="duplicateValues" dxfId="713" priority="978"/>
    <cfRule type="duplicateValues" dxfId="712" priority="979"/>
    <cfRule type="duplicateValues" dxfId="711" priority="980"/>
    <cfRule type="duplicateValues" dxfId="710" priority="981"/>
    <cfRule type="duplicateValues" dxfId="709" priority="982"/>
    <cfRule type="duplicateValues" dxfId="708" priority="983"/>
    <cfRule type="duplicateValues" dxfId="707" priority="984"/>
    <cfRule type="duplicateValues" dxfId="706" priority="985"/>
    <cfRule type="duplicateValues" dxfId="705" priority="986"/>
    <cfRule type="duplicateValues" dxfId="704" priority="987"/>
    <cfRule type="duplicateValues" dxfId="703" priority="988"/>
    <cfRule type="duplicateValues" dxfId="702" priority="989"/>
    <cfRule type="duplicateValues" dxfId="701" priority="990"/>
    <cfRule type="duplicateValues" dxfId="700" priority="991"/>
    <cfRule type="duplicateValues" dxfId="699" priority="992"/>
    <cfRule type="duplicateValues" dxfId="698" priority="993"/>
    <cfRule type="duplicateValues" dxfId="697" priority="994"/>
    <cfRule type="duplicateValues" dxfId="696" priority="995"/>
    <cfRule type="duplicateValues" dxfId="695" priority="996"/>
    <cfRule type="duplicateValues" dxfId="694" priority="997"/>
    <cfRule type="duplicateValues" dxfId="693" priority="998"/>
    <cfRule type="duplicateValues" dxfId="692" priority="999"/>
    <cfRule type="duplicateValues" dxfId="691" priority="1000"/>
    <cfRule type="duplicateValues" dxfId="690" priority="1001"/>
    <cfRule type="duplicateValues" dxfId="689" priority="1002"/>
    <cfRule type="duplicateValues" dxfId="688" priority="1003"/>
    <cfRule type="duplicateValues" dxfId="687" priority="1004"/>
    <cfRule type="duplicateValues" dxfId="686" priority="1005"/>
    <cfRule type="duplicateValues" dxfId="685" priority="1006"/>
    <cfRule type="duplicateValues" dxfId="684" priority="1007"/>
    <cfRule type="duplicateValues" dxfId="683" priority="1008"/>
    <cfRule type="duplicateValues" dxfId="682" priority="1009"/>
    <cfRule type="duplicateValues" dxfId="681" priority="1010"/>
    <cfRule type="duplicateValues" dxfId="680" priority="1011"/>
    <cfRule type="duplicateValues" dxfId="679" priority="1012"/>
    <cfRule type="duplicateValues" dxfId="678" priority="1013"/>
  </conditionalFormatting>
  <pageMargins left="0.45" right="0.17" top="0.37" bottom="0.41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/>
  <dimension ref="B1:O28"/>
  <sheetViews>
    <sheetView zoomScale="70" zoomScaleNormal="70" workbookViewId="0">
      <selection activeCell="C14" sqref="C14:E22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47.25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44</v>
      </c>
      <c r="F9" s="60"/>
      <c r="G9" s="54" t="str">
        <f>B9</f>
        <v>- Thời gian:</v>
      </c>
      <c r="H9" s="40"/>
      <c r="I9" s="53" t="str">
        <f>D9</f>
        <v>S18/8/2026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COUNTIF($L$14:$L36,"x")&amp;"/"&amp;COUNTA($L$14:$L36)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S18/8/2026</v>
      </c>
      <c r="M13" s="15"/>
      <c r="N13" s="15"/>
      <c r="O13" s="189"/>
    </row>
    <row r="14" spans="2:15" ht="22.15" customHeight="1">
      <c r="B14" s="17">
        <f>ROW()-13</f>
        <v>1</v>
      </c>
      <c r="C14" s="105"/>
      <c r="D14" s="106"/>
      <c r="E14" s="107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2" si="0">ROW()-13</f>
        <v>2</v>
      </c>
      <c r="C15" s="105"/>
      <c r="D15" s="106"/>
      <c r="E15" s="107"/>
      <c r="F15" s="28"/>
      <c r="G15" s="17">
        <f t="shared" ref="G15:I22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105"/>
      <c r="D16" s="106"/>
      <c r="E16" s="107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105"/>
      <c r="D17" s="106"/>
      <c r="E17" s="107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105"/>
      <c r="D18" s="106"/>
      <c r="E18" s="107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105"/>
      <c r="D19" s="106"/>
      <c r="E19" s="107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105"/>
      <c r="D20" s="106"/>
      <c r="E20" s="107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105"/>
      <c r="D21" s="106"/>
      <c r="E21" s="107"/>
      <c r="F21" s="138"/>
      <c r="G21" s="17">
        <f t="shared" ref="G21" si="4">B21</f>
        <v>8</v>
      </c>
      <c r="H21" s="52">
        <f t="shared" ref="H21" si="5">C21</f>
        <v>0</v>
      </c>
      <c r="I21" s="70">
        <f t="shared" ref="I21" si="6">D21</f>
        <v>0</v>
      </c>
      <c r="J21" s="71"/>
      <c r="K21" s="16">
        <f t="shared" ref="K21" si="7">E21</f>
        <v>0</v>
      </c>
      <c r="L21" s="29"/>
      <c r="M21" s="13"/>
      <c r="N21" s="14"/>
      <c r="O21" s="18"/>
    </row>
    <row r="22" spans="2:15" ht="22.15" customHeight="1">
      <c r="B22" s="17">
        <f t="shared" si="0"/>
        <v>9</v>
      </c>
      <c r="C22" s="128"/>
      <c r="D22" s="129"/>
      <c r="E22" s="130"/>
      <c r="F22" s="138"/>
      <c r="G22" s="17">
        <f t="shared" ref="G22:H22" si="8">B22</f>
        <v>9</v>
      </c>
      <c r="H22" s="52">
        <f t="shared" si="8"/>
        <v>0</v>
      </c>
      <c r="I22" s="70">
        <f t="shared" si="1"/>
        <v>0</v>
      </c>
      <c r="J22" s="71"/>
      <c r="K22" s="16">
        <f t="shared" ref="K22" si="9">E22</f>
        <v>0</v>
      </c>
      <c r="L22" s="29"/>
      <c r="M22" s="13"/>
      <c r="N22" s="14"/>
      <c r="O22" s="18"/>
    </row>
    <row r="23" spans="2:15" ht="34.15" customHeight="1">
      <c r="B23" s="4"/>
      <c r="C23" s="64" t="s">
        <v>29</v>
      </c>
      <c r="D23" s="6"/>
      <c r="E23" s="5"/>
      <c r="F23" s="65" t="s">
        <v>30</v>
      </c>
      <c r="G23" s="43"/>
      <c r="H23" s="190" t="s">
        <v>31</v>
      </c>
      <c r="I23" s="191"/>
      <c r="J23" s="192"/>
      <c r="K23" s="44"/>
      <c r="L23" s="50"/>
      <c r="M23" s="50"/>
      <c r="N23" s="50"/>
      <c r="O23" s="50"/>
    </row>
    <row r="24" spans="2:15" ht="12.6" customHeight="1">
      <c r="B24" s="4"/>
      <c r="C24" s="5"/>
      <c r="D24" s="6"/>
      <c r="E24" s="5"/>
      <c r="F24" s="7"/>
      <c r="G24" s="33"/>
      <c r="H24" s="33"/>
      <c r="I24" s="33"/>
      <c r="J24" s="33"/>
      <c r="K24" s="33"/>
      <c r="L24" s="51"/>
      <c r="M24" s="51"/>
      <c r="N24" s="51"/>
      <c r="O24" s="51"/>
    </row>
    <row r="25" spans="2:15" ht="18.75">
      <c r="B25" s="4"/>
      <c r="C25" s="5"/>
      <c r="D25" s="6"/>
      <c r="E25" s="5"/>
      <c r="F25" s="7"/>
      <c r="G25" s="34" t="s">
        <v>32</v>
      </c>
    </row>
    <row r="26" spans="2:15" ht="18.75">
      <c r="B26" s="4"/>
      <c r="D26" s="6"/>
      <c r="E26" s="5"/>
      <c r="F26" s="7"/>
      <c r="G26" s="35" t="s">
        <v>33</v>
      </c>
    </row>
    <row r="27" spans="2:15" ht="18.75">
      <c r="C27" s="41" t="s">
        <v>34</v>
      </c>
      <c r="D27" s="5"/>
      <c r="E27" s="9" t="s">
        <v>35</v>
      </c>
      <c r="F27" s="9" t="s">
        <v>36</v>
      </c>
      <c r="G27" s="35" t="s">
        <v>37</v>
      </c>
    </row>
    <row r="28" spans="2:15" ht="18.75">
      <c r="B28" s="5"/>
      <c r="G28" s="8" t="s">
        <v>38</v>
      </c>
    </row>
  </sheetData>
  <mergeCells count="22">
    <mergeCell ref="G6:O6"/>
    <mergeCell ref="I12:J13"/>
    <mergeCell ref="K12:K13"/>
    <mergeCell ref="O12:O13"/>
    <mergeCell ref="B2:D5"/>
    <mergeCell ref="E2:F5"/>
    <mergeCell ref="G2:I5"/>
    <mergeCell ref="N2:O2"/>
    <mergeCell ref="J3:M5"/>
    <mergeCell ref="N3:O3"/>
    <mergeCell ref="N4:O4"/>
    <mergeCell ref="N5:O5"/>
    <mergeCell ref="D7:F7"/>
    <mergeCell ref="H23:J23"/>
    <mergeCell ref="F12:F13"/>
    <mergeCell ref="G12:G13"/>
    <mergeCell ref="H12:H13"/>
    <mergeCell ref="B11:C11"/>
    <mergeCell ref="B12:B13"/>
    <mergeCell ref="C12:C13"/>
    <mergeCell ref="D12:D13"/>
    <mergeCell ref="E12:E13"/>
  </mergeCells>
  <pageMargins left="0.47" right="0.17" top="0.37" bottom="0.41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"/>
  <dimension ref="B1:O36"/>
  <sheetViews>
    <sheetView zoomScale="85" zoomScaleNormal="85" workbookViewId="0">
      <selection activeCell="D11" sqref="D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43.5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53</v>
      </c>
      <c r="F9" s="60"/>
      <c r="G9" s="54" t="str">
        <f>B9</f>
        <v>- Thời gian:</v>
      </c>
      <c r="H9" s="40"/>
      <c r="I9" s="53" t="str">
        <f>D9</f>
        <v>S17/8/2026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COUNTIF($L$14:$L44,"x")&amp;"/"&amp;COUNTA($L$14:$L44)</f>
        <v>16/16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S17/8/2026</v>
      </c>
      <c r="M13" s="15"/>
      <c r="N13" s="15"/>
      <c r="O13" s="189"/>
    </row>
    <row r="14" spans="2:15" ht="22.15" customHeight="1">
      <c r="B14" s="17">
        <f>ROW()-13</f>
        <v>1</v>
      </c>
      <c r="C14" s="105"/>
      <c r="D14" s="106"/>
      <c r="E14" s="107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 t="shared" ref="K14:K30" si="0">E14</f>
        <v>0</v>
      </c>
      <c r="L14" s="29" t="s">
        <v>48</v>
      </c>
      <c r="M14" s="13"/>
      <c r="N14" s="14"/>
      <c r="O14" s="15"/>
    </row>
    <row r="15" spans="2:15" ht="22.15" customHeight="1">
      <c r="B15" s="17">
        <f t="shared" ref="B15:B21" si="1">ROW()-13</f>
        <v>2</v>
      </c>
      <c r="C15" s="105"/>
      <c r="D15" s="106"/>
      <c r="E15" s="107"/>
      <c r="F15" s="28"/>
      <c r="G15" s="17">
        <f t="shared" ref="G15:G16" si="2">B15</f>
        <v>2</v>
      </c>
      <c r="H15" s="52">
        <f t="shared" ref="H15:H30" si="3">C15</f>
        <v>0</v>
      </c>
      <c r="I15" s="70">
        <f t="shared" ref="I15:I30" si="4">D15</f>
        <v>0</v>
      </c>
      <c r="J15" s="71"/>
      <c r="K15" s="16">
        <f t="shared" si="0"/>
        <v>0</v>
      </c>
      <c r="L15" s="29" t="s">
        <v>48</v>
      </c>
      <c r="M15" s="13"/>
      <c r="N15" s="14"/>
      <c r="O15" s="18"/>
    </row>
    <row r="16" spans="2:15" ht="22.15" customHeight="1">
      <c r="B16" s="17">
        <f t="shared" si="1"/>
        <v>3</v>
      </c>
      <c r="C16" s="105"/>
      <c r="D16" s="106"/>
      <c r="E16" s="107"/>
      <c r="F16" s="28"/>
      <c r="G16" s="17">
        <f t="shared" si="2"/>
        <v>3</v>
      </c>
      <c r="H16" s="52">
        <f t="shared" si="3"/>
        <v>0</v>
      </c>
      <c r="I16" s="70">
        <f t="shared" si="4"/>
        <v>0</v>
      </c>
      <c r="J16" s="71"/>
      <c r="K16" s="16">
        <f t="shared" si="0"/>
        <v>0</v>
      </c>
      <c r="L16" s="29" t="s">
        <v>48</v>
      </c>
      <c r="M16" s="13"/>
      <c r="N16" s="14"/>
      <c r="O16" s="15"/>
    </row>
    <row r="17" spans="2:15" ht="22.15" customHeight="1">
      <c r="B17" s="17">
        <f>ROW()-13</f>
        <v>4</v>
      </c>
      <c r="C17" s="105"/>
      <c r="D17" s="106"/>
      <c r="E17" s="107"/>
      <c r="F17" s="27"/>
      <c r="G17" s="17">
        <f>B17</f>
        <v>4</v>
      </c>
      <c r="H17" s="52">
        <f t="shared" si="3"/>
        <v>0</v>
      </c>
      <c r="I17" s="140">
        <f t="shared" si="4"/>
        <v>0</v>
      </c>
      <c r="J17" s="71"/>
      <c r="K17" s="16">
        <f t="shared" si="0"/>
        <v>0</v>
      </c>
      <c r="L17" s="29" t="s">
        <v>48</v>
      </c>
      <c r="M17" s="13"/>
      <c r="N17" s="14"/>
      <c r="O17" s="15"/>
    </row>
    <row r="18" spans="2:15" ht="22.15" customHeight="1">
      <c r="B18" s="17">
        <f t="shared" si="1"/>
        <v>5</v>
      </c>
      <c r="C18" s="105"/>
      <c r="D18" s="106"/>
      <c r="E18" s="107"/>
      <c r="F18" s="28"/>
      <c r="G18" s="17">
        <f t="shared" ref="G18:G19" si="5">B18</f>
        <v>5</v>
      </c>
      <c r="H18" s="52">
        <f t="shared" si="3"/>
        <v>0</v>
      </c>
      <c r="I18" s="70">
        <f t="shared" si="4"/>
        <v>0</v>
      </c>
      <c r="J18" s="71"/>
      <c r="K18" s="16">
        <f t="shared" si="0"/>
        <v>0</v>
      </c>
      <c r="L18" s="29" t="s">
        <v>48</v>
      </c>
      <c r="M18" s="13"/>
      <c r="N18" s="14"/>
      <c r="O18" s="18"/>
    </row>
    <row r="19" spans="2:15" ht="22.15" customHeight="1">
      <c r="B19" s="17">
        <f t="shared" si="1"/>
        <v>6</v>
      </c>
      <c r="C19" s="105"/>
      <c r="D19" s="106"/>
      <c r="E19" s="107"/>
      <c r="F19" s="28"/>
      <c r="G19" s="17">
        <f t="shared" si="5"/>
        <v>6</v>
      </c>
      <c r="H19" s="52">
        <f t="shared" si="3"/>
        <v>0</v>
      </c>
      <c r="I19" s="70">
        <f t="shared" si="4"/>
        <v>0</v>
      </c>
      <c r="J19" s="71"/>
      <c r="K19" s="16">
        <f t="shared" si="0"/>
        <v>0</v>
      </c>
      <c r="L19" s="29" t="s">
        <v>48</v>
      </c>
      <c r="M19" s="13"/>
      <c r="N19" s="14"/>
      <c r="O19" s="15"/>
    </row>
    <row r="20" spans="2:15" ht="22.15" customHeight="1">
      <c r="B20" s="17">
        <f>ROW()-13</f>
        <v>7</v>
      </c>
      <c r="C20" s="105"/>
      <c r="D20" s="106"/>
      <c r="E20" s="107"/>
      <c r="F20" s="27"/>
      <c r="G20" s="17">
        <f>B20</f>
        <v>7</v>
      </c>
      <c r="H20" s="52">
        <f t="shared" si="3"/>
        <v>0</v>
      </c>
      <c r="I20" s="70">
        <f t="shared" si="4"/>
        <v>0</v>
      </c>
      <c r="J20" s="71"/>
      <c r="K20" s="16">
        <f t="shared" si="0"/>
        <v>0</v>
      </c>
      <c r="L20" s="29" t="s">
        <v>48</v>
      </c>
      <c r="M20" s="13"/>
      <c r="N20" s="14"/>
      <c r="O20" s="15"/>
    </row>
    <row r="21" spans="2:15" ht="22.15" customHeight="1">
      <c r="B21" s="17">
        <f t="shared" si="1"/>
        <v>8</v>
      </c>
      <c r="C21" s="105"/>
      <c r="D21" s="106"/>
      <c r="E21" s="107"/>
      <c r="F21" s="28"/>
      <c r="G21" s="17">
        <f t="shared" ref="G21" si="6">B21</f>
        <v>8</v>
      </c>
      <c r="H21" s="52">
        <f t="shared" si="3"/>
        <v>0</v>
      </c>
      <c r="I21" s="70">
        <f t="shared" si="4"/>
        <v>0</v>
      </c>
      <c r="J21" s="71"/>
      <c r="K21" s="16">
        <f t="shared" si="0"/>
        <v>0</v>
      </c>
      <c r="L21" s="29" t="s">
        <v>48</v>
      </c>
      <c r="M21" s="13"/>
      <c r="N21" s="14"/>
      <c r="O21" s="18"/>
    </row>
    <row r="22" spans="2:15" ht="22.15" customHeight="1">
      <c r="B22" s="17">
        <f>ROW()-13</f>
        <v>9</v>
      </c>
      <c r="C22" s="105"/>
      <c r="D22" s="106"/>
      <c r="E22" s="107"/>
      <c r="F22" s="27"/>
      <c r="G22" s="17">
        <f>B22</f>
        <v>9</v>
      </c>
      <c r="H22" s="52">
        <f t="shared" si="3"/>
        <v>0</v>
      </c>
      <c r="I22" s="70">
        <f t="shared" si="4"/>
        <v>0</v>
      </c>
      <c r="J22" s="71"/>
      <c r="K22" s="16">
        <f t="shared" si="0"/>
        <v>0</v>
      </c>
      <c r="L22" s="29" t="s">
        <v>48</v>
      </c>
      <c r="M22" s="13"/>
      <c r="N22" s="14"/>
      <c r="O22" s="15"/>
    </row>
    <row r="23" spans="2:15" ht="22.15" customHeight="1">
      <c r="B23" s="17">
        <f t="shared" ref="B23:B30" si="7">ROW()-13</f>
        <v>10</v>
      </c>
      <c r="C23" s="105"/>
      <c r="D23" s="106"/>
      <c r="E23" s="107"/>
      <c r="F23" s="28"/>
      <c r="G23" s="17">
        <f t="shared" ref="G23:G24" si="8">B23</f>
        <v>10</v>
      </c>
      <c r="H23" s="52">
        <f t="shared" si="3"/>
        <v>0</v>
      </c>
      <c r="I23" s="70">
        <f t="shared" si="4"/>
        <v>0</v>
      </c>
      <c r="J23" s="71"/>
      <c r="K23" s="16">
        <f t="shared" si="0"/>
        <v>0</v>
      </c>
      <c r="L23" s="29" t="s">
        <v>48</v>
      </c>
      <c r="M23" s="13"/>
      <c r="N23" s="14"/>
      <c r="O23" s="18"/>
    </row>
    <row r="24" spans="2:15" ht="22.15" customHeight="1">
      <c r="B24" s="17">
        <f t="shared" si="7"/>
        <v>11</v>
      </c>
      <c r="C24" s="105"/>
      <c r="D24" s="106"/>
      <c r="E24" s="107"/>
      <c r="F24" s="28"/>
      <c r="G24" s="17">
        <f t="shared" si="8"/>
        <v>11</v>
      </c>
      <c r="H24" s="52">
        <f t="shared" si="3"/>
        <v>0</v>
      </c>
      <c r="I24" s="140">
        <f t="shared" si="4"/>
        <v>0</v>
      </c>
      <c r="J24" s="71"/>
      <c r="K24" s="16">
        <f t="shared" si="0"/>
        <v>0</v>
      </c>
      <c r="L24" s="29" t="s">
        <v>48</v>
      </c>
      <c r="M24" s="13"/>
      <c r="N24" s="14"/>
      <c r="O24" s="15"/>
    </row>
    <row r="25" spans="2:15" ht="22.15" customHeight="1">
      <c r="B25" s="17">
        <f>ROW()-13</f>
        <v>12</v>
      </c>
      <c r="C25" s="105"/>
      <c r="D25" s="106"/>
      <c r="E25" s="107"/>
      <c r="F25" s="27"/>
      <c r="G25" s="17">
        <f>B25</f>
        <v>12</v>
      </c>
      <c r="H25" s="52">
        <f t="shared" si="3"/>
        <v>0</v>
      </c>
      <c r="I25" s="70">
        <f t="shared" si="4"/>
        <v>0</v>
      </c>
      <c r="J25" s="71"/>
      <c r="K25" s="16">
        <f t="shared" si="0"/>
        <v>0</v>
      </c>
      <c r="L25" s="29" t="s">
        <v>48</v>
      </c>
      <c r="M25" s="13"/>
      <c r="N25" s="14"/>
      <c r="O25" s="15"/>
    </row>
    <row r="26" spans="2:15" ht="22.15" customHeight="1">
      <c r="B26" s="17">
        <f t="shared" si="7"/>
        <v>13</v>
      </c>
      <c r="C26" s="105"/>
      <c r="D26" s="106"/>
      <c r="E26" s="107"/>
      <c r="F26" s="28"/>
      <c r="G26" s="17">
        <f t="shared" ref="G26:G27" si="9">B26</f>
        <v>13</v>
      </c>
      <c r="H26" s="52">
        <f t="shared" si="3"/>
        <v>0</v>
      </c>
      <c r="I26" s="70">
        <f t="shared" si="4"/>
        <v>0</v>
      </c>
      <c r="J26" s="71"/>
      <c r="K26" s="16">
        <f t="shared" si="0"/>
        <v>0</v>
      </c>
      <c r="L26" s="29" t="s">
        <v>48</v>
      </c>
      <c r="M26" s="13"/>
      <c r="N26" s="14"/>
      <c r="O26" s="18"/>
    </row>
    <row r="27" spans="2:15" ht="22.15" customHeight="1">
      <c r="B27" s="17">
        <f t="shared" si="7"/>
        <v>14</v>
      </c>
      <c r="C27" s="105"/>
      <c r="D27" s="106"/>
      <c r="E27" s="107"/>
      <c r="F27" s="28"/>
      <c r="G27" s="17">
        <f t="shared" si="9"/>
        <v>14</v>
      </c>
      <c r="H27" s="52">
        <f t="shared" si="3"/>
        <v>0</v>
      </c>
      <c r="I27" s="70">
        <f t="shared" si="4"/>
        <v>0</v>
      </c>
      <c r="J27" s="71"/>
      <c r="K27" s="16">
        <f t="shared" si="0"/>
        <v>0</v>
      </c>
      <c r="L27" s="29" t="s">
        <v>48</v>
      </c>
      <c r="M27" s="13"/>
      <c r="N27" s="14"/>
      <c r="O27" s="15"/>
    </row>
    <row r="28" spans="2:15" ht="22.15" customHeight="1">
      <c r="B28" s="17">
        <f>ROW()-13</f>
        <v>15</v>
      </c>
      <c r="C28" s="105"/>
      <c r="D28" s="106"/>
      <c r="E28" s="107"/>
      <c r="F28" s="27"/>
      <c r="G28" s="17">
        <f>B28</f>
        <v>15</v>
      </c>
      <c r="H28" s="52">
        <f t="shared" si="3"/>
        <v>0</v>
      </c>
      <c r="I28" s="140">
        <f t="shared" si="4"/>
        <v>0</v>
      </c>
      <c r="J28" s="71"/>
      <c r="K28" s="16">
        <f t="shared" si="0"/>
        <v>0</v>
      </c>
      <c r="L28" s="29" t="s">
        <v>48</v>
      </c>
      <c r="M28" s="13"/>
      <c r="N28" s="14"/>
      <c r="O28" s="15"/>
    </row>
    <row r="29" spans="2:15" ht="22.15" customHeight="1">
      <c r="B29" s="17">
        <f t="shared" si="7"/>
        <v>16</v>
      </c>
      <c r="C29" s="105"/>
      <c r="D29" s="106"/>
      <c r="E29" s="107"/>
      <c r="F29" s="28"/>
      <c r="G29" s="17">
        <f t="shared" ref="G29" si="10">B29</f>
        <v>16</v>
      </c>
      <c r="H29" s="52">
        <f t="shared" ref="H29" si="11">C29</f>
        <v>0</v>
      </c>
      <c r="I29" s="140">
        <f t="shared" ref="I29" si="12">D29</f>
        <v>0</v>
      </c>
      <c r="J29" s="71"/>
      <c r="K29" s="16">
        <f t="shared" ref="K29" si="13">E29</f>
        <v>0</v>
      </c>
      <c r="L29" s="29" t="s">
        <v>48</v>
      </c>
      <c r="M29" s="13"/>
      <c r="N29" s="14"/>
      <c r="O29" s="18"/>
    </row>
    <row r="30" spans="2:15" ht="22.15" customHeight="1">
      <c r="B30" s="17">
        <f t="shared" si="7"/>
        <v>17</v>
      </c>
      <c r="C30" s="105"/>
      <c r="D30" s="106"/>
      <c r="E30" s="107"/>
      <c r="F30" s="28"/>
      <c r="G30" s="17">
        <f t="shared" ref="G30" si="14">B30</f>
        <v>17</v>
      </c>
      <c r="H30" s="52">
        <f t="shared" si="3"/>
        <v>0</v>
      </c>
      <c r="I30" s="140">
        <f t="shared" si="4"/>
        <v>0</v>
      </c>
      <c r="J30" s="71"/>
      <c r="K30" s="16">
        <f t="shared" si="0"/>
        <v>0</v>
      </c>
      <c r="L30" s="29"/>
      <c r="M30" s="13"/>
      <c r="N30" s="14"/>
      <c r="O30" s="18"/>
    </row>
    <row r="31" spans="2:15" ht="34.15" customHeight="1">
      <c r="B31" s="4"/>
      <c r="C31" s="64" t="s">
        <v>29</v>
      </c>
      <c r="D31" s="6"/>
      <c r="E31" s="5"/>
      <c r="F31" s="65" t="s">
        <v>30</v>
      </c>
      <c r="G31" s="43"/>
      <c r="H31" s="190" t="s">
        <v>31</v>
      </c>
      <c r="I31" s="191"/>
      <c r="J31" s="192"/>
      <c r="K31" s="44"/>
      <c r="L31" s="50"/>
      <c r="M31" s="50"/>
      <c r="N31" s="50"/>
      <c r="O31" s="50"/>
    </row>
    <row r="32" spans="2:15" ht="12.6" customHeight="1">
      <c r="B32" s="4"/>
      <c r="C32" s="5"/>
      <c r="D32" s="6"/>
      <c r="E32" s="5"/>
      <c r="F32" s="7"/>
      <c r="G32" s="33"/>
      <c r="H32" s="33"/>
      <c r="I32" s="33"/>
      <c r="J32" s="33"/>
      <c r="K32" s="33"/>
      <c r="L32" s="51"/>
      <c r="M32" s="51"/>
      <c r="N32" s="51"/>
      <c r="O32" s="51"/>
    </row>
    <row r="33" spans="2:7" ht="18.75">
      <c r="B33" s="4"/>
      <c r="C33" s="5"/>
      <c r="D33" s="6"/>
      <c r="E33" s="5"/>
      <c r="F33" s="7"/>
      <c r="G33" s="34" t="s">
        <v>32</v>
      </c>
    </row>
    <row r="34" spans="2:7" ht="18.75">
      <c r="B34" s="4"/>
      <c r="D34" s="6"/>
      <c r="E34" s="5"/>
      <c r="F34" s="7"/>
      <c r="G34" s="35" t="s">
        <v>33</v>
      </c>
    </row>
    <row r="35" spans="2:7" ht="18.75">
      <c r="C35" s="41" t="s">
        <v>34</v>
      </c>
      <c r="D35" s="5"/>
      <c r="E35" s="9" t="s">
        <v>35</v>
      </c>
      <c r="F35" s="9" t="s">
        <v>36</v>
      </c>
      <c r="G35" s="35" t="s">
        <v>37</v>
      </c>
    </row>
    <row r="36" spans="2:7" ht="18.75">
      <c r="B36" s="5"/>
      <c r="G36" s="8" t="s">
        <v>38</v>
      </c>
    </row>
  </sheetData>
  <mergeCells count="22">
    <mergeCell ref="D7:F7"/>
    <mergeCell ref="F12:F13"/>
    <mergeCell ref="G12:G13"/>
    <mergeCell ref="B11:C11"/>
    <mergeCell ref="B12:B13"/>
    <mergeCell ref="C12:C13"/>
    <mergeCell ref="D12:D13"/>
    <mergeCell ref="E12:E13"/>
    <mergeCell ref="B2:D5"/>
    <mergeCell ref="E2:F5"/>
    <mergeCell ref="G2:I5"/>
    <mergeCell ref="N2:O2"/>
    <mergeCell ref="J3:M5"/>
    <mergeCell ref="N3:O3"/>
    <mergeCell ref="N4:O4"/>
    <mergeCell ref="N5:O5"/>
    <mergeCell ref="H12:H13"/>
    <mergeCell ref="I12:J13"/>
    <mergeCell ref="K12:K13"/>
    <mergeCell ref="H31:J31"/>
    <mergeCell ref="G6:O6"/>
    <mergeCell ref="O12:O13"/>
  </mergeCells>
  <pageMargins left="0.59" right="0.17" top="0.37" bottom="0.41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"/>
  <dimension ref="B1:O29"/>
  <sheetViews>
    <sheetView zoomScale="70" zoomScaleNormal="70" workbookViewId="0">
      <selection activeCell="C14" sqref="C14:E23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56</v>
      </c>
      <c r="C8" s="54"/>
      <c r="D8" s="39"/>
      <c r="F8" s="39"/>
      <c r="G8" s="54" t="str">
        <f>B8</f>
        <v>- Loại hình/hình thức đào tạo: Định kỳ/Trực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57</v>
      </c>
      <c r="F9" s="60"/>
      <c r="G9" s="54" t="str">
        <f>B9</f>
        <v>- Thời gian:</v>
      </c>
      <c r="H9" s="40"/>
      <c r="I9" s="53" t="str">
        <f>D9</f>
        <v>S21/8/2026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COUNTIF($L$14:$L37,"x")&amp;"/"&amp;COUNTA($L$14:$L37)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S21/8/2026</v>
      </c>
      <c r="M13" s="15"/>
      <c r="N13" s="15"/>
      <c r="O13" s="189"/>
    </row>
    <row r="14" spans="2:15" ht="22.15" customHeight="1">
      <c r="B14" s="17">
        <f>ROW()-13</f>
        <v>1</v>
      </c>
      <c r="C14" s="105"/>
      <c r="D14" s="106"/>
      <c r="E14" s="107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105"/>
      <c r="D15" s="106"/>
      <c r="E15" s="107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105"/>
      <c r="D16" s="106"/>
      <c r="E16" s="107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105"/>
      <c r="D17" s="106"/>
      <c r="E17" s="107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105"/>
      <c r="D18" s="106"/>
      <c r="E18" s="107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105"/>
      <c r="D19" s="106"/>
      <c r="E19" s="107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105"/>
      <c r="D20" s="106"/>
      <c r="E20" s="107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105"/>
      <c r="D21" s="106"/>
      <c r="E21" s="107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105"/>
      <c r="D22" s="106"/>
      <c r="E22" s="107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" si="6">ROW()-13</f>
        <v>10</v>
      </c>
      <c r="C23" s="105"/>
      <c r="D23" s="106"/>
      <c r="E23" s="107"/>
      <c r="F23" s="28"/>
      <c r="G23" s="17">
        <f t="shared" ref="G23:I23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34.15" customHeight="1">
      <c r="B24" s="4"/>
      <c r="C24" s="64" t="s">
        <v>29</v>
      </c>
      <c r="D24" s="6"/>
      <c r="E24" s="5"/>
      <c r="F24" s="65" t="s">
        <v>30</v>
      </c>
      <c r="G24" s="43"/>
      <c r="H24" s="190" t="s">
        <v>31</v>
      </c>
      <c r="I24" s="191"/>
      <c r="J24" s="192"/>
      <c r="K24" s="44"/>
      <c r="L24" s="50"/>
      <c r="M24" s="50"/>
      <c r="N24" s="50"/>
      <c r="O24" s="50"/>
    </row>
    <row r="25" spans="2:15" ht="12.6" customHeight="1">
      <c r="B25" s="4"/>
      <c r="C25" s="5"/>
      <c r="D25" s="6"/>
      <c r="E25" s="5"/>
      <c r="F25" s="7"/>
      <c r="G25" s="33"/>
      <c r="H25" s="33"/>
      <c r="I25" s="33"/>
      <c r="J25" s="33"/>
      <c r="K25" s="33"/>
      <c r="L25" s="51"/>
      <c r="M25" s="51"/>
      <c r="N25" s="51"/>
      <c r="O25" s="51"/>
    </row>
    <row r="26" spans="2:15" ht="18.75">
      <c r="B26" s="4"/>
      <c r="C26" s="5"/>
      <c r="D26" s="6"/>
      <c r="E26" s="5"/>
      <c r="F26" s="7"/>
      <c r="G26" s="34" t="s">
        <v>32</v>
      </c>
    </row>
    <row r="27" spans="2:15" ht="18.75">
      <c r="B27" s="4"/>
      <c r="D27" s="6"/>
      <c r="E27" s="5"/>
      <c r="F27" s="7"/>
      <c r="G27" s="35" t="s">
        <v>33</v>
      </c>
    </row>
    <row r="28" spans="2:15" ht="18.75">
      <c r="C28" s="41" t="s">
        <v>34</v>
      </c>
      <c r="D28" s="5"/>
      <c r="E28" s="9" t="s">
        <v>35</v>
      </c>
      <c r="F28" s="9" t="s">
        <v>36</v>
      </c>
      <c r="G28" s="35" t="s">
        <v>37</v>
      </c>
    </row>
    <row r="29" spans="2:15" ht="18.75">
      <c r="B29" s="5"/>
      <c r="G29" s="8" t="s">
        <v>38</v>
      </c>
    </row>
  </sheetData>
  <mergeCells count="21">
    <mergeCell ref="O12:O13"/>
    <mergeCell ref="N3:O3"/>
    <mergeCell ref="N4:O4"/>
    <mergeCell ref="N5:O5"/>
    <mergeCell ref="G6:O6"/>
    <mergeCell ref="I12:J13"/>
    <mergeCell ref="K12:K13"/>
    <mergeCell ref="H24:J24"/>
    <mergeCell ref="B11:C11"/>
    <mergeCell ref="B12:B13"/>
    <mergeCell ref="C12:C13"/>
    <mergeCell ref="D12:D13"/>
    <mergeCell ref="E12:E13"/>
    <mergeCell ref="F12:F13"/>
    <mergeCell ref="G12:G13"/>
    <mergeCell ref="H12:H13"/>
    <mergeCell ref="B2:D5"/>
    <mergeCell ref="E2:F5"/>
    <mergeCell ref="G2:I5"/>
    <mergeCell ref="N2:O2"/>
    <mergeCell ref="J3:M5"/>
  </mergeCells>
  <pageMargins left="0.56999999999999995" right="0.17" top="0.37" bottom="0.41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5"/>
  <dimension ref="B1:O29"/>
  <sheetViews>
    <sheetView zoomScale="70" zoomScaleNormal="70" workbookViewId="0">
      <selection activeCell="C23" sqref="C23:E23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47.25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56</v>
      </c>
      <c r="C8" s="54"/>
      <c r="D8" s="39"/>
      <c r="F8" s="39"/>
      <c r="G8" s="54" t="str">
        <f>B8</f>
        <v>- Loại hình/hình thức đào tạo: Định kỳ/Trực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42</v>
      </c>
      <c r="F9" s="60"/>
      <c r="G9" s="54" t="str">
        <f>B9</f>
        <v>- Thời gian:</v>
      </c>
      <c r="H9" s="40"/>
      <c r="I9" s="53" t="str">
        <f>D9</f>
        <v>19/8/2026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COUNTIF($L$14:$L37,"x")&amp;"/"&amp;COUNTA($L$14:$L37)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19/8/2026</v>
      </c>
      <c r="M13" s="15"/>
      <c r="N13" s="15"/>
      <c r="O13" s="189"/>
    </row>
    <row r="14" spans="2:15" ht="22.15" customHeight="1">
      <c r="B14" s="17">
        <f>ROW()-13</f>
        <v>1</v>
      </c>
      <c r="C14" s="105"/>
      <c r="D14" s="106"/>
      <c r="E14" s="107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105"/>
      <c r="D15" s="106"/>
      <c r="E15" s="107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105"/>
      <c r="D16" s="106"/>
      <c r="E16" s="107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105"/>
      <c r="D17" s="106"/>
      <c r="E17" s="107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105"/>
      <c r="D18" s="106"/>
      <c r="E18" s="107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105"/>
      <c r="D19" s="106"/>
      <c r="E19" s="107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105"/>
      <c r="D20" s="106"/>
      <c r="E20" s="107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105"/>
      <c r="D21" s="106"/>
      <c r="E21" s="107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105"/>
      <c r="D22" s="106"/>
      <c r="E22" s="107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" si="6">ROW()-13</f>
        <v>10</v>
      </c>
      <c r="C23" s="105"/>
      <c r="D23" s="106"/>
      <c r="E23" s="107"/>
      <c r="F23" s="28"/>
      <c r="G23" s="17">
        <f t="shared" ref="G23:I23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34.15" customHeight="1">
      <c r="B24" s="4"/>
      <c r="C24" s="64" t="s">
        <v>29</v>
      </c>
      <c r="D24" s="6"/>
      <c r="E24" s="5"/>
      <c r="F24" s="65" t="s">
        <v>30</v>
      </c>
      <c r="G24" s="43"/>
      <c r="H24" s="190" t="s">
        <v>31</v>
      </c>
      <c r="I24" s="191"/>
      <c r="J24" s="192"/>
      <c r="K24" s="44"/>
      <c r="L24" s="50"/>
      <c r="M24" s="50"/>
      <c r="N24" s="50"/>
      <c r="O24" s="50"/>
    </row>
    <row r="25" spans="2:15" ht="12.6" customHeight="1">
      <c r="B25" s="4"/>
      <c r="C25" s="5"/>
      <c r="D25" s="6"/>
      <c r="E25" s="5"/>
      <c r="F25" s="7"/>
      <c r="G25" s="33"/>
      <c r="H25" s="33"/>
      <c r="I25" s="33"/>
      <c r="J25" s="33"/>
      <c r="K25" s="33"/>
      <c r="L25" s="51"/>
      <c r="M25" s="51"/>
      <c r="N25" s="51"/>
      <c r="O25" s="51"/>
    </row>
    <row r="26" spans="2:15" ht="18.75">
      <c r="B26" s="4"/>
      <c r="C26" s="5"/>
      <c r="D26" s="6"/>
      <c r="E26" s="5"/>
      <c r="F26" s="7"/>
      <c r="G26" s="34" t="s">
        <v>32</v>
      </c>
    </row>
    <row r="27" spans="2:15" ht="18.75">
      <c r="B27" s="4"/>
      <c r="D27" s="6"/>
      <c r="E27" s="5"/>
      <c r="F27" s="7"/>
      <c r="G27" s="35" t="s">
        <v>33</v>
      </c>
    </row>
    <row r="28" spans="2:15" ht="18.75">
      <c r="C28" s="41" t="s">
        <v>34</v>
      </c>
      <c r="D28" s="5"/>
      <c r="E28" s="9" t="s">
        <v>35</v>
      </c>
      <c r="F28" s="9" t="s">
        <v>36</v>
      </c>
      <c r="G28" s="35" t="s">
        <v>37</v>
      </c>
    </row>
    <row r="29" spans="2:15" ht="18.75">
      <c r="B29" s="5"/>
      <c r="G29" s="8" t="s">
        <v>38</v>
      </c>
    </row>
  </sheetData>
  <mergeCells count="22">
    <mergeCell ref="G6:O6"/>
    <mergeCell ref="I12:J13"/>
    <mergeCell ref="K12:K13"/>
    <mergeCell ref="O12:O13"/>
    <mergeCell ref="B2:D5"/>
    <mergeCell ref="E2:F5"/>
    <mergeCell ref="G2:I5"/>
    <mergeCell ref="N2:O2"/>
    <mergeCell ref="J3:M5"/>
    <mergeCell ref="N3:O3"/>
    <mergeCell ref="N4:O4"/>
    <mergeCell ref="N5:O5"/>
    <mergeCell ref="F12:F13"/>
    <mergeCell ref="G12:G13"/>
    <mergeCell ref="H12:H13"/>
    <mergeCell ref="D7:F7"/>
    <mergeCell ref="H24:J24"/>
    <mergeCell ref="B11:C11"/>
    <mergeCell ref="B12:B13"/>
    <mergeCell ref="C12:C13"/>
    <mergeCell ref="D12:D13"/>
    <mergeCell ref="E12:E13"/>
  </mergeCells>
  <pageMargins left="0.45" right="0.17" top="0.37" bottom="0.41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B1:O29"/>
  <sheetViews>
    <sheetView zoomScale="70" zoomScaleNormal="70" workbookViewId="0">
      <selection activeCell="D11" sqref="D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46.5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56</v>
      </c>
      <c r="C8" s="54"/>
      <c r="D8" s="39"/>
      <c r="F8" s="39"/>
      <c r="G8" s="54" t="str">
        <f>B8</f>
        <v>- Loại hình/hình thức đào tạo: Định kỳ/Trực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58</v>
      </c>
      <c r="F9" s="60"/>
      <c r="G9" s="54" t="str">
        <f>B9</f>
        <v>- Thời gian:</v>
      </c>
      <c r="H9" s="40"/>
      <c r="I9" s="53" t="str">
        <f>D9</f>
        <v>20/8/2026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COUNTIF($L$14:$L37,"x")&amp;"/"&amp;COUNTA($L$14:$L37)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20/8/2026</v>
      </c>
      <c r="M13" s="15"/>
      <c r="N13" s="15"/>
      <c r="O13" s="189"/>
    </row>
    <row r="14" spans="2:15" ht="22.15" customHeight="1">
      <c r="B14" s="17">
        <f>ROW()-13</f>
        <v>1</v>
      </c>
      <c r="C14" s="105"/>
      <c r="D14" s="106"/>
      <c r="E14" s="107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105"/>
      <c r="D15" s="106"/>
      <c r="E15" s="107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105"/>
      <c r="D16" s="106"/>
      <c r="E16" s="107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105"/>
      <c r="D17" s="106"/>
      <c r="E17" s="107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105"/>
      <c r="D18" s="106"/>
      <c r="E18" s="107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105"/>
      <c r="D19" s="106"/>
      <c r="E19" s="107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105"/>
      <c r="D20" s="106"/>
      <c r="E20" s="107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105"/>
      <c r="D21" s="106"/>
      <c r="E21" s="107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105"/>
      <c r="D22" s="106"/>
      <c r="E22" s="107"/>
      <c r="F22" s="27"/>
      <c r="G22" s="17">
        <f t="shared" ref="G22:I23" si="6">B22</f>
        <v>9</v>
      </c>
      <c r="H22" s="52">
        <f t="shared" si="6"/>
        <v>0</v>
      </c>
      <c r="I22" s="70">
        <f t="shared" si="6"/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>ROW()-13</f>
        <v>10</v>
      </c>
      <c r="C23" s="128"/>
      <c r="D23" s="129"/>
      <c r="E23" s="130"/>
      <c r="F23" s="142"/>
      <c r="G23" s="17">
        <f t="shared" si="6"/>
        <v>10</v>
      </c>
      <c r="H23" s="52">
        <f t="shared" si="6"/>
        <v>0</v>
      </c>
      <c r="I23" s="70">
        <f t="shared" si="6"/>
        <v>0</v>
      </c>
      <c r="J23" s="71"/>
      <c r="K23" s="16">
        <f>E23</f>
        <v>0</v>
      </c>
      <c r="L23" s="29"/>
      <c r="M23" s="13"/>
      <c r="N23" s="14"/>
      <c r="O23" s="15"/>
    </row>
    <row r="24" spans="2:15" ht="34.15" customHeight="1">
      <c r="B24" s="4"/>
      <c r="C24" s="64" t="s">
        <v>29</v>
      </c>
      <c r="D24" s="6"/>
      <c r="E24" s="5"/>
      <c r="F24" s="65" t="s">
        <v>30</v>
      </c>
      <c r="G24" s="43"/>
      <c r="H24" s="190" t="s">
        <v>31</v>
      </c>
      <c r="I24" s="191"/>
      <c r="J24" s="192"/>
      <c r="K24" s="44"/>
      <c r="L24" s="50"/>
      <c r="M24" s="50"/>
      <c r="N24" s="50"/>
      <c r="O24" s="50"/>
    </row>
    <row r="25" spans="2:15" ht="12.6" customHeight="1">
      <c r="B25" s="4"/>
      <c r="C25" s="5"/>
      <c r="D25" s="6"/>
      <c r="E25" s="5"/>
      <c r="F25" s="7"/>
      <c r="G25" s="33"/>
      <c r="H25" s="33"/>
      <c r="I25" s="33"/>
      <c r="J25" s="33"/>
      <c r="K25" s="33"/>
      <c r="L25" s="51"/>
      <c r="M25" s="51"/>
      <c r="N25" s="51"/>
      <c r="O25" s="51"/>
    </row>
    <row r="26" spans="2:15" ht="18.75">
      <c r="B26" s="4"/>
      <c r="C26" s="5"/>
      <c r="D26" s="6"/>
      <c r="E26" s="5"/>
      <c r="F26" s="7"/>
      <c r="G26" s="34" t="s">
        <v>32</v>
      </c>
    </row>
    <row r="27" spans="2:15" ht="18.75">
      <c r="B27" s="4"/>
      <c r="D27" s="6"/>
      <c r="E27" s="5"/>
      <c r="F27" s="7"/>
      <c r="G27" s="35" t="s">
        <v>33</v>
      </c>
    </row>
    <row r="28" spans="2:15" ht="18.75">
      <c r="C28" s="41" t="s">
        <v>34</v>
      </c>
      <c r="D28" s="5"/>
      <c r="E28" s="9" t="s">
        <v>35</v>
      </c>
      <c r="F28" s="9" t="s">
        <v>36</v>
      </c>
      <c r="G28" s="35" t="s">
        <v>37</v>
      </c>
    </row>
    <row r="29" spans="2:15" ht="18.75">
      <c r="B29" s="5"/>
      <c r="G29" s="8" t="s">
        <v>38</v>
      </c>
    </row>
  </sheetData>
  <mergeCells count="22">
    <mergeCell ref="G6:O6"/>
    <mergeCell ref="I12:J13"/>
    <mergeCell ref="K12:K13"/>
    <mergeCell ref="O12:O13"/>
    <mergeCell ref="B2:D5"/>
    <mergeCell ref="E2:F5"/>
    <mergeCell ref="G2:I5"/>
    <mergeCell ref="N2:O2"/>
    <mergeCell ref="J3:M5"/>
    <mergeCell ref="N3:O3"/>
    <mergeCell ref="N4:O4"/>
    <mergeCell ref="N5:O5"/>
    <mergeCell ref="F12:F13"/>
    <mergeCell ref="G12:G13"/>
    <mergeCell ref="H12:H13"/>
    <mergeCell ref="D7:F7"/>
    <mergeCell ref="H24:J24"/>
    <mergeCell ref="B11:C11"/>
    <mergeCell ref="B12:B13"/>
    <mergeCell ref="C12:C13"/>
    <mergeCell ref="D12:D13"/>
    <mergeCell ref="E12:E13"/>
  </mergeCells>
  <pageMargins left="0.45" right="0.17" top="0.37" bottom="0.41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/>
  <dimension ref="B1:O27"/>
  <sheetViews>
    <sheetView zoomScale="85" zoomScaleNormal="85" workbookViewId="0">
      <selection activeCell="C14" sqref="C14:F2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50.25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56</v>
      </c>
      <c r="C8" s="54"/>
      <c r="D8" s="39"/>
      <c r="F8" s="39"/>
      <c r="G8" s="54" t="str">
        <f>B8</f>
        <v>- Loại hình/hình thức đào tạo: Định kỳ/Trực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59</v>
      </c>
      <c r="F9" s="60"/>
      <c r="G9" s="54" t="str">
        <f>B9</f>
        <v>- Thời gian:</v>
      </c>
      <c r="H9" s="40"/>
      <c r="I9" s="53" t="str">
        <f>D9</f>
        <v>C21/8/2026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COUNTIF($L$14:$L35,"x")&amp;"/"&amp;COUNTA($L$14:$L35)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C21/8/2026</v>
      </c>
      <c r="M13" s="15"/>
      <c r="N13" s="15"/>
      <c r="O13" s="189"/>
    </row>
    <row r="14" spans="2:15" ht="22.15" customHeight="1">
      <c r="B14" s="17">
        <f>ROW()-13</f>
        <v>1</v>
      </c>
      <c r="C14" s="105"/>
      <c r="D14" s="106"/>
      <c r="E14" s="107"/>
      <c r="F14" s="105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19" si="0">ROW()-13</f>
        <v>2</v>
      </c>
      <c r="C15" s="105"/>
      <c r="D15" s="106"/>
      <c r="E15" s="107"/>
      <c r="F15" s="105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105"/>
      <c r="D16" s="106"/>
      <c r="E16" s="107"/>
      <c r="F16" s="105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105"/>
      <c r="D17" s="106"/>
      <c r="E17" s="107"/>
      <c r="F17" s="105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105"/>
      <c r="D18" s="106"/>
      <c r="E18" s="107"/>
      <c r="F18" s="105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105"/>
      <c r="D19" s="106"/>
      <c r="E19" s="107"/>
      <c r="F19" s="1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105"/>
      <c r="D20" s="106"/>
      <c r="E20" s="107"/>
      <c r="F20" s="128"/>
      <c r="G20" s="17">
        <f>B20</f>
        <v>7</v>
      </c>
      <c r="H20" s="52">
        <f>C20</f>
        <v>0</v>
      </c>
      <c r="I20" s="70">
        <f t="shared" ref="I20" si="4">D20</f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>ROW()-13</f>
        <v>8</v>
      </c>
      <c r="C21" s="128"/>
      <c r="D21" s="129"/>
      <c r="E21" s="130"/>
      <c r="F21" s="128"/>
      <c r="G21" s="17">
        <f>B21</f>
        <v>8</v>
      </c>
      <c r="H21" s="52">
        <f>C21</f>
        <v>0</v>
      </c>
      <c r="I21" s="70">
        <f t="shared" si="1"/>
        <v>0</v>
      </c>
      <c r="J21" s="71"/>
      <c r="K21" s="16">
        <f>E21</f>
        <v>0</v>
      </c>
      <c r="L21" s="29"/>
      <c r="M21" s="13"/>
      <c r="N21" s="14"/>
      <c r="O21" s="15"/>
    </row>
    <row r="22" spans="2:15" ht="34.15" customHeight="1">
      <c r="B22" s="4"/>
      <c r="C22" s="64" t="s">
        <v>29</v>
      </c>
      <c r="D22" s="6"/>
      <c r="E22" s="5"/>
      <c r="F22" s="65" t="s">
        <v>30</v>
      </c>
      <c r="G22" s="43"/>
      <c r="H22" s="190" t="s">
        <v>31</v>
      </c>
      <c r="I22" s="191"/>
      <c r="J22" s="192"/>
      <c r="K22" s="44"/>
      <c r="L22" s="50"/>
      <c r="M22" s="50"/>
      <c r="N22" s="50"/>
      <c r="O22" s="50"/>
    </row>
    <row r="23" spans="2:15" ht="12.6" customHeight="1">
      <c r="B23" s="4"/>
      <c r="C23" s="5"/>
      <c r="D23" s="6"/>
      <c r="E23" s="5"/>
      <c r="F23" s="7"/>
      <c r="G23" s="33"/>
      <c r="H23" s="33"/>
      <c r="I23" s="33"/>
      <c r="J23" s="33"/>
      <c r="K23" s="33"/>
      <c r="L23" s="51"/>
      <c r="M23" s="51"/>
      <c r="N23" s="51"/>
      <c r="O23" s="51"/>
    </row>
    <row r="24" spans="2:15" ht="18.75">
      <c r="B24" s="4"/>
      <c r="C24" s="5"/>
      <c r="D24" s="6"/>
      <c r="E24" s="5"/>
      <c r="F24" s="7"/>
      <c r="G24" s="34" t="s">
        <v>32</v>
      </c>
    </row>
    <row r="25" spans="2:15" ht="18.75">
      <c r="B25" s="4"/>
      <c r="D25" s="6"/>
      <c r="E25" s="5"/>
      <c r="F25" s="7"/>
      <c r="G25" s="35" t="s">
        <v>33</v>
      </c>
    </row>
    <row r="26" spans="2:15" ht="18.75">
      <c r="C26" s="41" t="s">
        <v>34</v>
      </c>
      <c r="D26" s="5"/>
      <c r="E26" s="9" t="s">
        <v>35</v>
      </c>
      <c r="F26" s="9" t="s">
        <v>36</v>
      </c>
      <c r="G26" s="35" t="s">
        <v>37</v>
      </c>
    </row>
    <row r="27" spans="2:15" ht="18.75">
      <c r="B27" s="5"/>
      <c r="G27" s="8" t="s">
        <v>38</v>
      </c>
    </row>
  </sheetData>
  <mergeCells count="22">
    <mergeCell ref="D7:F7"/>
    <mergeCell ref="K12:K13"/>
    <mergeCell ref="O12:O13"/>
    <mergeCell ref="J3:M5"/>
    <mergeCell ref="N3:O3"/>
    <mergeCell ref="N4:O4"/>
    <mergeCell ref="N5:O5"/>
    <mergeCell ref="B2:D5"/>
    <mergeCell ref="E2:F5"/>
    <mergeCell ref="G2:I5"/>
    <mergeCell ref="N2:O2"/>
    <mergeCell ref="G6:O6"/>
    <mergeCell ref="F12:F13"/>
    <mergeCell ref="G12:G13"/>
    <mergeCell ref="H12:H13"/>
    <mergeCell ref="H22:J22"/>
    <mergeCell ref="B11:C11"/>
    <mergeCell ref="B12:B13"/>
    <mergeCell ref="C12:C13"/>
    <mergeCell ref="D12:D13"/>
    <mergeCell ref="E12:E13"/>
    <mergeCell ref="I12:J13"/>
  </mergeCells>
  <pageMargins left="0.45" right="0.17" top="0.37" bottom="0.41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0"/>
  <dimension ref="B1:O35"/>
  <sheetViews>
    <sheetView zoomScale="85" zoomScaleNormal="85" workbookViewId="0">
      <selection activeCell="D11" sqref="D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56</v>
      </c>
      <c r="C8" s="54"/>
      <c r="D8" s="39"/>
      <c r="F8" s="39"/>
      <c r="G8" s="54" t="str">
        <f>B8</f>
        <v>- Loại hình/hình thức đào tạo: Định kỳ/Trực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39</v>
      </c>
      <c r="F9" s="60"/>
      <c r="G9" s="54" t="str">
        <f>B9</f>
        <v>- Thời gian:</v>
      </c>
      <c r="H9" s="40"/>
      <c r="I9" s="53" t="str">
        <f>D9</f>
        <v>C17/8/2026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COUNTIF($L$14:$L43,"x")&amp;"/"&amp;COUNTA($L$14:$L43)</f>
        <v>11/14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C17/8/2026</v>
      </c>
      <c r="M13" s="15"/>
      <c r="N13" s="15"/>
      <c r="O13" s="189"/>
    </row>
    <row r="14" spans="2:15" ht="22.15" customHeight="1">
      <c r="B14" s="17">
        <f t="shared" ref="B14:B18" si="0">ROW()-13</f>
        <v>1</v>
      </c>
      <c r="C14" s="163"/>
      <c r="D14" s="127"/>
      <c r="E14" s="126"/>
      <c r="F14" s="28"/>
      <c r="G14" s="17">
        <f t="shared" ref="G14:I18" si="1">B14</f>
        <v>1</v>
      </c>
      <c r="H14" s="52">
        <f t="shared" si="1"/>
        <v>0</v>
      </c>
      <c r="I14" s="70">
        <f t="shared" si="1"/>
        <v>0</v>
      </c>
      <c r="J14" s="71"/>
      <c r="K14" s="16">
        <f>E14</f>
        <v>0</v>
      </c>
      <c r="L14" s="29"/>
      <c r="M14" s="13"/>
      <c r="N14" s="14"/>
      <c r="O14" s="18"/>
    </row>
    <row r="15" spans="2:15" ht="22.15" customHeight="1">
      <c r="B15" s="17">
        <f t="shared" si="0"/>
        <v>2</v>
      </c>
      <c r="C15" s="163"/>
      <c r="D15" s="127"/>
      <c r="E15" s="126"/>
      <c r="F15" s="28"/>
      <c r="G15" s="17">
        <f t="shared" si="1"/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5"/>
    </row>
    <row r="16" spans="2:15" ht="22.15" customHeight="1">
      <c r="B16" s="17">
        <f>ROW()-13</f>
        <v>3</v>
      </c>
      <c r="C16" s="163"/>
      <c r="D16" s="164"/>
      <c r="E16" s="126"/>
      <c r="F16" s="27"/>
      <c r="G16" s="17">
        <f>B16</f>
        <v>3</v>
      </c>
      <c r="H16" s="52">
        <f>C16</f>
        <v>0</v>
      </c>
      <c r="I16" s="70">
        <f t="shared" si="1"/>
        <v>0</v>
      </c>
      <c r="J16" s="71"/>
      <c r="K16" s="16">
        <f>E16</f>
        <v>0</v>
      </c>
      <c r="L16" s="29" t="s">
        <v>48</v>
      </c>
      <c r="M16" s="13"/>
      <c r="N16" s="14"/>
      <c r="O16" s="15"/>
    </row>
    <row r="17" spans="2:15" ht="22.15" customHeight="1">
      <c r="B17" s="17">
        <f t="shared" si="0"/>
        <v>4</v>
      </c>
      <c r="C17" s="163"/>
      <c r="D17" s="164"/>
      <c r="E17" s="126"/>
      <c r="F17" s="28"/>
      <c r="G17" s="17">
        <f t="shared" ref="G17:H18" si="2">B17</f>
        <v>4</v>
      </c>
      <c r="H17" s="52">
        <f t="shared" si="2"/>
        <v>0</v>
      </c>
      <c r="I17" s="70">
        <f t="shared" si="1"/>
        <v>0</v>
      </c>
      <c r="J17" s="71"/>
      <c r="K17" s="16">
        <f t="shared" ref="K17:K18" si="3">E17</f>
        <v>0</v>
      </c>
      <c r="L17" s="29" t="s">
        <v>48</v>
      </c>
      <c r="M17" s="13"/>
      <c r="N17" s="14"/>
      <c r="O17" s="18"/>
    </row>
    <row r="18" spans="2:15" ht="22.15" customHeight="1">
      <c r="B18" s="17">
        <f t="shared" si="0"/>
        <v>5</v>
      </c>
      <c r="C18" s="163"/>
      <c r="D18" s="164"/>
      <c r="E18" s="126"/>
      <c r="F18" s="28"/>
      <c r="G18" s="17">
        <f t="shared" si="2"/>
        <v>5</v>
      </c>
      <c r="H18" s="52">
        <f t="shared" si="2"/>
        <v>0</v>
      </c>
      <c r="I18" s="70">
        <f t="shared" si="1"/>
        <v>0</v>
      </c>
      <c r="J18" s="71"/>
      <c r="K18" s="16">
        <f t="shared" si="3"/>
        <v>0</v>
      </c>
      <c r="L18" s="29" t="s">
        <v>60</v>
      </c>
      <c r="M18" s="13"/>
      <c r="N18" s="14"/>
      <c r="O18" s="15"/>
    </row>
    <row r="19" spans="2:15" ht="22.15" customHeight="1">
      <c r="B19" s="17">
        <f>ROW()-13</f>
        <v>6</v>
      </c>
      <c r="C19" s="126"/>
      <c r="D19" s="127"/>
      <c r="E19" s="126"/>
      <c r="F19" s="27"/>
      <c r="G19" s="17">
        <f>B19</f>
        <v>6</v>
      </c>
      <c r="H19" s="52">
        <f>C19</f>
        <v>0</v>
      </c>
      <c r="I19" s="70">
        <f>D19</f>
        <v>0</v>
      </c>
      <c r="J19" s="71"/>
      <c r="K19" s="16">
        <f>E19</f>
        <v>0</v>
      </c>
      <c r="L19" s="29" t="s">
        <v>48</v>
      </c>
      <c r="M19" s="13"/>
      <c r="N19" s="14"/>
      <c r="O19" s="15"/>
    </row>
    <row r="20" spans="2:15" ht="22.15" customHeight="1">
      <c r="B20" s="17">
        <f t="shared" ref="B20:B26" si="4">ROW()-13</f>
        <v>7</v>
      </c>
      <c r="C20" s="126"/>
      <c r="D20" s="127"/>
      <c r="E20" s="126"/>
      <c r="F20" s="28"/>
      <c r="G20" s="17">
        <f t="shared" ref="G20:I26" si="5">B20</f>
        <v>7</v>
      </c>
      <c r="H20" s="52">
        <f t="shared" si="5"/>
        <v>0</v>
      </c>
      <c r="I20" s="70">
        <f t="shared" si="5"/>
        <v>0</v>
      </c>
      <c r="J20" s="71"/>
      <c r="K20" s="16">
        <f>E20</f>
        <v>0</v>
      </c>
      <c r="L20" s="29" t="s">
        <v>48</v>
      </c>
      <c r="M20" s="13"/>
      <c r="N20" s="14"/>
      <c r="O20" s="18"/>
    </row>
    <row r="21" spans="2:15" ht="22.15" customHeight="1">
      <c r="B21" s="17">
        <f t="shared" si="4"/>
        <v>8</v>
      </c>
      <c r="C21" s="126"/>
      <c r="D21" s="127"/>
      <c r="E21" s="126"/>
      <c r="F21" s="28"/>
      <c r="G21" s="17">
        <f t="shared" si="5"/>
        <v>8</v>
      </c>
      <c r="H21" s="52">
        <f t="shared" si="5"/>
        <v>0</v>
      </c>
      <c r="I21" s="70">
        <f t="shared" si="5"/>
        <v>0</v>
      </c>
      <c r="J21" s="71"/>
      <c r="K21" s="16">
        <f>E21</f>
        <v>0</v>
      </c>
      <c r="L21" s="29" t="s">
        <v>48</v>
      </c>
      <c r="M21" s="13"/>
      <c r="N21" s="14"/>
      <c r="O21" s="15"/>
    </row>
    <row r="22" spans="2:15" ht="22.15" customHeight="1">
      <c r="B22" s="17">
        <f>ROW()-13</f>
        <v>9</v>
      </c>
      <c r="C22" s="126"/>
      <c r="D22" s="127"/>
      <c r="E22" s="126"/>
      <c r="F22" s="27"/>
      <c r="G22" s="17">
        <f>B22</f>
        <v>9</v>
      </c>
      <c r="H22" s="52">
        <f>C22</f>
        <v>0</v>
      </c>
      <c r="I22" s="70">
        <f t="shared" si="5"/>
        <v>0</v>
      </c>
      <c r="J22" s="71"/>
      <c r="K22" s="16">
        <f>E22</f>
        <v>0</v>
      </c>
      <c r="L22" s="29" t="s">
        <v>48</v>
      </c>
      <c r="M22" s="13"/>
      <c r="N22" s="14"/>
      <c r="O22" s="15"/>
    </row>
    <row r="23" spans="2:15" ht="22.15" customHeight="1">
      <c r="B23" s="17">
        <f t="shared" si="4"/>
        <v>10</v>
      </c>
      <c r="C23" s="126"/>
      <c r="D23" s="127"/>
      <c r="E23" s="126"/>
      <c r="F23" s="28"/>
      <c r="G23" s="17">
        <f t="shared" ref="G23:H24" si="6">B23</f>
        <v>10</v>
      </c>
      <c r="H23" s="52">
        <f t="shared" si="6"/>
        <v>0</v>
      </c>
      <c r="I23" s="70">
        <f t="shared" si="5"/>
        <v>0</v>
      </c>
      <c r="J23" s="71"/>
      <c r="K23" s="16">
        <f t="shared" ref="K23:K24" si="7">E23</f>
        <v>0</v>
      </c>
      <c r="L23" s="29" t="s">
        <v>48</v>
      </c>
      <c r="M23" s="13"/>
      <c r="N23" s="14"/>
      <c r="O23" s="18"/>
    </row>
    <row r="24" spans="2:15" ht="22.15" customHeight="1">
      <c r="B24" s="17">
        <f t="shared" si="4"/>
        <v>11</v>
      </c>
      <c r="C24" s="126"/>
      <c r="D24" s="127"/>
      <c r="E24" s="126"/>
      <c r="F24" s="28"/>
      <c r="G24" s="17">
        <f t="shared" si="6"/>
        <v>11</v>
      </c>
      <c r="H24" s="52">
        <f t="shared" si="6"/>
        <v>0</v>
      </c>
      <c r="I24" s="70">
        <f t="shared" si="5"/>
        <v>0</v>
      </c>
      <c r="J24" s="71"/>
      <c r="K24" s="16">
        <f t="shared" si="7"/>
        <v>0</v>
      </c>
      <c r="L24" s="29" t="s">
        <v>48</v>
      </c>
      <c r="M24" s="13"/>
      <c r="N24" s="14"/>
      <c r="O24" s="15"/>
    </row>
    <row r="25" spans="2:15" ht="22.15" customHeight="1">
      <c r="B25" s="17">
        <f>ROW()-13</f>
        <v>12</v>
      </c>
      <c r="C25" s="126"/>
      <c r="D25" s="127"/>
      <c r="E25" s="126"/>
      <c r="F25" s="27"/>
      <c r="G25" s="17">
        <f>B25</f>
        <v>12</v>
      </c>
      <c r="H25" s="52">
        <f>C25</f>
        <v>0</v>
      </c>
      <c r="I25" s="70">
        <f t="shared" si="5"/>
        <v>0</v>
      </c>
      <c r="J25" s="71"/>
      <c r="K25" s="16">
        <f>E25</f>
        <v>0</v>
      </c>
      <c r="L25" s="29" t="s">
        <v>60</v>
      </c>
      <c r="M25" s="13"/>
      <c r="N25" s="14"/>
      <c r="O25" s="15"/>
    </row>
    <row r="26" spans="2:15" ht="22.15" customHeight="1">
      <c r="B26" s="17">
        <f t="shared" si="4"/>
        <v>13</v>
      </c>
      <c r="C26" s="126"/>
      <c r="D26" s="127"/>
      <c r="E26" s="126"/>
      <c r="F26" s="28"/>
      <c r="G26" s="17">
        <f t="shared" ref="G26:H26" si="8">B26</f>
        <v>13</v>
      </c>
      <c r="H26" s="52">
        <f t="shared" si="8"/>
        <v>0</v>
      </c>
      <c r="I26" s="70">
        <f t="shared" si="5"/>
        <v>0</v>
      </c>
      <c r="J26" s="71"/>
      <c r="K26" s="16">
        <f t="shared" ref="K26" si="9">E26</f>
        <v>0</v>
      </c>
      <c r="L26" s="29" t="s">
        <v>48</v>
      </c>
      <c r="M26" s="13"/>
      <c r="N26" s="14"/>
      <c r="O26" s="18"/>
    </row>
    <row r="27" spans="2:15" ht="22.15" customHeight="1">
      <c r="B27" s="17">
        <f>ROW()-13</f>
        <v>14</v>
      </c>
      <c r="C27" s="126"/>
      <c r="D27" s="127"/>
      <c r="E27" s="126"/>
      <c r="F27" s="27"/>
      <c r="G27" s="17">
        <f>B27</f>
        <v>14</v>
      </c>
      <c r="H27" s="52">
        <f>C27</f>
        <v>0</v>
      </c>
      <c r="I27" s="70">
        <f>D27</f>
        <v>0</v>
      </c>
      <c r="J27" s="71"/>
      <c r="K27" s="16">
        <f>E27</f>
        <v>0</v>
      </c>
      <c r="L27" s="29" t="s">
        <v>48</v>
      </c>
      <c r="M27" s="13"/>
      <c r="N27" s="14"/>
      <c r="O27" s="15"/>
    </row>
    <row r="28" spans="2:15" ht="22.15" customHeight="1">
      <c r="B28" s="17">
        <f t="shared" ref="B28:B29" si="10">ROW()-13</f>
        <v>15</v>
      </c>
      <c r="C28" s="126"/>
      <c r="D28" s="127"/>
      <c r="E28" s="126"/>
      <c r="F28" s="28"/>
      <c r="G28" s="17">
        <f t="shared" ref="G28" si="11">B28</f>
        <v>15</v>
      </c>
      <c r="H28" s="52">
        <f t="shared" ref="H28" si="12">C28</f>
        <v>0</v>
      </c>
      <c r="I28" s="70">
        <f t="shared" ref="I28" si="13">D28</f>
        <v>0</v>
      </c>
      <c r="J28" s="71"/>
      <c r="K28" s="16">
        <f>E28</f>
        <v>0</v>
      </c>
      <c r="L28" s="29" t="s">
        <v>60</v>
      </c>
      <c r="M28" s="13"/>
      <c r="N28" s="14"/>
      <c r="O28" s="18"/>
    </row>
    <row r="29" spans="2:15" ht="22.15" customHeight="1">
      <c r="B29" s="17">
        <f t="shared" si="10"/>
        <v>16</v>
      </c>
      <c r="C29" s="97"/>
      <c r="D29" s="96"/>
      <c r="E29" s="97"/>
      <c r="F29" s="137"/>
      <c r="G29" s="17">
        <f t="shared" ref="G29:I29" si="14">B29</f>
        <v>16</v>
      </c>
      <c r="H29" s="52">
        <f t="shared" si="14"/>
        <v>0</v>
      </c>
      <c r="I29" s="70">
        <f t="shared" si="14"/>
        <v>0</v>
      </c>
      <c r="J29" s="71"/>
      <c r="K29" s="16">
        <f>E29</f>
        <v>0</v>
      </c>
      <c r="L29" s="29" t="s">
        <v>48</v>
      </c>
      <c r="M29" s="13"/>
      <c r="N29" s="14"/>
      <c r="O29" s="18"/>
    </row>
    <row r="30" spans="2:15" ht="34.15" customHeight="1">
      <c r="B30" s="4"/>
      <c r="C30" s="64" t="s">
        <v>29</v>
      </c>
      <c r="D30" s="6"/>
      <c r="E30" s="5"/>
      <c r="F30" s="65" t="s">
        <v>30</v>
      </c>
      <c r="G30" s="43"/>
      <c r="H30" s="190" t="s">
        <v>31</v>
      </c>
      <c r="I30" s="191"/>
      <c r="J30" s="192"/>
      <c r="K30" s="44"/>
      <c r="L30" s="50"/>
      <c r="M30" s="50"/>
      <c r="N30" s="50"/>
      <c r="O30" s="50"/>
    </row>
    <row r="31" spans="2:15" ht="12.6" customHeight="1">
      <c r="B31" s="4"/>
      <c r="C31" s="5"/>
      <c r="D31" s="6"/>
      <c r="E31" s="5"/>
      <c r="F31" s="7"/>
      <c r="G31" s="33"/>
      <c r="H31" s="33"/>
      <c r="I31" s="33"/>
      <c r="J31" s="33"/>
      <c r="K31" s="33"/>
      <c r="L31" s="51"/>
      <c r="M31" s="51"/>
      <c r="N31" s="51"/>
      <c r="O31" s="51"/>
    </row>
    <row r="32" spans="2:15" ht="18.75">
      <c r="B32" s="4"/>
      <c r="C32" s="5"/>
      <c r="D32" s="6"/>
      <c r="E32" s="5"/>
      <c r="F32" s="7"/>
      <c r="G32" s="34" t="s">
        <v>32</v>
      </c>
    </row>
    <row r="33" spans="2:7" ht="18.75">
      <c r="B33" s="4"/>
      <c r="D33" s="6"/>
      <c r="E33" s="5"/>
      <c r="F33" s="7"/>
      <c r="G33" s="35" t="s">
        <v>33</v>
      </c>
    </row>
    <row r="34" spans="2:7" ht="18.75">
      <c r="C34" s="41" t="s">
        <v>34</v>
      </c>
      <c r="D34" s="5"/>
      <c r="E34" s="9" t="s">
        <v>35</v>
      </c>
      <c r="F34" s="9" t="s">
        <v>36</v>
      </c>
      <c r="G34" s="35" t="s">
        <v>37</v>
      </c>
    </row>
    <row r="35" spans="2:7" ht="18.75">
      <c r="B35" s="5"/>
      <c r="G35" s="8" t="s">
        <v>38</v>
      </c>
    </row>
  </sheetData>
  <mergeCells count="22">
    <mergeCell ref="E12:E13"/>
    <mergeCell ref="J3:M5"/>
    <mergeCell ref="N3:O3"/>
    <mergeCell ref="N4:O4"/>
    <mergeCell ref="N5:O5"/>
    <mergeCell ref="D7:F7"/>
    <mergeCell ref="H30:J30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</mergeCells>
  <conditionalFormatting sqref="C14:C18">
    <cfRule type="duplicateValues" dxfId="677" priority="1226"/>
    <cfRule type="duplicateValues" dxfId="676" priority="1243"/>
    <cfRule type="duplicateValues" dxfId="675" priority="1242"/>
    <cfRule type="duplicateValues" dxfId="674" priority="1241"/>
    <cfRule type="duplicateValues" dxfId="673" priority="1240"/>
    <cfRule type="duplicateValues" dxfId="672" priority="1239"/>
    <cfRule type="duplicateValues" dxfId="671" priority="1238"/>
    <cfRule type="duplicateValues" dxfId="670" priority="1237"/>
    <cfRule type="duplicateValues" dxfId="669" priority="1236"/>
    <cfRule type="duplicateValues" dxfId="668" priority="1235"/>
    <cfRule type="duplicateValues" dxfId="667" priority="1234"/>
    <cfRule type="duplicateValues" dxfId="666" priority="1233"/>
    <cfRule type="duplicateValues" dxfId="665" priority="1232"/>
    <cfRule type="duplicateValues" dxfId="664" priority="1231"/>
    <cfRule type="duplicateValues" dxfId="663" priority="1230"/>
    <cfRule type="duplicateValues" dxfId="662" priority="1225"/>
    <cfRule type="duplicateValues" dxfId="661" priority="1224"/>
    <cfRule type="duplicateValues" dxfId="660" priority="1223"/>
    <cfRule type="duplicateValues" dxfId="659" priority="1222"/>
    <cfRule type="duplicateValues" dxfId="658" priority="1221"/>
    <cfRule type="duplicateValues" dxfId="657" priority="1220"/>
    <cfRule type="duplicateValues" dxfId="656" priority="1219"/>
    <cfRule type="duplicateValues" dxfId="655" priority="1218"/>
    <cfRule type="duplicateValues" dxfId="654" priority="1229"/>
    <cfRule type="duplicateValues" dxfId="653" priority="1217"/>
    <cfRule type="duplicateValues" dxfId="652" priority="1216"/>
    <cfRule type="duplicateValues" dxfId="651" priority="1215"/>
    <cfRule type="duplicateValues" dxfId="650" priority="1214"/>
    <cfRule type="duplicateValues" dxfId="649" priority="1213"/>
    <cfRule type="duplicateValues" dxfId="648" priority="1212"/>
    <cfRule type="duplicateValues" dxfId="647" priority="1211"/>
    <cfRule type="duplicateValues" dxfId="646" priority="1249"/>
    <cfRule type="duplicateValues" dxfId="645" priority="1210"/>
    <cfRule type="duplicateValues" dxfId="644" priority="1209"/>
    <cfRule type="duplicateValues" dxfId="643" priority="1208"/>
    <cfRule type="duplicateValues" dxfId="642" priority="1207"/>
    <cfRule type="duplicateValues" dxfId="641" priority="1206"/>
    <cfRule type="duplicateValues" dxfId="640" priority="1205"/>
    <cfRule type="duplicateValues" dxfId="639" priority="1204"/>
    <cfRule type="duplicateValues" dxfId="638" priority="1203"/>
    <cfRule type="duplicateValues" dxfId="637" priority="1202"/>
    <cfRule type="duplicateValues" dxfId="636" priority="1201"/>
    <cfRule type="duplicateValues" dxfId="635" priority="1200"/>
    <cfRule type="duplicateValues" dxfId="634" priority="1199"/>
    <cfRule type="duplicateValues" dxfId="633" priority="1198"/>
    <cfRule type="duplicateValues" dxfId="632" priority="1197"/>
    <cfRule type="duplicateValues" dxfId="631" priority="1196"/>
    <cfRule type="duplicateValues" dxfId="630" priority="1195"/>
    <cfRule type="duplicateValues" dxfId="629" priority="1194"/>
    <cfRule type="duplicateValues" dxfId="628" priority="1193"/>
    <cfRule type="duplicateValues" dxfId="627" priority="1192"/>
    <cfRule type="duplicateValues" dxfId="626" priority="1228"/>
    <cfRule type="duplicateValues" dxfId="625" priority="1227"/>
    <cfRule type="duplicateValues" dxfId="624" priority="1244"/>
    <cfRule type="duplicateValues" dxfId="623" priority="1245"/>
    <cfRule type="duplicateValues" dxfId="622" priority="1246"/>
    <cfRule type="duplicateValues" dxfId="621" priority="1247"/>
    <cfRule type="duplicateValues" dxfId="620" priority="1248"/>
    <cfRule type="duplicateValues" dxfId="619" priority="1250"/>
    <cfRule type="duplicateValues" dxfId="618" priority="1251"/>
    <cfRule type="duplicateValues" dxfId="617" priority="1252"/>
    <cfRule type="duplicateValues" dxfId="616" priority="1253"/>
    <cfRule type="duplicateValues" dxfId="615" priority="1254"/>
    <cfRule type="duplicateValues" dxfId="614" priority="1255"/>
    <cfRule type="duplicateValues" dxfId="613" priority="1256"/>
    <cfRule type="duplicateValues" dxfId="612" priority="1257"/>
    <cfRule type="duplicateValues" dxfId="611" priority="1258"/>
    <cfRule type="duplicateValues" dxfId="610" priority="1259"/>
    <cfRule type="duplicateValues" dxfId="609" priority="1260"/>
    <cfRule type="duplicateValues" dxfId="608" priority="1261"/>
    <cfRule type="duplicateValues" dxfId="607" priority="1262"/>
    <cfRule type="duplicateValues" dxfId="606" priority="1263"/>
    <cfRule type="duplicateValues" dxfId="605" priority="1264"/>
    <cfRule type="duplicateValues" dxfId="604" priority="1265"/>
    <cfRule type="duplicateValues" dxfId="603" priority="1266"/>
    <cfRule type="duplicateValues" dxfId="602" priority="1267"/>
    <cfRule type="duplicateValues" dxfId="601" priority="1268"/>
    <cfRule type="duplicateValues" dxfId="600" priority="1269"/>
    <cfRule type="duplicateValues" dxfId="599" priority="1270"/>
    <cfRule type="duplicateValues" dxfId="598" priority="1271"/>
    <cfRule type="duplicateValues" dxfId="597" priority="1272"/>
    <cfRule type="duplicateValues" dxfId="596" priority="1273"/>
    <cfRule type="duplicateValues" dxfId="595" priority="1274"/>
    <cfRule type="duplicateValues" dxfId="594" priority="1275"/>
    <cfRule type="duplicateValues" dxfId="593" priority="1276"/>
    <cfRule type="duplicateValues" dxfId="592" priority="1277"/>
    <cfRule type="duplicateValues" dxfId="591" priority="1278"/>
    <cfRule type="duplicateValues" dxfId="590" priority="1279"/>
    <cfRule type="duplicateValues" dxfId="589" priority="1280"/>
  </conditionalFormatting>
  <conditionalFormatting sqref="C19:C23">
    <cfRule type="duplicateValues" dxfId="588" priority="52"/>
    <cfRule type="duplicateValues" dxfId="587" priority="53"/>
    <cfRule type="duplicateValues" dxfId="586" priority="54"/>
    <cfRule type="duplicateValues" dxfId="585" priority="55"/>
    <cfRule type="duplicateValues" dxfId="584" priority="56"/>
    <cfRule type="duplicateValues" dxfId="583" priority="57"/>
    <cfRule type="duplicateValues" dxfId="582" priority="58"/>
    <cfRule type="duplicateValues" dxfId="581" priority="59"/>
    <cfRule type="duplicateValues" dxfId="580" priority="60"/>
    <cfRule type="duplicateValues" dxfId="579" priority="150"/>
    <cfRule type="duplicateValues" dxfId="578" priority="151"/>
    <cfRule type="duplicateValues" dxfId="577" priority="153"/>
    <cfRule type="duplicateValues" dxfId="576" priority="154"/>
    <cfRule type="duplicateValues" dxfId="575" priority="155"/>
    <cfRule type="duplicateValues" dxfId="574" priority="156"/>
    <cfRule type="duplicateValues" dxfId="573" priority="157"/>
    <cfRule type="duplicateValues" dxfId="572" priority="158"/>
    <cfRule type="duplicateValues" dxfId="571" priority="159"/>
    <cfRule type="duplicateValues" dxfId="570" priority="160"/>
    <cfRule type="duplicateValues" dxfId="569" priority="161"/>
    <cfRule type="duplicateValues" dxfId="568" priority="162"/>
    <cfRule type="duplicateValues" dxfId="567" priority="163"/>
    <cfRule type="duplicateValues" dxfId="566" priority="164"/>
    <cfRule type="duplicateValues" dxfId="565" priority="165"/>
    <cfRule type="duplicateValues" dxfId="564" priority="166"/>
    <cfRule type="duplicateValues" dxfId="563" priority="167"/>
    <cfRule type="duplicateValues" dxfId="562" priority="168"/>
    <cfRule type="duplicateValues" dxfId="561" priority="169"/>
    <cfRule type="duplicateValues" dxfId="560" priority="170"/>
    <cfRule type="duplicateValues" dxfId="559" priority="171"/>
    <cfRule type="duplicateValues" dxfId="558" priority="172"/>
    <cfRule type="duplicateValues" dxfId="557" priority="173"/>
    <cfRule type="duplicateValues" dxfId="556" priority="174"/>
    <cfRule type="duplicateValues" dxfId="555" priority="175"/>
    <cfRule type="duplicateValues" dxfId="554" priority="176"/>
    <cfRule type="duplicateValues" dxfId="553" priority="177"/>
    <cfRule type="duplicateValues" dxfId="552" priority="178"/>
    <cfRule type="duplicateValues" dxfId="551" priority="152"/>
    <cfRule type="duplicateValues" dxfId="550" priority="32"/>
    <cfRule type="duplicateValues" dxfId="549" priority="16"/>
    <cfRule type="duplicateValues" dxfId="548" priority="17"/>
    <cfRule type="duplicateValues" dxfId="547" priority="18"/>
    <cfRule type="duplicateValues" dxfId="546" priority="19"/>
    <cfRule type="duplicateValues" dxfId="545" priority="20"/>
    <cfRule type="duplicateValues" dxfId="544" priority="21"/>
    <cfRule type="duplicateValues" dxfId="543" priority="22"/>
    <cfRule type="duplicateValues" dxfId="542" priority="23"/>
    <cfRule type="duplicateValues" dxfId="541" priority="24"/>
    <cfRule type="duplicateValues" dxfId="540" priority="25"/>
    <cfRule type="duplicateValues" dxfId="539" priority="26"/>
    <cfRule type="duplicateValues" dxfId="538" priority="27"/>
    <cfRule type="duplicateValues" dxfId="537" priority="28"/>
    <cfRule type="duplicateValues" dxfId="536" priority="29"/>
    <cfRule type="duplicateValues" dxfId="535" priority="30"/>
    <cfRule type="duplicateValues" dxfId="534" priority="31"/>
    <cfRule type="duplicateValues" dxfId="533" priority="33"/>
    <cfRule type="duplicateValues" dxfId="532" priority="34"/>
    <cfRule type="duplicateValues" dxfId="531" priority="35"/>
    <cfRule type="duplicateValues" dxfId="530" priority="36"/>
    <cfRule type="duplicateValues" dxfId="529" priority="37"/>
    <cfRule type="duplicateValues" dxfId="528" priority="38"/>
    <cfRule type="duplicateValues" dxfId="527" priority="39"/>
    <cfRule type="duplicateValues" dxfId="526" priority="40"/>
    <cfRule type="duplicateValues" dxfId="525" priority="41"/>
    <cfRule type="duplicateValues" dxfId="524" priority="42"/>
    <cfRule type="duplicateValues" dxfId="523" priority="43"/>
    <cfRule type="duplicateValues" dxfId="522" priority="44"/>
    <cfRule type="duplicateValues" dxfId="521" priority="45"/>
    <cfRule type="duplicateValues" dxfId="520" priority="46"/>
    <cfRule type="duplicateValues" dxfId="519" priority="47"/>
    <cfRule type="duplicateValues" dxfId="518" priority="48"/>
    <cfRule type="duplicateValues" dxfId="517" priority="49"/>
    <cfRule type="duplicateValues" dxfId="516" priority="50"/>
    <cfRule type="duplicateValues" dxfId="515" priority="51"/>
  </conditionalFormatting>
  <conditionalFormatting sqref="C24:C29">
    <cfRule type="duplicateValues" dxfId="514" priority="215"/>
    <cfRule type="duplicateValues" dxfId="513" priority="214"/>
    <cfRule type="duplicateValues" dxfId="512" priority="213"/>
    <cfRule type="duplicateValues" dxfId="511" priority="212"/>
    <cfRule type="duplicateValues" dxfId="510" priority="211"/>
    <cfRule type="duplicateValues" dxfId="509" priority="210"/>
    <cfRule type="duplicateValues" dxfId="508" priority="209"/>
    <cfRule type="duplicateValues" dxfId="507" priority="208"/>
    <cfRule type="duplicateValues" dxfId="506" priority="207"/>
    <cfRule type="duplicateValues" dxfId="505" priority="206"/>
    <cfRule type="duplicateValues" dxfId="504" priority="205"/>
    <cfRule type="duplicateValues" dxfId="503" priority="204"/>
    <cfRule type="duplicateValues" dxfId="502" priority="203"/>
    <cfRule type="duplicateValues" dxfId="501" priority="202"/>
    <cfRule type="duplicateValues" dxfId="500" priority="201"/>
    <cfRule type="duplicateValues" dxfId="499" priority="200"/>
    <cfRule type="duplicateValues" dxfId="498" priority="199"/>
    <cfRule type="duplicateValues" dxfId="497" priority="198"/>
    <cfRule type="duplicateValues" dxfId="496" priority="197"/>
    <cfRule type="duplicateValues" dxfId="495" priority="196"/>
    <cfRule type="duplicateValues" dxfId="494" priority="195"/>
    <cfRule type="duplicateValues" dxfId="493" priority="194"/>
    <cfRule type="duplicateValues" dxfId="492" priority="193"/>
    <cfRule type="duplicateValues" dxfId="491" priority="192"/>
    <cfRule type="duplicateValues" dxfId="490" priority="191"/>
    <cfRule type="duplicateValues" dxfId="489" priority="190"/>
    <cfRule type="duplicateValues" dxfId="488" priority="189"/>
    <cfRule type="duplicateValues" dxfId="487" priority="188"/>
    <cfRule type="duplicateValues" dxfId="486" priority="187"/>
    <cfRule type="duplicateValues" dxfId="485" priority="186"/>
    <cfRule type="duplicateValues" dxfId="484" priority="185"/>
    <cfRule type="duplicateValues" dxfId="483" priority="184"/>
    <cfRule type="duplicateValues" dxfId="482" priority="183"/>
    <cfRule type="duplicateValues" dxfId="481" priority="182"/>
    <cfRule type="duplicateValues" dxfId="480" priority="181"/>
    <cfRule type="duplicateValues" dxfId="479" priority="180"/>
    <cfRule type="duplicateValues" dxfId="478" priority="179"/>
    <cfRule type="duplicateValues" dxfId="477" priority="1"/>
    <cfRule type="duplicateValues" dxfId="476" priority="15"/>
    <cfRule type="duplicateValues" dxfId="475" priority="14"/>
    <cfRule type="duplicateValues" dxfId="474" priority="13"/>
    <cfRule type="duplicateValues" dxfId="473" priority="12"/>
    <cfRule type="duplicateValues" dxfId="472" priority="11"/>
    <cfRule type="duplicateValues" dxfId="471" priority="10"/>
    <cfRule type="duplicateValues" dxfId="470" priority="9"/>
    <cfRule type="duplicateValues" dxfId="469" priority="8"/>
    <cfRule type="duplicateValues" dxfId="468" priority="7"/>
    <cfRule type="duplicateValues" dxfId="467" priority="6"/>
    <cfRule type="duplicateValues" dxfId="466" priority="5"/>
    <cfRule type="duplicateValues" dxfId="465" priority="4"/>
    <cfRule type="duplicateValues" dxfId="464" priority="3"/>
    <cfRule type="duplicateValues" dxfId="463" priority="2"/>
    <cfRule type="duplicateValues" dxfId="462" priority="217"/>
    <cfRule type="duplicateValues" dxfId="461" priority="218"/>
    <cfRule type="duplicateValues" dxfId="460" priority="219"/>
    <cfRule type="duplicateValues" dxfId="459" priority="220"/>
    <cfRule type="duplicateValues" dxfId="458" priority="221"/>
    <cfRule type="duplicateValues" dxfId="457" priority="216"/>
    <cfRule type="duplicateValues" dxfId="456" priority="222"/>
    <cfRule type="duplicateValues" dxfId="455" priority="223"/>
    <cfRule type="duplicateValues" dxfId="454" priority="224"/>
    <cfRule type="duplicateValues" dxfId="453" priority="225"/>
    <cfRule type="duplicateValues" dxfId="452" priority="226"/>
    <cfRule type="duplicateValues" dxfId="451" priority="227"/>
    <cfRule type="duplicateValues" dxfId="450" priority="228"/>
    <cfRule type="duplicateValues" dxfId="449" priority="229"/>
    <cfRule type="duplicateValues" dxfId="448" priority="230"/>
    <cfRule type="duplicateValues" dxfId="447" priority="231"/>
    <cfRule type="duplicateValues" dxfId="446" priority="232"/>
    <cfRule type="duplicateValues" dxfId="445" priority="233"/>
    <cfRule type="duplicateValues" dxfId="444" priority="234"/>
    <cfRule type="duplicateValues" dxfId="443" priority="235"/>
    <cfRule type="duplicateValues" dxfId="442" priority="236"/>
    <cfRule type="duplicateValues" dxfId="441" priority="237"/>
    <cfRule type="duplicateValues" dxfId="440" priority="238"/>
    <cfRule type="duplicateValues" dxfId="439" priority="239"/>
    <cfRule type="duplicateValues" dxfId="438" priority="240"/>
    <cfRule type="duplicateValues" dxfId="437" priority="241"/>
    <cfRule type="duplicateValues" dxfId="436" priority="242"/>
    <cfRule type="duplicateValues" dxfId="435" priority="243"/>
    <cfRule type="duplicateValues" dxfId="434" priority="244"/>
    <cfRule type="duplicateValues" dxfId="433" priority="245"/>
    <cfRule type="duplicateValues" dxfId="432" priority="246"/>
    <cfRule type="duplicateValues" dxfId="431" priority="247"/>
    <cfRule type="duplicateValues" dxfId="430" priority="248"/>
    <cfRule type="duplicateValues" dxfId="429" priority="249"/>
    <cfRule type="duplicateValues" dxfId="428" priority="250"/>
    <cfRule type="duplicateValues" dxfId="427" priority="251"/>
    <cfRule type="duplicateValues" dxfId="426" priority="252"/>
  </conditionalFormatting>
  <pageMargins left="0.45" right="0.17" top="0.37" bottom="0.41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1"/>
  <dimension ref="B1:O37"/>
  <sheetViews>
    <sheetView zoomScale="70" zoomScaleNormal="70" workbookViewId="0">
      <selection activeCell="C14" sqref="C14:E3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56</v>
      </c>
      <c r="C8" s="54"/>
      <c r="D8" s="39"/>
      <c r="F8" s="39"/>
      <c r="G8" s="54" t="str">
        <f>B8</f>
        <v>- Loại hình/hình thức đào tạo: Định kỳ/Trực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53</v>
      </c>
      <c r="F9" s="60"/>
      <c r="G9" s="54" t="str">
        <f>B9</f>
        <v>- Thời gian:</v>
      </c>
      <c r="H9" s="40"/>
      <c r="I9" s="53" t="str">
        <f>D9</f>
        <v>S17/8/2026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COUNTIF($L$14:$L45,"x")&amp;"/"&amp;COUNTA($L$14:$L45)</f>
        <v>17/17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S17/8/2026</v>
      </c>
      <c r="M13" s="15"/>
      <c r="N13" s="15"/>
      <c r="O13" s="189"/>
    </row>
    <row r="14" spans="2:15" ht="22.15" customHeight="1">
      <c r="B14" s="17">
        <f>ROW()-13</f>
        <v>1</v>
      </c>
      <c r="C14" s="92"/>
      <c r="D14" s="86"/>
      <c r="E14" s="85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 t="s">
        <v>51</v>
      </c>
      <c r="M14" s="13"/>
      <c r="N14" s="14"/>
      <c r="O14" s="15"/>
    </row>
    <row r="15" spans="2:15" ht="22.15" customHeight="1">
      <c r="B15" s="17">
        <f t="shared" ref="B15:B21" si="0">ROW()-13</f>
        <v>2</v>
      </c>
      <c r="C15" s="92"/>
      <c r="D15" s="86"/>
      <c r="E15" s="85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 t="s">
        <v>51</v>
      </c>
      <c r="M15" s="13"/>
      <c r="N15" s="14"/>
      <c r="O15" s="18"/>
    </row>
    <row r="16" spans="2:15" ht="22.15" customHeight="1">
      <c r="B16" s="17">
        <f t="shared" si="0"/>
        <v>3</v>
      </c>
      <c r="C16" s="92"/>
      <c r="D16" s="86"/>
      <c r="E16" s="85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 t="s">
        <v>51</v>
      </c>
      <c r="M16" s="13"/>
      <c r="N16" s="14"/>
      <c r="O16" s="15"/>
    </row>
    <row r="17" spans="2:15" ht="22.15" customHeight="1">
      <c r="B17" s="17">
        <f>ROW()-13</f>
        <v>4</v>
      </c>
      <c r="C17" s="92"/>
      <c r="D17" s="86"/>
      <c r="E17" s="85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 t="s">
        <v>51</v>
      </c>
      <c r="M17" s="13"/>
      <c r="N17" s="14"/>
      <c r="O17" s="15"/>
    </row>
    <row r="18" spans="2:15" ht="22.15" customHeight="1">
      <c r="B18" s="17">
        <f t="shared" si="0"/>
        <v>5</v>
      </c>
      <c r="C18" s="92"/>
      <c r="D18" s="86"/>
      <c r="E18" s="85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 t="s">
        <v>51</v>
      </c>
      <c r="M18" s="13"/>
      <c r="N18" s="14"/>
      <c r="O18" s="18"/>
    </row>
    <row r="19" spans="2:15" ht="22.15" customHeight="1">
      <c r="B19" s="17">
        <f t="shared" si="0"/>
        <v>6</v>
      </c>
      <c r="C19" s="92"/>
      <c r="D19" s="86"/>
      <c r="E19" s="85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 t="s">
        <v>51</v>
      </c>
      <c r="M19" s="13"/>
      <c r="N19" s="14"/>
      <c r="O19" s="15"/>
    </row>
    <row r="20" spans="2:15" ht="22.15" customHeight="1">
      <c r="B20" s="17">
        <f>ROW()-13</f>
        <v>7</v>
      </c>
      <c r="C20" s="92"/>
      <c r="D20" s="86"/>
      <c r="E20" s="85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 t="s">
        <v>51</v>
      </c>
      <c r="M20" s="13"/>
      <c r="N20" s="14"/>
      <c r="O20" s="15"/>
    </row>
    <row r="21" spans="2:15" ht="22.15" customHeight="1">
      <c r="B21" s="17">
        <f t="shared" si="0"/>
        <v>8</v>
      </c>
      <c r="C21" s="92"/>
      <c r="D21" s="86"/>
      <c r="E21" s="85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 t="s">
        <v>51</v>
      </c>
      <c r="M21" s="13"/>
      <c r="N21" s="14"/>
      <c r="O21" s="18"/>
    </row>
    <row r="22" spans="2:15" ht="22.15" customHeight="1">
      <c r="B22" s="17">
        <f>ROW()-13</f>
        <v>9</v>
      </c>
      <c r="C22" s="93"/>
      <c r="D22" s="94"/>
      <c r="E22" s="95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 t="s">
        <v>51</v>
      </c>
      <c r="M22" s="13"/>
      <c r="N22" s="14"/>
      <c r="O22" s="15"/>
    </row>
    <row r="23" spans="2:15" ht="22.15" customHeight="1">
      <c r="B23" s="17">
        <f t="shared" ref="B23:B29" si="6">ROW()-13</f>
        <v>10</v>
      </c>
      <c r="C23" s="93"/>
      <c r="D23" s="94"/>
      <c r="E23" s="95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 t="s">
        <v>51</v>
      </c>
      <c r="M23" s="13"/>
      <c r="N23" s="14"/>
      <c r="O23" s="18"/>
    </row>
    <row r="24" spans="2:15" ht="22.15" customHeight="1">
      <c r="B24" s="17">
        <f t="shared" si="6"/>
        <v>11</v>
      </c>
      <c r="C24" s="93"/>
      <c r="D24" s="94"/>
      <c r="E24" s="95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 t="s">
        <v>51</v>
      </c>
      <c r="M24" s="13"/>
      <c r="N24" s="14"/>
      <c r="O24" s="15"/>
    </row>
    <row r="25" spans="2:15" ht="22.15" customHeight="1">
      <c r="B25" s="17">
        <f>ROW()-13</f>
        <v>12</v>
      </c>
      <c r="C25" s="93"/>
      <c r="D25" s="94"/>
      <c r="E25" s="95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93"/>
      <c r="D26" s="94"/>
      <c r="E26" s="95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 t="s">
        <v>51</v>
      </c>
      <c r="M26" s="13"/>
      <c r="N26" s="14"/>
      <c r="O26" s="18"/>
    </row>
    <row r="27" spans="2:15" ht="22.15" customHeight="1">
      <c r="B27" s="17">
        <f t="shared" si="6"/>
        <v>14</v>
      </c>
      <c r="C27" s="93"/>
      <c r="D27" s="94"/>
      <c r="E27" s="95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 t="s">
        <v>51</v>
      </c>
      <c r="M27" s="13"/>
      <c r="N27" s="14"/>
      <c r="O27" s="15"/>
    </row>
    <row r="28" spans="2:15" ht="22.15" customHeight="1">
      <c r="B28" s="17">
        <f>ROW()-13</f>
        <v>15</v>
      </c>
      <c r="C28" s="93"/>
      <c r="D28" s="94"/>
      <c r="E28" s="95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 t="s">
        <v>51</v>
      </c>
      <c r="M28" s="13"/>
      <c r="N28" s="14"/>
      <c r="O28" s="15"/>
    </row>
    <row r="29" spans="2:15" ht="22.15" customHeight="1">
      <c r="B29" s="17">
        <f t="shared" si="6"/>
        <v>16</v>
      </c>
      <c r="C29" s="93"/>
      <c r="D29" s="94"/>
      <c r="E29" s="95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 t="s">
        <v>51</v>
      </c>
      <c r="M29" s="13"/>
      <c r="N29" s="14"/>
      <c r="O29" s="18"/>
    </row>
    <row r="30" spans="2:15" ht="22.15" customHeight="1">
      <c r="B30" s="17">
        <f>ROW()-13</f>
        <v>17</v>
      </c>
      <c r="C30" s="93"/>
      <c r="D30" s="94"/>
      <c r="E30" s="95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 t="s">
        <v>51</v>
      </c>
      <c r="M30" s="13"/>
      <c r="N30" s="14"/>
      <c r="O30" s="15"/>
    </row>
    <row r="31" spans="2:15" ht="22.15" customHeight="1">
      <c r="B31" s="17">
        <f t="shared" ref="B31" si="12">ROW()-13</f>
        <v>18</v>
      </c>
      <c r="C31" s="93"/>
      <c r="D31" s="94"/>
      <c r="E31" s="95"/>
      <c r="F31" s="28"/>
      <c r="G31" s="17">
        <f t="shared" ref="G31:I31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 t="s">
        <v>51</v>
      </c>
      <c r="M31" s="13"/>
      <c r="N31" s="14"/>
      <c r="O31" s="18"/>
    </row>
    <row r="32" spans="2:15" ht="34.15" customHeight="1">
      <c r="B32" s="4"/>
      <c r="C32" s="64" t="s">
        <v>29</v>
      </c>
      <c r="D32" s="6"/>
      <c r="E32" s="5"/>
      <c r="F32" s="65" t="s">
        <v>30</v>
      </c>
      <c r="G32" s="43"/>
      <c r="H32" s="190" t="s">
        <v>31</v>
      </c>
      <c r="I32" s="191"/>
      <c r="J32" s="192"/>
      <c r="K32" s="44"/>
      <c r="L32" s="50"/>
      <c r="M32" s="50"/>
      <c r="N32" s="50"/>
      <c r="O32" s="50"/>
    </row>
    <row r="33" spans="2:15" ht="12.6" customHeight="1">
      <c r="B33" s="4"/>
      <c r="C33" s="5"/>
      <c r="D33" s="6"/>
      <c r="E33" s="5"/>
      <c r="F33" s="7"/>
      <c r="G33" s="33"/>
      <c r="H33" s="33"/>
      <c r="I33" s="33"/>
      <c r="J33" s="33"/>
      <c r="K33" s="33"/>
      <c r="L33" s="51"/>
      <c r="M33" s="51"/>
      <c r="N33" s="51"/>
      <c r="O33" s="51"/>
    </row>
    <row r="34" spans="2:15" ht="18.75">
      <c r="B34" s="4"/>
      <c r="C34" s="5"/>
      <c r="D34" s="6"/>
      <c r="E34" s="5"/>
      <c r="F34" s="7"/>
      <c r="G34" s="34" t="s">
        <v>32</v>
      </c>
    </row>
    <row r="35" spans="2:15" ht="18.75">
      <c r="B35" s="4"/>
      <c r="D35" s="6"/>
      <c r="E35" s="5"/>
      <c r="F35" s="7"/>
      <c r="G35" s="35" t="s">
        <v>33</v>
      </c>
    </row>
    <row r="36" spans="2:15" ht="18.75">
      <c r="C36" s="41" t="s">
        <v>34</v>
      </c>
      <c r="D36" s="5"/>
      <c r="E36" s="9" t="s">
        <v>35</v>
      </c>
      <c r="F36" s="9" t="s">
        <v>36</v>
      </c>
      <c r="G36" s="35" t="s">
        <v>37</v>
      </c>
    </row>
    <row r="37" spans="2:15" ht="18.75">
      <c r="B37" s="5"/>
      <c r="G37" s="8" t="s">
        <v>38</v>
      </c>
    </row>
  </sheetData>
  <mergeCells count="22">
    <mergeCell ref="E12:E13"/>
    <mergeCell ref="J3:M5"/>
    <mergeCell ref="N3:O3"/>
    <mergeCell ref="N4:O4"/>
    <mergeCell ref="N5:O5"/>
    <mergeCell ref="D7:F7"/>
    <mergeCell ref="H32:J32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</mergeCells>
  <phoneticPr fontId="34" type="noConversion"/>
  <pageMargins left="0.45" right="0.17" top="0.37" bottom="0.41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/>
  <dimension ref="B1:O23"/>
  <sheetViews>
    <sheetView zoomScale="55" zoomScaleNormal="55" workbookViewId="0">
      <selection activeCell="C14" sqref="C14:F17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8.4257812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16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40</v>
      </c>
      <c r="F9" s="60"/>
      <c r="G9" s="54" t="str">
        <f>B9</f>
        <v>- Thời gian:</v>
      </c>
      <c r="H9" s="40"/>
      <c r="I9" s="53" t="str">
        <f>D9</f>
        <v>18/8/2026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20</v>
      </c>
      <c r="F10" s="39"/>
      <c r="G10" s="54" t="str">
        <f>B10</f>
        <v>- Địa điểm:</v>
      </c>
      <c r="H10" s="40"/>
      <c r="I10" s="48" t="str">
        <f>D10</f>
        <v>VNBA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COUNTIF($L$14:$L31,"x")&amp;"/"&amp;COUNTA($L$14:$L31)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18/8/2026</v>
      </c>
      <c r="M13" s="15"/>
      <c r="N13" s="15"/>
      <c r="O13" s="189"/>
    </row>
    <row r="14" spans="2:15" ht="45" customHeight="1">
      <c r="B14" s="17">
        <f>ROW()-13</f>
        <v>1</v>
      </c>
      <c r="C14" s="100"/>
      <c r="D14" s="98"/>
      <c r="E14" s="9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45" customHeight="1">
      <c r="B15" s="17">
        <f t="shared" ref="B15:B16" si="0">ROW()-13</f>
        <v>2</v>
      </c>
      <c r="C15" s="100"/>
      <c r="D15" s="98"/>
      <c r="E15" s="99"/>
      <c r="F15" s="28"/>
      <c r="G15" s="17">
        <f t="shared" ref="G15:I17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45" customHeight="1">
      <c r="B16" s="17">
        <f t="shared" si="0"/>
        <v>3</v>
      </c>
      <c r="C16" s="100"/>
      <c r="D16" s="98"/>
      <c r="E16" s="9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45" customHeight="1">
      <c r="B17" s="17">
        <f>ROW()-13</f>
        <v>4</v>
      </c>
      <c r="C17" s="100"/>
      <c r="D17" s="98"/>
      <c r="E17" s="9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34.15" customHeight="1">
      <c r="B18" s="4"/>
      <c r="C18" s="64" t="s">
        <v>29</v>
      </c>
      <c r="D18" s="6"/>
      <c r="E18" s="5"/>
      <c r="F18" s="65" t="s">
        <v>30</v>
      </c>
      <c r="G18" s="43"/>
      <c r="H18" s="190" t="s">
        <v>31</v>
      </c>
      <c r="I18" s="191"/>
      <c r="J18" s="192"/>
      <c r="K18" s="44"/>
      <c r="L18" s="50"/>
      <c r="M18" s="50"/>
      <c r="N18" s="50"/>
      <c r="O18" s="50"/>
    </row>
    <row r="19" spans="2:15" ht="12.6" customHeight="1">
      <c r="B19" s="4"/>
      <c r="C19" s="5"/>
      <c r="D19" s="6"/>
      <c r="E19" s="5"/>
      <c r="F19" s="7"/>
      <c r="G19" s="33"/>
      <c r="H19" s="33"/>
      <c r="I19" s="33"/>
      <c r="J19" s="33"/>
      <c r="K19" s="33"/>
      <c r="L19" s="51"/>
      <c r="M19" s="51"/>
      <c r="N19" s="51"/>
      <c r="O19" s="51"/>
    </row>
    <row r="20" spans="2:15" ht="18.75">
      <c r="B20" s="4"/>
      <c r="C20" s="5"/>
      <c r="D20" s="6"/>
      <c r="E20" s="5"/>
      <c r="F20" s="7"/>
      <c r="G20" s="34" t="s">
        <v>32</v>
      </c>
    </row>
    <row r="21" spans="2:15" ht="18.75">
      <c r="B21" s="4"/>
      <c r="D21" s="6"/>
      <c r="E21" s="5"/>
      <c r="F21" s="7"/>
      <c r="G21" s="35" t="s">
        <v>33</v>
      </c>
    </row>
    <row r="22" spans="2:15" ht="18.75">
      <c r="C22" s="41" t="s">
        <v>34</v>
      </c>
      <c r="D22" s="5"/>
      <c r="E22" s="9" t="s">
        <v>35</v>
      </c>
      <c r="F22" s="9" t="s">
        <v>36</v>
      </c>
      <c r="G22" s="35" t="s">
        <v>37</v>
      </c>
    </row>
    <row r="23" spans="2:15" ht="18.75">
      <c r="B23" s="5"/>
      <c r="G23" s="8" t="s">
        <v>38</v>
      </c>
    </row>
  </sheetData>
  <mergeCells count="22">
    <mergeCell ref="E12:E13"/>
    <mergeCell ref="J3:M5"/>
    <mergeCell ref="N3:O3"/>
    <mergeCell ref="N4:O4"/>
    <mergeCell ref="N5:O5"/>
    <mergeCell ref="D7:F7"/>
    <mergeCell ref="H18:J18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</mergeCells>
  <pageMargins left="0.45" right="0.17" top="0.37" bottom="0.41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/>
  <dimension ref="A1:O30"/>
  <sheetViews>
    <sheetView zoomScale="55" zoomScaleNormal="55" workbookViewId="0">
      <selection activeCell="C14" sqref="C14:F24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8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1:15" ht="8.25" customHeight="1"/>
    <row r="2" spans="1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1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1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1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1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1:15" s="48" customFormat="1" ht="24.6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1:15" s="48" customFormat="1" ht="22.5" customHeight="1">
      <c r="A8" s="48" t="s">
        <v>61</v>
      </c>
      <c r="B8" s="54" t="s">
        <v>56</v>
      </c>
      <c r="C8" s="54"/>
      <c r="D8" s="39"/>
      <c r="F8" s="39"/>
      <c r="G8" s="54" t="str">
        <f>B8</f>
        <v>- Loại hình/hình thức đào tạo: Định kỳ/Trực tiếp</v>
      </c>
      <c r="H8" s="40"/>
      <c r="K8" s="56"/>
      <c r="L8" s="39"/>
      <c r="M8" s="39"/>
      <c r="N8" s="57"/>
      <c r="O8" s="58"/>
    </row>
    <row r="9" spans="1:15" s="48" customFormat="1" ht="22.5" customHeight="1">
      <c r="B9" s="54" t="s">
        <v>17</v>
      </c>
      <c r="C9" s="54"/>
      <c r="D9" s="59" t="s">
        <v>62</v>
      </c>
      <c r="F9" s="60"/>
      <c r="G9" s="54" t="str">
        <f>B9</f>
        <v>- Thời gian:</v>
      </c>
      <c r="H9" s="40"/>
      <c r="I9" s="53" t="str">
        <f>D9</f>
        <v>C20/8/2026</v>
      </c>
      <c r="J9" s="53"/>
      <c r="K9" s="61"/>
      <c r="L9" s="60"/>
      <c r="M9" s="60"/>
      <c r="N9" s="57"/>
      <c r="O9" s="58"/>
    </row>
    <row r="10" spans="1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1:15" s="48" customFormat="1" ht="24.75" customHeight="1">
      <c r="B11" s="195" t="s">
        <v>21</v>
      </c>
      <c r="C11" s="196"/>
      <c r="D11" s="78"/>
      <c r="F11" s="39"/>
      <c r="G11" s="54" t="s">
        <v>22</v>
      </c>
      <c r="H11" s="40"/>
      <c r="K11" s="39" t="str">
        <f>COUNTIF($L$14:$L38,"x")&amp;"/"&amp;COUNTA($L$14:$L38)</f>
        <v>0/0</v>
      </c>
      <c r="M11" s="57"/>
      <c r="N11" s="58"/>
      <c r="O11" s="58"/>
    </row>
    <row r="12" spans="1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1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C20/8/2026</v>
      </c>
      <c r="M13" s="15"/>
      <c r="N13" s="15"/>
      <c r="O13" s="189"/>
    </row>
    <row r="14" spans="1:15" ht="22.15" customHeight="1">
      <c r="B14" s="17">
        <f>ROW()-13</f>
        <v>1</v>
      </c>
      <c r="C14" s="79"/>
      <c r="D14" s="80"/>
      <c r="E14" s="82"/>
      <c r="F14" s="27"/>
      <c r="G14" s="17">
        <f>B14</f>
        <v>1</v>
      </c>
      <c r="H14" s="101">
        <f>C14</f>
        <v>0</v>
      </c>
      <c r="I14" s="102">
        <f>D14</f>
        <v>0</v>
      </c>
      <c r="J14" s="103"/>
      <c r="K14" s="104">
        <f>E14</f>
        <v>0</v>
      </c>
      <c r="L14" s="29"/>
      <c r="M14" s="13"/>
      <c r="N14" s="14"/>
      <c r="O14" s="15"/>
    </row>
    <row r="15" spans="1:15" ht="22.15" customHeight="1">
      <c r="B15" s="17">
        <f t="shared" ref="B15:B21" si="0">ROW()-13</f>
        <v>2</v>
      </c>
      <c r="C15" s="79"/>
      <c r="D15" s="80"/>
      <c r="E15" s="82"/>
      <c r="F15" s="28"/>
      <c r="G15" s="17">
        <f t="shared" ref="G15:I21" si="1">B15</f>
        <v>2</v>
      </c>
      <c r="H15" s="101">
        <f t="shared" si="1"/>
        <v>0</v>
      </c>
      <c r="I15" s="102">
        <f t="shared" si="1"/>
        <v>0</v>
      </c>
      <c r="J15" s="103"/>
      <c r="K15" s="104">
        <f>E15</f>
        <v>0</v>
      </c>
      <c r="L15" s="29"/>
      <c r="M15" s="13"/>
      <c r="N15" s="14"/>
      <c r="O15" s="18"/>
    </row>
    <row r="16" spans="1:15" ht="22.15" customHeight="1">
      <c r="B16" s="17">
        <f t="shared" si="0"/>
        <v>3</v>
      </c>
      <c r="C16" s="79"/>
      <c r="D16" s="80"/>
      <c r="E16" s="82"/>
      <c r="F16" s="28"/>
      <c r="G16" s="17">
        <f t="shared" si="1"/>
        <v>3</v>
      </c>
      <c r="H16" s="101">
        <f t="shared" si="1"/>
        <v>0</v>
      </c>
      <c r="I16" s="102">
        <f t="shared" si="1"/>
        <v>0</v>
      </c>
      <c r="J16" s="103"/>
      <c r="K16" s="104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79"/>
      <c r="D17" s="80"/>
      <c r="E17" s="82"/>
      <c r="F17" s="27"/>
      <c r="G17" s="17">
        <f>B17</f>
        <v>4</v>
      </c>
      <c r="H17" s="101">
        <f>C17</f>
        <v>0</v>
      </c>
      <c r="I17" s="102">
        <f t="shared" si="1"/>
        <v>0</v>
      </c>
      <c r="J17" s="103"/>
      <c r="K17" s="104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79"/>
      <c r="D18" s="80"/>
      <c r="E18" s="82"/>
      <c r="F18" s="28"/>
      <c r="G18" s="17">
        <f t="shared" ref="G18:H19" si="2">B18</f>
        <v>5</v>
      </c>
      <c r="H18" s="101">
        <f t="shared" si="2"/>
        <v>0</v>
      </c>
      <c r="I18" s="102">
        <f t="shared" si="1"/>
        <v>0</v>
      </c>
      <c r="J18" s="103"/>
      <c r="K18" s="104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79"/>
      <c r="D19" s="80"/>
      <c r="E19" s="82"/>
      <c r="F19" s="28"/>
      <c r="G19" s="17">
        <f t="shared" si="2"/>
        <v>6</v>
      </c>
      <c r="H19" s="101">
        <f t="shared" si="2"/>
        <v>0</v>
      </c>
      <c r="I19" s="102">
        <f t="shared" si="1"/>
        <v>0</v>
      </c>
      <c r="J19" s="103"/>
      <c r="K19" s="104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79"/>
      <c r="D20" s="81"/>
      <c r="E20" s="82"/>
      <c r="F20" s="27"/>
      <c r="G20" s="17">
        <f>B20</f>
        <v>7</v>
      </c>
      <c r="H20" s="101">
        <f>C20</f>
        <v>0</v>
      </c>
      <c r="I20" s="102">
        <f t="shared" si="1"/>
        <v>0</v>
      </c>
      <c r="J20" s="103"/>
      <c r="K20" s="104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79"/>
      <c r="D21" s="81"/>
      <c r="E21" s="82"/>
      <c r="F21" s="28"/>
      <c r="G21" s="17">
        <f t="shared" ref="G21:H21" si="4">B21</f>
        <v>8</v>
      </c>
      <c r="H21" s="101">
        <f t="shared" si="4"/>
        <v>0</v>
      </c>
      <c r="I21" s="102">
        <f t="shared" si="1"/>
        <v>0</v>
      </c>
      <c r="J21" s="103"/>
      <c r="K21" s="104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79"/>
      <c r="D22" s="80"/>
      <c r="E22" s="82"/>
      <c r="F22" s="27"/>
      <c r="G22" s="17">
        <f>B22</f>
        <v>9</v>
      </c>
      <c r="H22" s="101">
        <f>C22</f>
        <v>0</v>
      </c>
      <c r="I22" s="102">
        <f>D22</f>
        <v>0</v>
      </c>
      <c r="J22" s="103"/>
      <c r="K22" s="104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4" si="6">ROW()-13</f>
        <v>10</v>
      </c>
      <c r="C23" s="83"/>
      <c r="D23" s="131"/>
      <c r="E23" s="132"/>
      <c r="F23" s="133"/>
      <c r="G23" s="17">
        <f t="shared" ref="G23:I24" si="7">B23</f>
        <v>10</v>
      </c>
      <c r="H23" s="101">
        <f t="shared" si="7"/>
        <v>0</v>
      </c>
      <c r="I23" s="102">
        <f t="shared" si="7"/>
        <v>0</v>
      </c>
      <c r="J23" s="103"/>
      <c r="K23" s="104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79"/>
      <c r="D24" s="80"/>
      <c r="E24" s="82"/>
      <c r="F24" s="28"/>
      <c r="G24" s="17">
        <f t="shared" si="7"/>
        <v>11</v>
      </c>
      <c r="H24" s="101">
        <f t="shared" si="7"/>
        <v>0</v>
      </c>
      <c r="I24" s="102">
        <f t="shared" si="7"/>
        <v>0</v>
      </c>
      <c r="J24" s="103"/>
      <c r="K24" s="104">
        <f>E24</f>
        <v>0</v>
      </c>
      <c r="L24" s="29"/>
      <c r="M24" s="13"/>
      <c r="N24" s="14"/>
      <c r="O24" s="15"/>
    </row>
    <row r="25" spans="2:15" ht="34.15" customHeight="1">
      <c r="B25" s="4"/>
      <c r="C25" s="64" t="s">
        <v>29</v>
      </c>
      <c r="D25" s="6"/>
      <c r="E25" s="5"/>
      <c r="F25" s="65" t="s">
        <v>30</v>
      </c>
      <c r="G25" s="43"/>
      <c r="H25" s="190" t="s">
        <v>31</v>
      </c>
      <c r="I25" s="191"/>
      <c r="J25" s="192"/>
      <c r="K25" s="44"/>
      <c r="L25" s="50"/>
      <c r="M25" s="50"/>
      <c r="N25" s="50"/>
      <c r="O25" s="50"/>
    </row>
    <row r="26" spans="2:15" ht="12.6" customHeight="1">
      <c r="B26" s="4"/>
      <c r="C26" s="5"/>
      <c r="D26" s="6"/>
      <c r="E26" s="5"/>
      <c r="F26" s="7"/>
      <c r="G26" s="33"/>
      <c r="H26" s="33"/>
      <c r="I26" s="33"/>
      <c r="J26" s="33"/>
      <c r="K26" s="33"/>
      <c r="L26" s="51"/>
      <c r="M26" s="51"/>
      <c r="N26" s="51"/>
      <c r="O26" s="51"/>
    </row>
    <row r="27" spans="2:15" ht="18.75">
      <c r="B27" s="4"/>
      <c r="C27" s="5"/>
      <c r="D27" s="6"/>
      <c r="E27" s="5"/>
      <c r="F27" s="7"/>
      <c r="G27" s="34" t="s">
        <v>32</v>
      </c>
    </row>
    <row r="28" spans="2:15" ht="18.75">
      <c r="B28" s="4"/>
      <c r="D28" s="6"/>
      <c r="E28" s="5"/>
      <c r="F28" s="7"/>
      <c r="G28" s="35" t="s">
        <v>33</v>
      </c>
    </row>
    <row r="29" spans="2:15" ht="18.75">
      <c r="C29" s="41" t="s">
        <v>34</v>
      </c>
      <c r="D29" s="5"/>
      <c r="E29" s="9" t="s">
        <v>35</v>
      </c>
      <c r="F29" s="9" t="s">
        <v>36</v>
      </c>
      <c r="G29" s="35" t="s">
        <v>37</v>
      </c>
    </row>
    <row r="30" spans="2:15" ht="18.75">
      <c r="B30" s="5"/>
      <c r="G30" s="8" t="s">
        <v>38</v>
      </c>
    </row>
  </sheetData>
  <mergeCells count="22">
    <mergeCell ref="E12:E13"/>
    <mergeCell ref="J3:M5"/>
    <mergeCell ref="N3:O3"/>
    <mergeCell ref="N4:O4"/>
    <mergeCell ref="N5:O5"/>
    <mergeCell ref="D7:F7"/>
    <mergeCell ref="H25:J25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</mergeCells>
  <dataValidations count="1">
    <dataValidation type="list" allowBlank="1" showInputMessage="1" sqref="D11" xr:uid="{8CAE4D0D-C59A-4B18-AB37-18C391C2D4AA}">
      <formula1>#REF!</formula1>
    </dataValidation>
  </dataValidations>
  <pageMargins left="0.45" right="0.17" top="0.37" bottom="0.41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4"/>
  <dimension ref="B1:O31"/>
  <sheetViews>
    <sheetView zoomScale="70" zoomScaleNormal="70" workbookViewId="0">
      <selection activeCell="C14" sqref="C14:E25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16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78</v>
      </c>
      <c r="F9" s="60"/>
      <c r="G9" s="54" t="str">
        <f>B9</f>
        <v>- Thời gian:</v>
      </c>
      <c r="H9" s="40"/>
      <c r="I9" s="53" t="str">
        <f>D9</f>
        <v>17/8/2026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20</v>
      </c>
      <c r="F10" s="39"/>
      <c r="G10" s="54" t="str">
        <f>B10</f>
        <v>- Địa điểm:</v>
      </c>
      <c r="H10" s="40"/>
      <c r="I10" s="48" t="str">
        <f>D10</f>
        <v>VNBA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78"/>
      <c r="F11" s="39"/>
      <c r="G11" s="54" t="s">
        <v>22</v>
      </c>
      <c r="H11" s="40"/>
      <c r="K11" s="39" t="str">
        <f>COUNTIF($L$14:$L39,"x")&amp;"/"&amp;COUNTA($L$14:$L39)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17/8/2026</v>
      </c>
      <c r="M13" s="15"/>
      <c r="N13" s="15"/>
      <c r="O13" s="189"/>
    </row>
    <row r="14" spans="2:15" ht="22.15" customHeight="1">
      <c r="B14" s="17">
        <f>ROW()-13</f>
        <v>1</v>
      </c>
      <c r="C14" s="79"/>
      <c r="D14" s="12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5" si="0">ROW()-13</f>
        <v>2</v>
      </c>
      <c r="C15" s="79"/>
      <c r="D15" s="123"/>
      <c r="E15" s="69"/>
      <c r="F15" s="28"/>
      <c r="G15" s="17">
        <f t="shared" ref="G15:I25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79"/>
      <c r="D16" s="125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79"/>
      <c r="D17" s="12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79"/>
      <c r="D18" s="123"/>
      <c r="E18" s="69"/>
      <c r="F18" s="28"/>
      <c r="G18" s="17">
        <f t="shared" ref="G18:H22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22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79"/>
      <c r="D19" s="123"/>
      <c r="E19" s="69"/>
      <c r="F19" s="28"/>
      <c r="G19" s="17">
        <f t="shared" ref="G19" si="4">B19</f>
        <v>6</v>
      </c>
      <c r="H19" s="52">
        <f t="shared" ref="H19" si="5">C19</f>
        <v>0</v>
      </c>
      <c r="I19" s="70">
        <f t="shared" ref="I19:I21" si="6">D19</f>
        <v>0</v>
      </c>
      <c r="J19" s="71"/>
      <c r="K19" s="16">
        <f t="shared" ref="K19" si="7">E19</f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79"/>
      <c r="D20" s="123"/>
      <c r="E20" s="69"/>
      <c r="F20" s="27"/>
      <c r="G20" s="17">
        <f>B20</f>
        <v>7</v>
      </c>
      <c r="H20" s="52">
        <f>C20</f>
        <v>0</v>
      </c>
      <c r="I20" s="70">
        <f t="shared" si="6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79"/>
      <c r="D21" s="123"/>
      <c r="E21" s="69"/>
      <c r="F21" s="28"/>
      <c r="G21" s="17">
        <f t="shared" ref="G21" si="8">B21</f>
        <v>8</v>
      </c>
      <c r="H21" s="52">
        <f t="shared" ref="H21" si="9">C21</f>
        <v>0</v>
      </c>
      <c r="I21" s="70">
        <f t="shared" si="6"/>
        <v>0</v>
      </c>
      <c r="J21" s="71"/>
      <c r="K21" s="16">
        <f t="shared" ref="K21" si="10">E21</f>
        <v>0</v>
      </c>
      <c r="L21" s="29"/>
      <c r="M21" s="13"/>
      <c r="N21" s="14"/>
      <c r="O21" s="18"/>
    </row>
    <row r="22" spans="2:15" ht="22.15" customHeight="1">
      <c r="B22" s="17">
        <f t="shared" si="0"/>
        <v>9</v>
      </c>
      <c r="C22" s="167"/>
      <c r="D22" s="145"/>
      <c r="E22" s="17"/>
      <c r="F22" s="154"/>
      <c r="G22" s="17">
        <f t="shared" si="2"/>
        <v>9</v>
      </c>
      <c r="H22" s="52">
        <f t="shared" si="2"/>
        <v>0</v>
      </c>
      <c r="I22" s="70">
        <f t="shared" si="1"/>
        <v>0</v>
      </c>
      <c r="J22" s="71"/>
      <c r="K22" s="16">
        <f t="shared" si="3"/>
        <v>0</v>
      </c>
      <c r="L22" s="29"/>
      <c r="M22" s="13"/>
      <c r="N22" s="14"/>
      <c r="O22" s="15"/>
    </row>
    <row r="23" spans="2:15" ht="22.15" customHeight="1">
      <c r="B23" s="17">
        <f>ROW()-13</f>
        <v>10</v>
      </c>
      <c r="C23" s="167"/>
      <c r="D23" s="145"/>
      <c r="E23" s="17"/>
      <c r="F23" s="154"/>
      <c r="G23" s="17">
        <f>B23</f>
        <v>10</v>
      </c>
      <c r="H23" s="52">
        <f>C23</f>
        <v>0</v>
      </c>
      <c r="I23" s="70">
        <f t="shared" si="1"/>
        <v>0</v>
      </c>
      <c r="J23" s="71"/>
      <c r="K23" s="16">
        <f>E23</f>
        <v>0</v>
      </c>
      <c r="L23" s="29"/>
      <c r="M23" s="13"/>
      <c r="N23" s="14"/>
      <c r="O23" s="15"/>
    </row>
    <row r="24" spans="2:15" ht="22.15" customHeight="1">
      <c r="B24" s="17">
        <f t="shared" si="0"/>
        <v>11</v>
      </c>
      <c r="C24" s="167"/>
      <c r="D24" s="145"/>
      <c r="E24" s="17"/>
      <c r="F24" s="154"/>
      <c r="G24" s="17">
        <f t="shared" ref="G24" si="11">B24</f>
        <v>11</v>
      </c>
      <c r="H24" s="52">
        <f t="shared" ref="H24" si="12">C24</f>
        <v>0</v>
      </c>
      <c r="I24" s="70">
        <f t="shared" ref="I24" si="13">D24</f>
        <v>0</v>
      </c>
      <c r="J24" s="71"/>
      <c r="K24" s="16">
        <f t="shared" ref="K24" si="14">E24</f>
        <v>0</v>
      </c>
      <c r="L24" s="29"/>
      <c r="M24" s="13"/>
      <c r="N24" s="14"/>
      <c r="O24" s="18"/>
    </row>
    <row r="25" spans="2:15" ht="22.15" customHeight="1">
      <c r="B25" s="17">
        <f t="shared" si="0"/>
        <v>12</v>
      </c>
      <c r="C25" s="167"/>
      <c r="D25" s="145"/>
      <c r="E25" s="17"/>
      <c r="F25" s="154"/>
      <c r="G25" s="17">
        <f t="shared" ref="G25:H25" si="15">B25</f>
        <v>12</v>
      </c>
      <c r="H25" s="52">
        <f t="shared" si="15"/>
        <v>0</v>
      </c>
      <c r="I25" s="70">
        <f t="shared" si="1"/>
        <v>0</v>
      </c>
      <c r="J25" s="71"/>
      <c r="K25" s="16">
        <f t="shared" ref="K25" si="16">E25</f>
        <v>0</v>
      </c>
      <c r="L25" s="29"/>
      <c r="M25" s="13"/>
      <c r="N25" s="14"/>
      <c r="O25" s="18"/>
    </row>
    <row r="26" spans="2:15" ht="34.15" customHeight="1">
      <c r="B26" s="4"/>
      <c r="C26" s="64" t="s">
        <v>29</v>
      </c>
      <c r="D26" s="6"/>
      <c r="E26" s="5"/>
      <c r="F26" s="65" t="s">
        <v>30</v>
      </c>
      <c r="G26" s="43"/>
      <c r="H26" s="190" t="s">
        <v>31</v>
      </c>
      <c r="I26" s="191"/>
      <c r="J26" s="192"/>
      <c r="K26" s="44"/>
      <c r="L26" s="50"/>
      <c r="M26" s="50"/>
      <c r="N26" s="50"/>
      <c r="O26" s="50"/>
    </row>
    <row r="27" spans="2:15" ht="12.6" customHeight="1">
      <c r="B27" s="4"/>
      <c r="C27" s="5"/>
      <c r="D27" s="6"/>
      <c r="E27" s="5"/>
      <c r="F27" s="7"/>
      <c r="G27" s="33"/>
      <c r="H27" s="33"/>
      <c r="I27" s="33"/>
      <c r="J27" s="33"/>
      <c r="K27" s="33"/>
      <c r="L27" s="51"/>
      <c r="M27" s="51"/>
      <c r="N27" s="51"/>
      <c r="O27" s="51"/>
    </row>
    <row r="28" spans="2:15" ht="18.75">
      <c r="B28" s="4"/>
      <c r="C28" s="5"/>
      <c r="D28" s="6"/>
      <c r="E28" s="5"/>
      <c r="F28" s="7"/>
      <c r="G28" s="34" t="s">
        <v>32</v>
      </c>
    </row>
    <row r="29" spans="2:15" ht="18.75">
      <c r="B29" s="4"/>
      <c r="D29" s="6"/>
      <c r="E29" s="5"/>
      <c r="F29" s="7"/>
      <c r="G29" s="35" t="s">
        <v>33</v>
      </c>
    </row>
    <row r="30" spans="2:15" ht="18.75">
      <c r="C30" s="41" t="s">
        <v>34</v>
      </c>
      <c r="D30" s="5"/>
      <c r="E30" s="9" t="s">
        <v>35</v>
      </c>
      <c r="F30" s="9" t="s">
        <v>36</v>
      </c>
      <c r="G30" s="35" t="s">
        <v>37</v>
      </c>
    </row>
    <row r="31" spans="2:15" ht="18.75">
      <c r="B31" s="5"/>
      <c r="G31" s="8" t="s">
        <v>38</v>
      </c>
    </row>
  </sheetData>
  <mergeCells count="22">
    <mergeCell ref="E12:E13"/>
    <mergeCell ref="J3:M5"/>
    <mergeCell ref="N3:O3"/>
    <mergeCell ref="N4:O4"/>
    <mergeCell ref="N5:O5"/>
    <mergeCell ref="D7:F7"/>
    <mergeCell ref="H26:J26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</mergeCells>
  <dataValidations count="1">
    <dataValidation type="list" allowBlank="1" showInputMessage="1" sqref="D11" xr:uid="{CF110E04-B161-4639-8AAD-5BB98984F3F0}">
      <formula1>#REF!</formula1>
    </dataValidation>
  </dataValidations>
  <pageMargins left="0.45" right="0.17" top="0.37" bottom="0.41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5"/>
  <dimension ref="B1:O30"/>
  <sheetViews>
    <sheetView zoomScale="70" zoomScaleNormal="70" workbookViewId="0">
      <selection activeCell="D11" sqref="D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56</v>
      </c>
      <c r="C8" s="54"/>
      <c r="D8" s="39"/>
      <c r="F8" s="39"/>
      <c r="G8" s="54" t="str">
        <f>B8</f>
        <v>- Loại hình/hình thức đào tạo: Định kỳ/Trực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79</v>
      </c>
      <c r="F9" s="60"/>
      <c r="G9" s="54" t="str">
        <f>B9</f>
        <v>- Thời gian:</v>
      </c>
      <c r="H9" s="40"/>
      <c r="I9" s="53" t="str">
        <f>D9</f>
        <v>17-19/8/2026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COUNTIF($L$14:$L38,"x")&amp;"/"&amp;COUNTA($L$14:$L38)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17-19/8/2026</v>
      </c>
      <c r="M13" s="15"/>
      <c r="N13" s="15"/>
      <c r="O13" s="189"/>
    </row>
    <row r="14" spans="2:15" ht="22.15" customHeight="1">
      <c r="B14" s="17">
        <f>ROW()-13</f>
        <v>1</v>
      </c>
      <c r="C14" s="141"/>
      <c r="D14" s="86"/>
      <c r="E14" s="85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141"/>
      <c r="D15" s="86"/>
      <c r="E15" s="85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141"/>
      <c r="D16" s="86"/>
      <c r="E16" s="85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141"/>
      <c r="D17" s="86"/>
      <c r="E17" s="85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141"/>
      <c r="D18" s="86"/>
      <c r="E18" s="85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92"/>
      <c r="D19" s="86"/>
      <c r="E19" s="85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85"/>
      <c r="D20" s="86"/>
      <c r="E20" s="85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87"/>
      <c r="D21" s="88"/>
      <c r="E21" s="8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87"/>
      <c r="D22" s="88"/>
      <c r="E22" s="8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4" si="6">ROW()-13</f>
        <v>10</v>
      </c>
      <c r="C23" s="87"/>
      <c r="D23" s="90"/>
      <c r="E23" s="89"/>
      <c r="F23" s="28"/>
      <c r="G23" s="17">
        <f t="shared" ref="G23:I24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87"/>
      <c r="D24" s="88"/>
      <c r="E24" s="91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34.15" customHeight="1">
      <c r="B25" s="4"/>
      <c r="C25" s="64" t="s">
        <v>29</v>
      </c>
      <c r="D25" s="6"/>
      <c r="E25" s="5"/>
      <c r="F25" s="65" t="s">
        <v>30</v>
      </c>
      <c r="G25" s="43"/>
      <c r="H25" s="190" t="s">
        <v>31</v>
      </c>
      <c r="I25" s="191"/>
      <c r="J25" s="192"/>
      <c r="K25" s="44"/>
      <c r="L25" s="50"/>
      <c r="M25" s="50"/>
      <c r="N25" s="50"/>
      <c r="O25" s="50"/>
    </row>
    <row r="26" spans="2:15" ht="12.6" customHeight="1">
      <c r="B26" s="4"/>
      <c r="C26" s="5"/>
      <c r="D26" s="6"/>
      <c r="E26" s="5"/>
      <c r="F26" s="7"/>
      <c r="G26" s="33"/>
      <c r="H26" s="33"/>
      <c r="I26" s="33"/>
      <c r="J26" s="33"/>
      <c r="K26" s="33"/>
      <c r="L26" s="51"/>
      <c r="M26" s="51"/>
      <c r="N26" s="51"/>
      <c r="O26" s="51"/>
    </row>
    <row r="27" spans="2:15" ht="18.75">
      <c r="B27" s="4"/>
      <c r="C27" s="5"/>
      <c r="D27" s="6"/>
      <c r="E27" s="5"/>
      <c r="F27" s="7"/>
      <c r="G27" s="34" t="s">
        <v>32</v>
      </c>
    </row>
    <row r="28" spans="2:15" ht="18.75">
      <c r="B28" s="4"/>
      <c r="D28" s="6"/>
      <c r="E28" s="5"/>
      <c r="F28" s="7"/>
      <c r="G28" s="35" t="s">
        <v>33</v>
      </c>
    </row>
    <row r="29" spans="2:15" ht="18.75">
      <c r="C29" s="41" t="s">
        <v>34</v>
      </c>
      <c r="D29" s="5"/>
      <c r="E29" s="9" t="s">
        <v>35</v>
      </c>
      <c r="F29" s="9" t="s">
        <v>36</v>
      </c>
      <c r="G29" s="35" t="s">
        <v>37</v>
      </c>
    </row>
    <row r="30" spans="2:15" ht="18.75">
      <c r="B30" s="5"/>
      <c r="G30" s="8" t="s">
        <v>38</v>
      </c>
    </row>
  </sheetData>
  <mergeCells count="22">
    <mergeCell ref="E12:E13"/>
    <mergeCell ref="J3:M5"/>
    <mergeCell ref="N3:O3"/>
    <mergeCell ref="N4:O4"/>
    <mergeCell ref="N5:O5"/>
    <mergeCell ref="D7:F7"/>
    <mergeCell ref="H25:J25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</mergeCells>
  <pageMargins left="0.45" right="0.17" top="0.37" bottom="0.41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6"/>
  <dimension ref="B1:O39"/>
  <sheetViews>
    <sheetView zoomScale="70" zoomScaleNormal="70" workbookViewId="0">
      <selection activeCell="D11" sqref="D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80</v>
      </c>
      <c r="C8" s="54"/>
      <c r="D8" s="39"/>
      <c r="F8" s="39"/>
      <c r="G8" s="54" t="str">
        <f>B8</f>
        <v>- Loại hình/hình thức đào tạo: Bồi dưỡng KT/Trực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81</v>
      </c>
      <c r="F9" s="60"/>
      <c r="G9" s="54" t="str">
        <f>B9</f>
        <v>- Thời gian:</v>
      </c>
      <c r="H9" s="40"/>
      <c r="I9" s="53" t="str">
        <f>D9</f>
        <v>20-S21/8/2026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20-S21/8/2026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29</v>
      </c>
      <c r="D34" s="6"/>
      <c r="E34" s="5"/>
      <c r="F34" s="65" t="s">
        <v>30</v>
      </c>
      <c r="G34" s="43"/>
      <c r="H34" s="190" t="s">
        <v>31</v>
      </c>
      <c r="I34" s="191"/>
      <c r="J34" s="192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32</v>
      </c>
    </row>
    <row r="37" spans="2:15" ht="18.75">
      <c r="B37" s="4"/>
      <c r="D37" s="6"/>
      <c r="E37" s="5"/>
      <c r="F37" s="7"/>
      <c r="G37" s="35" t="s">
        <v>33</v>
      </c>
    </row>
    <row r="38" spans="2:15" ht="18.75">
      <c r="C38" s="41" t="s">
        <v>34</v>
      </c>
      <c r="D38" s="5"/>
      <c r="E38" s="9" t="s">
        <v>35</v>
      </c>
      <c r="F38" s="9" t="s">
        <v>36</v>
      </c>
      <c r="G38" s="35" t="s">
        <v>37</v>
      </c>
    </row>
    <row r="39" spans="2:15" ht="18.75">
      <c r="B39" s="5"/>
      <c r="G39" s="8" t="s">
        <v>38</v>
      </c>
    </row>
  </sheetData>
  <mergeCells count="21">
    <mergeCell ref="N4:O4"/>
    <mergeCell ref="N5:O5"/>
    <mergeCell ref="G6:O6"/>
    <mergeCell ref="I12:J13"/>
    <mergeCell ref="K12:K13"/>
    <mergeCell ref="G2:I5"/>
    <mergeCell ref="N2:O2"/>
    <mergeCell ref="J3:M5"/>
    <mergeCell ref="N3:O3"/>
    <mergeCell ref="O12:O13"/>
    <mergeCell ref="G12:G13"/>
    <mergeCell ref="H12:H13"/>
    <mergeCell ref="H34:J34"/>
    <mergeCell ref="E12:E13"/>
    <mergeCell ref="F12:F13"/>
    <mergeCell ref="B2:D5"/>
    <mergeCell ref="B12:B13"/>
    <mergeCell ref="B11:C11"/>
    <mergeCell ref="C12:C13"/>
    <mergeCell ref="D12:D13"/>
    <mergeCell ref="E2:F5"/>
  </mergeCells>
  <conditionalFormatting sqref="C14:C33">
    <cfRule type="duplicateValues" dxfId="425" priority="93" stopIfTrue="1"/>
    <cfRule type="expression" dxfId="424" priority="94" stopIfTrue="1">
      <formula>AND(COUNTIF($C$1:$C$1284, C14)+COUNTIF($C$1286:$C$65367, C14)&gt;1,NOT(ISBLANK(C14)))</formula>
    </cfRule>
    <cfRule type="expression" dxfId="423" priority="95" stopIfTrue="1">
      <formula>AND(COUNTIF($C$1:$C$1287, C14)+COUNTIF($C$1288:$C$65367, C14)&gt;1,NOT(ISBLANK(C14)))</formula>
    </cfRule>
    <cfRule type="expression" dxfId="422" priority="96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7"/>
  <dimension ref="B1:O39"/>
  <sheetViews>
    <sheetView zoomScale="70" zoomScaleNormal="70" workbookViewId="0">
      <selection activeCell="D11" sqref="D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43.5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44</v>
      </c>
      <c r="F9" s="60"/>
      <c r="G9" s="54" t="str">
        <f>B9</f>
        <v>- Thời gian:</v>
      </c>
      <c r="H9" s="40"/>
      <c r="I9" s="53" t="str">
        <f>D9</f>
        <v>S18/8/2026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84"/>
      <c r="F11" s="39"/>
      <c r="G11" s="54" t="s">
        <v>22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S18/8/2026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29</v>
      </c>
      <c r="D34" s="6"/>
      <c r="E34" s="5"/>
      <c r="F34" s="65" t="s">
        <v>30</v>
      </c>
      <c r="G34" s="43"/>
      <c r="H34" s="190" t="s">
        <v>31</v>
      </c>
      <c r="I34" s="191"/>
      <c r="J34" s="192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32</v>
      </c>
    </row>
    <row r="37" spans="2:15" ht="18.75">
      <c r="B37" s="4"/>
      <c r="D37" s="6"/>
      <c r="E37" s="5"/>
      <c r="F37" s="7"/>
      <c r="G37" s="35" t="s">
        <v>33</v>
      </c>
    </row>
    <row r="38" spans="2:15" ht="18.75">
      <c r="C38" s="41" t="s">
        <v>34</v>
      </c>
      <c r="D38" s="5"/>
      <c r="E38" s="9" t="s">
        <v>35</v>
      </c>
      <c r="F38" s="9" t="s">
        <v>36</v>
      </c>
      <c r="G38" s="35" t="s">
        <v>37</v>
      </c>
    </row>
    <row r="39" spans="2:15" ht="18.75">
      <c r="B39" s="5"/>
      <c r="G39" s="8" t="s">
        <v>38</v>
      </c>
    </row>
  </sheetData>
  <mergeCells count="22">
    <mergeCell ref="E12:E13"/>
    <mergeCell ref="J3:M5"/>
    <mergeCell ref="N3:O3"/>
    <mergeCell ref="N4:O4"/>
    <mergeCell ref="N5:O5"/>
    <mergeCell ref="D7:F7"/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</mergeCells>
  <conditionalFormatting sqref="C14:C33">
    <cfRule type="duplicateValues" dxfId="421" priority="89" stopIfTrue="1"/>
    <cfRule type="expression" dxfId="420" priority="90" stopIfTrue="1">
      <formula>AND(COUNTIF($C$1:$C$1284, C14)+COUNTIF($C$1286:$C$65367, C14)&gt;1,NOT(ISBLANK(C14)))</formula>
    </cfRule>
    <cfRule type="expression" dxfId="419" priority="91" stopIfTrue="1">
      <formula>AND(COUNTIF($C$1:$C$1287, C14)+COUNTIF($C$1288:$C$65367, C14)&gt;1,NOT(ISBLANK(C14)))</formula>
    </cfRule>
    <cfRule type="expression" dxfId="418" priority="92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8"/>
  <dimension ref="B1:O39"/>
  <sheetViews>
    <sheetView zoomScale="70" zoomScaleNormal="70" workbookViewId="0">
      <selection activeCell="D11" sqref="D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44.25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45</v>
      </c>
      <c r="F9" s="60"/>
      <c r="G9" s="54" t="str">
        <f>B9</f>
        <v>- Thời gian:</v>
      </c>
      <c r="H9" s="40"/>
      <c r="I9" s="53" t="str">
        <f>D9</f>
        <v>C18/8/2026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84"/>
      <c r="F11" s="39"/>
      <c r="G11" s="54" t="s">
        <v>22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C18/8/2026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29</v>
      </c>
      <c r="D34" s="6"/>
      <c r="E34" s="5"/>
      <c r="F34" s="65" t="s">
        <v>30</v>
      </c>
      <c r="G34" s="43"/>
      <c r="H34" s="190" t="s">
        <v>31</v>
      </c>
      <c r="I34" s="191"/>
      <c r="J34" s="192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32</v>
      </c>
    </row>
    <row r="37" spans="2:15" ht="18.75">
      <c r="B37" s="4"/>
      <c r="D37" s="6"/>
      <c r="E37" s="5"/>
      <c r="F37" s="7"/>
      <c r="G37" s="35" t="s">
        <v>33</v>
      </c>
    </row>
    <row r="38" spans="2:15" ht="18.75">
      <c r="C38" s="41" t="s">
        <v>34</v>
      </c>
      <c r="D38" s="5"/>
      <c r="E38" s="9" t="s">
        <v>35</v>
      </c>
      <c r="F38" s="9" t="s">
        <v>36</v>
      </c>
      <c r="G38" s="35" t="s">
        <v>37</v>
      </c>
    </row>
    <row r="39" spans="2:15" ht="18.75">
      <c r="B39" s="5"/>
      <c r="G39" s="8" t="s">
        <v>38</v>
      </c>
    </row>
  </sheetData>
  <mergeCells count="22">
    <mergeCell ref="E12:E13"/>
    <mergeCell ref="J3:M5"/>
    <mergeCell ref="N3:O3"/>
    <mergeCell ref="N4:O4"/>
    <mergeCell ref="N5:O5"/>
    <mergeCell ref="D7:F7"/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</mergeCells>
  <conditionalFormatting sqref="C14:C33">
    <cfRule type="duplicateValues" dxfId="417" priority="85" stopIfTrue="1"/>
    <cfRule type="expression" dxfId="416" priority="86" stopIfTrue="1">
      <formula>AND(COUNTIF($C$1:$C$1284, C14)+COUNTIF($C$1286:$C$65367, C14)&gt;1,NOT(ISBLANK(C14)))</formula>
    </cfRule>
    <cfRule type="expression" dxfId="415" priority="87" stopIfTrue="1">
      <formula>AND(COUNTIF($C$1:$C$1287, C14)+COUNTIF($C$1288:$C$65367, C14)&gt;1,NOT(ISBLANK(C14)))</formula>
    </cfRule>
    <cfRule type="expression" dxfId="414" priority="88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9"/>
  <dimension ref="B1:O27"/>
  <sheetViews>
    <sheetView zoomScale="85" zoomScaleNormal="85" workbookViewId="0">
      <selection activeCell="C14" sqref="C14:E2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80</v>
      </c>
      <c r="C8" s="54"/>
      <c r="D8" s="39"/>
      <c r="F8" s="39"/>
      <c r="G8" s="54" t="str">
        <f>B8</f>
        <v>- Loại hình/hình thức đào tạo: Bồi dưỡng KT/Trực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81</v>
      </c>
      <c r="F9" s="60"/>
      <c r="G9" s="54" t="str">
        <f>B9</f>
        <v>- Thời gian:</v>
      </c>
      <c r="H9" s="40"/>
      <c r="I9" s="53" t="str">
        <f>D9</f>
        <v>20-S21/8/2026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20</v>
      </c>
      <c r="F10" s="39"/>
      <c r="G10" s="54" t="str">
        <f>B10</f>
        <v>- Địa điểm:</v>
      </c>
      <c r="H10" s="40"/>
      <c r="I10" s="48" t="str">
        <f>D10</f>
        <v>VNBA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COUNTIF($L$14:$L35,"x")&amp;"/"&amp;COUNTA($L$14:$L35)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20-S21/8/2026</v>
      </c>
      <c r="M13" s="15"/>
      <c r="N13" s="15"/>
      <c r="O13" s="189"/>
    </row>
    <row r="14" spans="2:15" ht="22.15" customHeight="1">
      <c r="B14" s="17">
        <f>ROW()-13</f>
        <v>1</v>
      </c>
      <c r="C14" s="126"/>
      <c r="D14" s="127"/>
      <c r="E14" s="126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126"/>
      <c r="D15" s="127"/>
      <c r="E15" s="126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126"/>
      <c r="D16" s="127"/>
      <c r="E16" s="126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126"/>
      <c r="D17" s="127"/>
      <c r="E17" s="126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126"/>
      <c r="D18" s="127"/>
      <c r="E18" s="126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126"/>
      <c r="D19" s="127"/>
      <c r="E19" s="126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126"/>
      <c r="D20" s="127"/>
      <c r="E20" s="126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126"/>
      <c r="D21" s="127"/>
      <c r="E21" s="126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34.15" customHeight="1">
      <c r="B22" s="4"/>
      <c r="C22" s="64" t="s">
        <v>29</v>
      </c>
      <c r="D22" s="6"/>
      <c r="E22" s="5"/>
      <c r="F22" s="65" t="s">
        <v>30</v>
      </c>
      <c r="G22" s="43"/>
      <c r="H22" s="190" t="s">
        <v>31</v>
      </c>
      <c r="I22" s="191"/>
      <c r="J22" s="192"/>
      <c r="K22" s="44"/>
      <c r="L22" s="50"/>
      <c r="M22" s="50"/>
      <c r="N22" s="50"/>
      <c r="O22" s="50"/>
    </row>
    <row r="23" spans="2:15" ht="12.6" customHeight="1">
      <c r="B23" s="4"/>
      <c r="C23" s="5"/>
      <c r="D23" s="6"/>
      <c r="E23" s="5"/>
      <c r="F23" s="7"/>
      <c r="G23" s="33"/>
      <c r="H23" s="33"/>
      <c r="I23" s="33"/>
      <c r="J23" s="33"/>
      <c r="K23" s="33"/>
      <c r="L23" s="51"/>
      <c r="M23" s="51"/>
      <c r="N23" s="51"/>
      <c r="O23" s="51"/>
    </row>
    <row r="24" spans="2:15" ht="18.75">
      <c r="B24" s="4"/>
      <c r="C24" s="5"/>
      <c r="D24" s="6"/>
      <c r="E24" s="5"/>
      <c r="F24" s="7"/>
      <c r="G24" s="34" t="s">
        <v>32</v>
      </c>
    </row>
    <row r="25" spans="2:15" ht="18.75">
      <c r="B25" s="4"/>
      <c r="D25" s="6"/>
      <c r="E25" s="5"/>
      <c r="F25" s="7"/>
      <c r="G25" s="35" t="s">
        <v>33</v>
      </c>
    </row>
    <row r="26" spans="2:15" ht="18.75">
      <c r="C26" s="41" t="s">
        <v>34</v>
      </c>
      <c r="D26" s="5"/>
      <c r="E26" s="9" t="s">
        <v>35</v>
      </c>
      <c r="F26" s="9" t="s">
        <v>36</v>
      </c>
      <c r="G26" s="35" t="s">
        <v>37</v>
      </c>
    </row>
    <row r="27" spans="2:15" ht="18.75">
      <c r="B27" s="5"/>
      <c r="G27" s="8" t="s">
        <v>38</v>
      </c>
    </row>
  </sheetData>
  <mergeCells count="21">
    <mergeCell ref="E12:E13"/>
    <mergeCell ref="J3:M5"/>
    <mergeCell ref="N3:O3"/>
    <mergeCell ref="N4:O4"/>
    <mergeCell ref="N5:O5"/>
    <mergeCell ref="H22:J22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</mergeCells>
  <conditionalFormatting sqref="C14:C21">
    <cfRule type="duplicateValues" dxfId="413" priority="1"/>
    <cfRule type="duplicateValues" dxfId="412" priority="2"/>
    <cfRule type="duplicateValues" dxfId="411" priority="3"/>
    <cfRule type="duplicateValues" dxfId="410" priority="4"/>
    <cfRule type="duplicateValues" dxfId="409" priority="5"/>
    <cfRule type="duplicateValues" dxfId="408" priority="6"/>
    <cfRule type="duplicateValues" dxfId="407" priority="7"/>
    <cfRule type="duplicateValues" dxfId="406" priority="8"/>
    <cfRule type="duplicateValues" dxfId="405" priority="9"/>
    <cfRule type="duplicateValues" dxfId="404" priority="10"/>
    <cfRule type="duplicateValues" dxfId="403" priority="11"/>
    <cfRule type="duplicateValues" dxfId="402" priority="12"/>
    <cfRule type="duplicateValues" dxfId="401" priority="13"/>
    <cfRule type="duplicateValues" dxfId="400" priority="14"/>
    <cfRule type="duplicateValues" dxfId="399" priority="15"/>
    <cfRule type="duplicateValues" dxfId="398" priority="16"/>
    <cfRule type="duplicateValues" dxfId="397" priority="17"/>
    <cfRule type="duplicateValues" dxfId="396" priority="18"/>
    <cfRule type="duplicateValues" dxfId="395" priority="19"/>
    <cfRule type="duplicateValues" dxfId="394" priority="20"/>
    <cfRule type="duplicateValues" dxfId="393" priority="21"/>
    <cfRule type="duplicateValues" dxfId="392" priority="22"/>
    <cfRule type="duplicateValues" dxfId="391" priority="23"/>
    <cfRule type="duplicateValues" dxfId="390" priority="24"/>
    <cfRule type="duplicateValues" dxfId="389" priority="25"/>
    <cfRule type="duplicateValues" dxfId="388" priority="26"/>
    <cfRule type="duplicateValues" dxfId="387" priority="27"/>
    <cfRule type="duplicateValues" dxfId="386" priority="28"/>
    <cfRule type="duplicateValues" dxfId="385" priority="29"/>
    <cfRule type="duplicateValues" dxfId="384" priority="30"/>
    <cfRule type="duplicateValues" dxfId="383" priority="31"/>
    <cfRule type="duplicateValues" dxfId="382" priority="32"/>
    <cfRule type="duplicateValues" dxfId="381" priority="33"/>
    <cfRule type="duplicateValues" dxfId="380" priority="34"/>
    <cfRule type="duplicateValues" dxfId="379" priority="35"/>
    <cfRule type="duplicateValues" dxfId="378" priority="36"/>
    <cfRule type="duplicateValues" dxfId="377" priority="37"/>
    <cfRule type="duplicateValues" dxfId="376" priority="38"/>
    <cfRule type="duplicateValues" dxfId="375" priority="39"/>
    <cfRule type="duplicateValues" dxfId="374" priority="40"/>
    <cfRule type="duplicateValues" dxfId="373" priority="41"/>
    <cfRule type="duplicateValues" dxfId="372" priority="42"/>
    <cfRule type="duplicateValues" dxfId="371" priority="43"/>
    <cfRule type="duplicateValues" dxfId="370" priority="44"/>
    <cfRule type="duplicateValues" dxfId="369" priority="45"/>
    <cfRule type="duplicateValues" dxfId="368" priority="46"/>
    <cfRule type="duplicateValues" dxfId="367" priority="47"/>
    <cfRule type="duplicateValues" dxfId="366" priority="48"/>
    <cfRule type="duplicateValues" dxfId="365" priority="49"/>
    <cfRule type="duplicateValues" dxfId="364" priority="50"/>
    <cfRule type="duplicateValues" dxfId="363" priority="51"/>
    <cfRule type="duplicateValues" dxfId="362" priority="52"/>
    <cfRule type="duplicateValues" dxfId="361" priority="53"/>
    <cfRule type="duplicateValues" dxfId="360" priority="54"/>
    <cfRule type="duplicateValues" dxfId="359" priority="55"/>
    <cfRule type="duplicateValues" dxfId="358" priority="56"/>
    <cfRule type="duplicateValues" dxfId="357" priority="57"/>
    <cfRule type="duplicateValues" dxfId="356" priority="58"/>
    <cfRule type="duplicateValues" dxfId="355" priority="59"/>
    <cfRule type="duplicateValues" dxfId="354" priority="60"/>
    <cfRule type="duplicateValues" dxfId="353" priority="61"/>
    <cfRule type="duplicateValues" dxfId="352" priority="62"/>
    <cfRule type="duplicateValues" dxfId="351" priority="63"/>
    <cfRule type="duplicateValues" dxfId="350" priority="64"/>
    <cfRule type="duplicateValues" dxfId="349" priority="65"/>
    <cfRule type="duplicateValues" dxfId="348" priority="66"/>
    <cfRule type="duplicateValues" dxfId="347" priority="67"/>
    <cfRule type="duplicateValues" dxfId="346" priority="68"/>
    <cfRule type="duplicateValues" dxfId="345" priority="69"/>
    <cfRule type="duplicateValues" dxfId="344" priority="70"/>
    <cfRule type="duplicateValues" dxfId="343" priority="71"/>
    <cfRule type="duplicateValues" dxfId="342" priority="72"/>
    <cfRule type="duplicateValues" dxfId="341" priority="73"/>
    <cfRule type="duplicateValues" dxfId="340" priority="74"/>
    <cfRule type="duplicateValues" dxfId="339" priority="75"/>
    <cfRule type="duplicateValues" dxfId="338" priority="76"/>
    <cfRule type="duplicateValues" dxfId="337" priority="77"/>
    <cfRule type="duplicateValues" dxfId="336" priority="78"/>
    <cfRule type="duplicateValues" dxfId="335" priority="79"/>
    <cfRule type="duplicateValues" dxfId="334" priority="80"/>
    <cfRule type="duplicateValues" dxfId="333" priority="81"/>
    <cfRule type="duplicateValues" dxfId="332" priority="82"/>
    <cfRule type="duplicateValues" dxfId="331" priority="83"/>
    <cfRule type="duplicateValues" dxfId="330" priority="84"/>
    <cfRule type="duplicateValues" dxfId="329" priority="85"/>
    <cfRule type="duplicateValues" dxfId="328" priority="86"/>
    <cfRule type="duplicateValues" dxfId="327" priority="87"/>
    <cfRule type="duplicateValues" dxfId="326" priority="88"/>
    <cfRule type="duplicateValues" dxfId="325" priority="89"/>
  </conditionalFormatting>
  <pageMargins left="0.45" right="0.17" top="0.37" bottom="0.41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0"/>
  <dimension ref="B1:O33"/>
  <sheetViews>
    <sheetView zoomScale="85" zoomScaleNormal="85" workbookViewId="0">
      <selection activeCell="D11" sqref="D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56</v>
      </c>
      <c r="C8" s="54"/>
      <c r="D8" s="39"/>
      <c r="F8" s="39"/>
      <c r="G8" s="54" t="str">
        <f>B8</f>
        <v>- Loại hình/hình thức đào tạo: Định kỳ/Trực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45</v>
      </c>
      <c r="F9" s="60"/>
      <c r="G9" s="54" t="str">
        <f>B9</f>
        <v>- Thời gian:</v>
      </c>
      <c r="H9" s="40"/>
      <c r="I9" s="53" t="str">
        <f>D9</f>
        <v>C18/8/2026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COUNTIF($L$15:$L41,"x")&amp;"/"&amp;COUNTA($L$15:$L41)</f>
        <v>11/11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C18/8/2026</v>
      </c>
      <c r="M13" s="15"/>
      <c r="N13" s="15"/>
      <c r="O13" s="189"/>
    </row>
    <row r="14" spans="2:15" ht="22.15" customHeight="1">
      <c r="B14" s="17">
        <f>ROW()-13</f>
        <v>1</v>
      </c>
      <c r="C14" s="165"/>
      <c r="D14" s="166"/>
      <c r="E14" s="82"/>
      <c r="F14" s="27"/>
      <c r="G14" s="17">
        <f t="shared" ref="G14:I15" si="0">B14</f>
        <v>1</v>
      </c>
      <c r="H14" s="173">
        <f t="shared" si="0"/>
        <v>0</v>
      </c>
      <c r="I14" s="174">
        <f t="shared" si="0"/>
        <v>0</v>
      </c>
      <c r="J14" s="175"/>
      <c r="K14" s="176">
        <f>E14</f>
        <v>0</v>
      </c>
      <c r="L14" s="177"/>
      <c r="M14" s="178"/>
      <c r="N14" s="14"/>
      <c r="O14" s="15"/>
    </row>
    <row r="15" spans="2:15" ht="22.15" customHeight="1">
      <c r="B15" s="17">
        <f>ROW()-13</f>
        <v>2</v>
      </c>
      <c r="C15" s="165"/>
      <c r="D15" s="166"/>
      <c r="E15" s="82"/>
      <c r="F15" s="27"/>
      <c r="G15" s="17">
        <f t="shared" si="0"/>
        <v>2</v>
      </c>
      <c r="H15" s="101">
        <f t="shared" si="0"/>
        <v>0</v>
      </c>
      <c r="I15" s="102">
        <f t="shared" si="0"/>
        <v>0</v>
      </c>
      <c r="J15" s="103"/>
      <c r="K15" s="104">
        <f>E15</f>
        <v>0</v>
      </c>
      <c r="L15" s="29" t="s">
        <v>51</v>
      </c>
      <c r="M15" s="13"/>
      <c r="N15" s="14"/>
      <c r="O15" s="15"/>
    </row>
    <row r="16" spans="2:15" ht="22.15" customHeight="1">
      <c r="B16" s="17">
        <f t="shared" ref="B16:B27" si="1">ROW()-13</f>
        <v>3</v>
      </c>
      <c r="C16" s="165"/>
      <c r="D16" s="166"/>
      <c r="E16" s="82"/>
      <c r="F16" s="28"/>
      <c r="G16" s="17">
        <f t="shared" ref="G16:I24" si="2">B16</f>
        <v>3</v>
      </c>
      <c r="H16" s="101">
        <f t="shared" si="2"/>
        <v>0</v>
      </c>
      <c r="I16" s="102">
        <f t="shared" si="2"/>
        <v>0</v>
      </c>
      <c r="J16" s="103"/>
      <c r="K16" s="104">
        <f>E16</f>
        <v>0</v>
      </c>
      <c r="L16" s="29" t="s">
        <v>51</v>
      </c>
      <c r="M16" s="13"/>
      <c r="N16" s="14"/>
      <c r="O16" s="18"/>
    </row>
    <row r="17" spans="2:15" ht="22.15" customHeight="1">
      <c r="B17" s="17">
        <f t="shared" si="1"/>
        <v>4</v>
      </c>
      <c r="C17" s="165"/>
      <c r="D17" s="166"/>
      <c r="E17" s="82"/>
      <c r="F17" s="27"/>
      <c r="G17" s="17">
        <f>B17</f>
        <v>4</v>
      </c>
      <c r="H17" s="101">
        <f>C17</f>
        <v>0</v>
      </c>
      <c r="I17" s="102">
        <f t="shared" si="2"/>
        <v>0</v>
      </c>
      <c r="J17" s="103"/>
      <c r="K17" s="104">
        <f>E17</f>
        <v>0</v>
      </c>
      <c r="L17" s="29" t="s">
        <v>51</v>
      </c>
      <c r="M17" s="13"/>
      <c r="N17" s="14"/>
      <c r="O17" s="15"/>
    </row>
    <row r="18" spans="2:15" ht="22.15" customHeight="1">
      <c r="B18" s="17">
        <f t="shared" si="1"/>
        <v>5</v>
      </c>
      <c r="C18" s="165"/>
      <c r="D18" s="166"/>
      <c r="E18" s="82"/>
      <c r="F18" s="28"/>
      <c r="G18" s="17">
        <f t="shared" ref="G18:H19" si="3">B18</f>
        <v>5</v>
      </c>
      <c r="H18" s="101">
        <f t="shared" si="3"/>
        <v>0</v>
      </c>
      <c r="I18" s="102">
        <f t="shared" si="2"/>
        <v>0</v>
      </c>
      <c r="J18" s="103"/>
      <c r="K18" s="104">
        <f t="shared" ref="K18:K19" si="4">E18</f>
        <v>0</v>
      </c>
      <c r="L18" s="29" t="s">
        <v>51</v>
      </c>
      <c r="M18" s="13"/>
      <c r="N18" s="14"/>
      <c r="O18" s="18"/>
    </row>
    <row r="19" spans="2:15" ht="22.15" customHeight="1">
      <c r="B19" s="17">
        <f t="shared" si="1"/>
        <v>6</v>
      </c>
      <c r="C19" s="165"/>
      <c r="D19" s="166"/>
      <c r="E19" s="82"/>
      <c r="F19" s="28"/>
      <c r="G19" s="17">
        <f t="shared" si="3"/>
        <v>6</v>
      </c>
      <c r="H19" s="101">
        <f t="shared" si="3"/>
        <v>0</v>
      </c>
      <c r="I19" s="102">
        <f t="shared" si="2"/>
        <v>0</v>
      </c>
      <c r="J19" s="103"/>
      <c r="K19" s="104">
        <f t="shared" si="4"/>
        <v>0</v>
      </c>
      <c r="L19" s="29" t="s">
        <v>48</v>
      </c>
      <c r="M19" s="13"/>
      <c r="N19" s="14"/>
      <c r="O19" s="15"/>
    </row>
    <row r="20" spans="2:15" ht="22.15" customHeight="1">
      <c r="B20" s="17">
        <f t="shared" si="1"/>
        <v>7</v>
      </c>
      <c r="C20" s="165"/>
      <c r="D20" s="166"/>
      <c r="E20" s="82"/>
      <c r="F20" s="27"/>
      <c r="G20" s="17">
        <f>B20</f>
        <v>7</v>
      </c>
      <c r="H20" s="101">
        <f>C20</f>
        <v>0</v>
      </c>
      <c r="I20" s="102">
        <f t="shared" si="2"/>
        <v>0</v>
      </c>
      <c r="J20" s="103"/>
      <c r="K20" s="104">
        <f>E20</f>
        <v>0</v>
      </c>
      <c r="L20" s="29" t="s">
        <v>51</v>
      </c>
      <c r="M20" s="13"/>
      <c r="N20" s="14"/>
      <c r="O20" s="15"/>
    </row>
    <row r="21" spans="2:15" ht="22.15" customHeight="1">
      <c r="B21" s="17">
        <f t="shared" si="1"/>
        <v>8</v>
      </c>
      <c r="C21" s="165"/>
      <c r="D21" s="166"/>
      <c r="E21" s="82"/>
      <c r="F21" s="28"/>
      <c r="G21" s="17">
        <f t="shared" ref="G21" si="5">B21</f>
        <v>8</v>
      </c>
      <c r="H21" s="101">
        <f t="shared" ref="H21" si="6">C21</f>
        <v>0</v>
      </c>
      <c r="I21" s="102">
        <f t="shared" ref="I21" si="7">D21</f>
        <v>0</v>
      </c>
      <c r="J21" s="103"/>
      <c r="K21" s="104">
        <f t="shared" ref="K21" si="8">E21</f>
        <v>0</v>
      </c>
      <c r="L21" s="29" t="s">
        <v>48</v>
      </c>
      <c r="M21" s="13"/>
      <c r="N21" s="14"/>
      <c r="O21" s="18"/>
    </row>
    <row r="22" spans="2:15" ht="22.15" customHeight="1">
      <c r="B22" s="17">
        <f t="shared" si="1"/>
        <v>9</v>
      </c>
      <c r="C22" s="165"/>
      <c r="D22" s="166"/>
      <c r="E22" s="82"/>
      <c r="F22" s="27"/>
      <c r="G22" s="17">
        <f>B22</f>
        <v>9</v>
      </c>
      <c r="H22" s="101">
        <f>C22</f>
        <v>0</v>
      </c>
      <c r="I22" s="102">
        <f>D22</f>
        <v>0</v>
      </c>
      <c r="J22" s="103"/>
      <c r="K22" s="104">
        <f>E22</f>
        <v>0</v>
      </c>
      <c r="L22" s="29"/>
      <c r="M22" s="13"/>
      <c r="N22" s="14"/>
      <c r="O22" s="15"/>
    </row>
    <row r="23" spans="2:15" ht="22.15" customHeight="1">
      <c r="B23" s="17">
        <f t="shared" si="1"/>
        <v>10</v>
      </c>
      <c r="C23" s="165"/>
      <c r="D23" s="166"/>
      <c r="E23" s="82"/>
      <c r="F23" s="28"/>
      <c r="G23" s="17">
        <f t="shared" ref="G23" si="9">B23</f>
        <v>10</v>
      </c>
      <c r="H23" s="101">
        <f t="shared" ref="H23" si="10">C23</f>
        <v>0</v>
      </c>
      <c r="I23" s="102">
        <f t="shared" ref="I23" si="11">D23</f>
        <v>0</v>
      </c>
      <c r="J23" s="103"/>
      <c r="K23" s="104">
        <f>E23</f>
        <v>0</v>
      </c>
      <c r="L23" s="29" t="s">
        <v>51</v>
      </c>
      <c r="M23" s="13"/>
      <c r="N23" s="14"/>
      <c r="O23" s="18"/>
    </row>
    <row r="24" spans="2:15" ht="22.15" customHeight="1">
      <c r="B24" s="17">
        <f t="shared" si="1"/>
        <v>11</v>
      </c>
      <c r="C24" s="165"/>
      <c r="D24" s="166"/>
      <c r="E24" s="82"/>
      <c r="F24" s="28"/>
      <c r="G24" s="17">
        <f t="shared" ref="G24:H24" si="12">B24</f>
        <v>11</v>
      </c>
      <c r="H24" s="101">
        <f t="shared" si="12"/>
        <v>0</v>
      </c>
      <c r="I24" s="102">
        <f t="shared" si="2"/>
        <v>0</v>
      </c>
      <c r="J24" s="103"/>
      <c r="K24" s="104">
        <f t="shared" ref="K24" si="13">E24</f>
        <v>0</v>
      </c>
      <c r="L24" s="29" t="s">
        <v>51</v>
      </c>
      <c r="M24" s="13"/>
      <c r="N24" s="14"/>
      <c r="O24" s="18"/>
    </row>
    <row r="25" spans="2:15" ht="22.15" customHeight="1">
      <c r="B25" s="17">
        <f t="shared" si="1"/>
        <v>12</v>
      </c>
      <c r="C25" s="171"/>
      <c r="D25" s="172"/>
      <c r="E25" s="82"/>
      <c r="F25" s="27"/>
      <c r="G25" s="17">
        <f>B25</f>
        <v>12</v>
      </c>
      <c r="H25" s="101">
        <f>C25</f>
        <v>0</v>
      </c>
      <c r="I25" s="102">
        <f>D25</f>
        <v>0</v>
      </c>
      <c r="J25" s="103"/>
      <c r="K25" s="104">
        <f>E25</f>
        <v>0</v>
      </c>
      <c r="L25" s="29" t="s">
        <v>51</v>
      </c>
      <c r="M25" s="13"/>
      <c r="N25" s="14"/>
      <c r="O25" s="15"/>
    </row>
    <row r="26" spans="2:15" ht="22.15" customHeight="1">
      <c r="B26" s="17">
        <f t="shared" si="1"/>
        <v>13</v>
      </c>
      <c r="C26" s="134"/>
      <c r="D26" s="135"/>
      <c r="E26" s="136"/>
      <c r="F26" s="133"/>
      <c r="G26" s="17">
        <f t="shared" ref="G26" si="14">B26</f>
        <v>13</v>
      </c>
      <c r="H26" s="101">
        <f t="shared" ref="H26" si="15">C26</f>
        <v>0</v>
      </c>
      <c r="I26" s="102">
        <f t="shared" ref="I26" si="16">D26</f>
        <v>0</v>
      </c>
      <c r="J26" s="103"/>
      <c r="K26" s="104">
        <f>E26</f>
        <v>0</v>
      </c>
      <c r="L26" s="29" t="s">
        <v>51</v>
      </c>
      <c r="M26" s="13"/>
      <c r="N26" s="14"/>
      <c r="O26" s="18"/>
    </row>
    <row r="27" spans="2:15" ht="22.15" customHeight="1">
      <c r="B27" s="17">
        <f t="shared" si="1"/>
        <v>14</v>
      </c>
      <c r="C27" s="134"/>
      <c r="D27" s="135"/>
      <c r="E27" s="136"/>
      <c r="F27" s="133"/>
      <c r="G27" s="17">
        <f t="shared" ref="G27:I27" si="17">B27</f>
        <v>14</v>
      </c>
      <c r="H27" s="101">
        <f t="shared" si="17"/>
        <v>0</v>
      </c>
      <c r="I27" s="102">
        <f t="shared" si="17"/>
        <v>0</v>
      </c>
      <c r="J27" s="103"/>
      <c r="K27" s="104">
        <f>E27</f>
        <v>0</v>
      </c>
      <c r="L27" s="29"/>
      <c r="M27" s="13"/>
      <c r="N27" s="14"/>
      <c r="O27" s="18"/>
    </row>
    <row r="28" spans="2:15" ht="34.15" customHeight="1">
      <c r="B28" s="4"/>
      <c r="C28" s="64" t="s">
        <v>29</v>
      </c>
      <c r="D28" s="6"/>
      <c r="E28" s="5"/>
      <c r="F28" s="65" t="s">
        <v>30</v>
      </c>
      <c r="G28" s="43"/>
      <c r="H28" s="190" t="s">
        <v>31</v>
      </c>
      <c r="I28" s="191"/>
      <c r="J28" s="192"/>
      <c r="K28" s="44"/>
      <c r="L28" s="50"/>
      <c r="M28" s="50"/>
      <c r="N28" s="50"/>
      <c r="O28" s="50"/>
    </row>
    <row r="29" spans="2:15" ht="12.6" customHeight="1">
      <c r="B29" s="4"/>
      <c r="C29" s="5"/>
      <c r="D29" s="6"/>
      <c r="E29" s="5"/>
      <c r="F29" s="7"/>
      <c r="G29" s="33"/>
      <c r="H29" s="33"/>
      <c r="I29" s="33"/>
      <c r="J29" s="33"/>
      <c r="K29" s="33"/>
      <c r="L29" s="51"/>
      <c r="M29" s="51"/>
      <c r="N29" s="51"/>
      <c r="O29" s="51"/>
    </row>
    <row r="30" spans="2:15" ht="18.75">
      <c r="B30" s="4"/>
      <c r="C30" s="5"/>
      <c r="D30" s="6"/>
      <c r="E30" s="5"/>
      <c r="F30" s="7"/>
      <c r="G30" s="34" t="s">
        <v>32</v>
      </c>
    </row>
    <row r="31" spans="2:15" ht="18.75">
      <c r="B31" s="4"/>
      <c r="D31" s="6"/>
      <c r="E31" s="5"/>
      <c r="F31" s="7"/>
      <c r="G31" s="35" t="s">
        <v>33</v>
      </c>
    </row>
    <row r="32" spans="2:15" ht="18.75">
      <c r="C32" s="41" t="s">
        <v>34</v>
      </c>
      <c r="D32" s="5"/>
      <c r="E32" s="9" t="s">
        <v>35</v>
      </c>
      <c r="F32" s="9" t="s">
        <v>36</v>
      </c>
      <c r="G32" s="35" t="s">
        <v>37</v>
      </c>
    </row>
    <row r="33" spans="2:7" ht="18.75">
      <c r="B33" s="5"/>
      <c r="G33" s="8" t="s">
        <v>38</v>
      </c>
    </row>
  </sheetData>
  <mergeCells count="22">
    <mergeCell ref="D7:F7"/>
    <mergeCell ref="K12:K13"/>
    <mergeCell ref="O12:O13"/>
    <mergeCell ref="J3:M5"/>
    <mergeCell ref="N3:O3"/>
    <mergeCell ref="N4:O4"/>
    <mergeCell ref="N5:O5"/>
    <mergeCell ref="B2:D5"/>
    <mergeCell ref="E2:F5"/>
    <mergeCell ref="G2:I5"/>
    <mergeCell ref="N2:O2"/>
    <mergeCell ref="G6:O6"/>
    <mergeCell ref="F12:F13"/>
    <mergeCell ref="G12:G13"/>
    <mergeCell ref="H12:H13"/>
    <mergeCell ref="H28:J28"/>
    <mergeCell ref="B11:C11"/>
    <mergeCell ref="B12:B13"/>
    <mergeCell ref="C12:C13"/>
    <mergeCell ref="D12:D13"/>
    <mergeCell ref="E12:E13"/>
    <mergeCell ref="I12:J13"/>
  </mergeCells>
  <pageMargins left="0.45" right="0.17" top="0.37" bottom="0.41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1"/>
  <dimension ref="B1:O28"/>
  <sheetViews>
    <sheetView zoomScale="70" zoomScaleNormal="70" workbookViewId="0">
      <selection activeCell="D11" sqref="D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56</v>
      </c>
      <c r="C8" s="54"/>
      <c r="D8" s="39"/>
      <c r="F8" s="39"/>
      <c r="G8" s="54" t="str">
        <f>B8</f>
        <v>- Loại hình/hình thức đào tạo: Định kỳ/Trực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62</v>
      </c>
      <c r="F9" s="60"/>
      <c r="G9" s="54" t="str">
        <f>B9</f>
        <v>- Thời gian:</v>
      </c>
      <c r="H9" s="40"/>
      <c r="I9" s="53" t="str">
        <f>D9</f>
        <v>C20/8/2026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COUNTIF($L$14:$L36,"x")&amp;"/"&amp;COUNTA($L$14:$L36)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C20/8/2026</v>
      </c>
      <c r="M13" s="15"/>
      <c r="N13" s="15"/>
      <c r="O13" s="189"/>
    </row>
    <row r="14" spans="2:15" ht="22.15" customHeight="1">
      <c r="B14" s="17">
        <f>ROW()-13</f>
        <v>1</v>
      </c>
      <c r="C14" s="181" t="s">
        <v>64</v>
      </c>
      <c r="D14" s="180" t="s">
        <v>65</v>
      </c>
      <c r="E14" s="82" t="s">
        <v>63</v>
      </c>
      <c r="F14" s="27"/>
      <c r="G14" s="17">
        <f>B14</f>
        <v>1</v>
      </c>
      <c r="H14" s="52" t="str">
        <f>C14</f>
        <v>ASO10149</v>
      </c>
      <c r="I14" s="70" t="str">
        <f>D14</f>
        <v>Đỗ Tuấn Dương</v>
      </c>
      <c r="J14" s="71"/>
      <c r="K14" s="16" t="str">
        <f>E14</f>
        <v>ASOC - NBA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181" t="s">
        <v>66</v>
      </c>
      <c r="D15" s="180" t="s">
        <v>67</v>
      </c>
      <c r="E15" s="82" t="s">
        <v>63</v>
      </c>
      <c r="F15" s="28"/>
      <c r="G15" s="17">
        <f t="shared" ref="G15:I21" si="1">B15</f>
        <v>2</v>
      </c>
      <c r="H15" s="52" t="str">
        <f t="shared" si="1"/>
        <v>ASO03838</v>
      </c>
      <c r="I15" s="70" t="str">
        <f t="shared" si="1"/>
        <v>Trần Thế Dũng</v>
      </c>
      <c r="J15" s="71"/>
      <c r="K15" s="16" t="str">
        <f>E15</f>
        <v>ASOC - NBA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181" t="s">
        <v>68</v>
      </c>
      <c r="D16" s="180" t="s">
        <v>55</v>
      </c>
      <c r="E16" s="82" t="s">
        <v>63</v>
      </c>
      <c r="F16" s="28"/>
      <c r="G16" s="17">
        <f t="shared" si="1"/>
        <v>3</v>
      </c>
      <c r="H16" s="52" t="str">
        <f t="shared" si="1"/>
        <v>ASO03837</v>
      </c>
      <c r="I16" s="70" t="str">
        <f t="shared" si="1"/>
        <v>Trần Văn Hiệp</v>
      </c>
      <c r="J16" s="71"/>
      <c r="K16" s="16" t="str">
        <f>E16</f>
        <v>ASOC - NBA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181" t="s">
        <v>69</v>
      </c>
      <c r="D17" s="180" t="s">
        <v>70</v>
      </c>
      <c r="E17" s="82" t="s">
        <v>63</v>
      </c>
      <c r="F17" s="27"/>
      <c r="G17" s="17">
        <f>B17</f>
        <v>4</v>
      </c>
      <c r="H17" s="52" t="str">
        <f>C17</f>
        <v>ASO03841</v>
      </c>
      <c r="I17" s="70" t="str">
        <f t="shared" si="1"/>
        <v>Vũ Phi Long</v>
      </c>
      <c r="J17" s="71"/>
      <c r="K17" s="16" t="str">
        <f>E17</f>
        <v>ASOC - NBA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181" t="s">
        <v>71</v>
      </c>
      <c r="D18" s="180" t="s">
        <v>72</v>
      </c>
      <c r="E18" s="82" t="s">
        <v>63</v>
      </c>
      <c r="F18" s="28"/>
      <c r="G18" s="17">
        <f t="shared" ref="G18:H19" si="2">B18</f>
        <v>5</v>
      </c>
      <c r="H18" s="52" t="str">
        <f t="shared" si="2"/>
        <v>ASO03904</v>
      </c>
      <c r="I18" s="70" t="str">
        <f t="shared" si="1"/>
        <v>Nguyễn Hoàng Minh Khôi</v>
      </c>
      <c r="J18" s="71"/>
      <c r="K18" s="16" t="str">
        <f t="shared" ref="K18:K19" si="3">E18</f>
        <v>ASOC - NBA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181" t="s">
        <v>73</v>
      </c>
      <c r="D19" s="180" t="s">
        <v>82</v>
      </c>
      <c r="E19" s="82" t="s">
        <v>63</v>
      </c>
      <c r="F19" s="28"/>
      <c r="G19" s="17">
        <f t="shared" si="2"/>
        <v>6</v>
      </c>
      <c r="H19" s="52" t="str">
        <f t="shared" si="2"/>
        <v>CPM00496</v>
      </c>
      <c r="I19" s="70" t="str">
        <f t="shared" si="1"/>
        <v>Phạm Trung Hải</v>
      </c>
      <c r="J19" s="71"/>
      <c r="K19" s="16" t="str">
        <f t="shared" si="3"/>
        <v>ASOC - NBA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181" t="s">
        <v>74</v>
      </c>
      <c r="D20" s="180" t="s">
        <v>75</v>
      </c>
      <c r="E20" s="82" t="s">
        <v>63</v>
      </c>
      <c r="F20" s="27"/>
      <c r="G20" s="17">
        <f>B20</f>
        <v>7</v>
      </c>
      <c r="H20" s="52" t="str">
        <f>C20</f>
        <v>ASO10150</v>
      </c>
      <c r="I20" s="70" t="str">
        <f t="shared" si="1"/>
        <v>Tạ Quang Anh</v>
      </c>
      <c r="J20" s="71"/>
      <c r="K20" s="16" t="str">
        <f>E20</f>
        <v>ASOC - NBA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181" t="s">
        <v>76</v>
      </c>
      <c r="D21" s="180" t="s">
        <v>77</v>
      </c>
      <c r="E21" s="82" t="s">
        <v>63</v>
      </c>
      <c r="F21" s="28"/>
      <c r="G21" s="17">
        <f t="shared" ref="G21:H21" si="4">B21</f>
        <v>8</v>
      </c>
      <c r="H21" s="52" t="str">
        <f t="shared" si="4"/>
        <v>ASO10446</v>
      </c>
      <c r="I21" s="70" t="str">
        <f t="shared" si="1"/>
        <v>Lê Anh Tuấn</v>
      </c>
      <c r="J21" s="71"/>
      <c r="K21" s="16" t="str">
        <f t="shared" ref="K21" si="5">E21</f>
        <v>ASOC - NBA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181" t="s">
        <v>83</v>
      </c>
      <c r="D22" s="180" t="s">
        <v>84</v>
      </c>
      <c r="E22" s="82" t="s">
        <v>63</v>
      </c>
      <c r="F22" s="27"/>
      <c r="G22" s="17">
        <f>B22</f>
        <v>9</v>
      </c>
      <c r="H22" s="52" t="str">
        <f>C22</f>
        <v>ASO03791</v>
      </c>
      <c r="I22" s="70" t="str">
        <f>D22</f>
        <v>Đoàn Mạnh Hà</v>
      </c>
      <c r="J22" s="71"/>
      <c r="K22" s="16" t="str">
        <f>E22</f>
        <v>ASOC - NBA</v>
      </c>
      <c r="L22" s="29"/>
      <c r="M22" s="13"/>
      <c r="N22" s="14"/>
      <c r="O22" s="15"/>
    </row>
    <row r="23" spans="2:15" ht="34.15" customHeight="1">
      <c r="B23" s="4"/>
      <c r="C23" s="64" t="s">
        <v>29</v>
      </c>
      <c r="D23" s="6"/>
      <c r="E23" s="5"/>
      <c r="F23" s="65" t="s">
        <v>30</v>
      </c>
      <c r="G23" s="43"/>
      <c r="H23" s="190" t="s">
        <v>31</v>
      </c>
      <c r="I23" s="191"/>
      <c r="J23" s="192"/>
      <c r="K23" s="44"/>
      <c r="L23" s="50"/>
      <c r="M23" s="50"/>
      <c r="N23" s="50"/>
      <c r="O23" s="50"/>
    </row>
    <row r="24" spans="2:15" ht="12.6" customHeight="1">
      <c r="B24" s="4"/>
      <c r="C24" s="5"/>
      <c r="D24" s="6"/>
      <c r="E24" s="5"/>
      <c r="F24" s="7"/>
      <c r="G24" s="33"/>
      <c r="H24" s="33"/>
      <c r="I24" s="33"/>
      <c r="J24" s="33"/>
      <c r="K24" s="33"/>
      <c r="L24" s="51"/>
      <c r="M24" s="51"/>
      <c r="N24" s="51"/>
      <c r="O24" s="51"/>
    </row>
    <row r="25" spans="2:15" ht="18.75">
      <c r="B25" s="4"/>
      <c r="C25" s="5"/>
      <c r="D25" s="6"/>
      <c r="E25" s="5"/>
      <c r="F25" s="7"/>
      <c r="G25" s="34" t="s">
        <v>32</v>
      </c>
    </row>
    <row r="26" spans="2:15" ht="18.75">
      <c r="B26" s="4"/>
      <c r="D26" s="6"/>
      <c r="E26" s="5"/>
      <c r="F26" s="7"/>
      <c r="G26" s="35" t="s">
        <v>33</v>
      </c>
    </row>
    <row r="27" spans="2:15" ht="18.75">
      <c r="C27" s="41" t="s">
        <v>34</v>
      </c>
      <c r="D27" s="5"/>
      <c r="E27" s="9" t="s">
        <v>35</v>
      </c>
      <c r="F27" s="9" t="s">
        <v>36</v>
      </c>
      <c r="G27" s="35" t="s">
        <v>37</v>
      </c>
    </row>
    <row r="28" spans="2:15" ht="18.75">
      <c r="B28" s="5"/>
      <c r="G28" s="8" t="s">
        <v>38</v>
      </c>
    </row>
  </sheetData>
  <mergeCells count="22">
    <mergeCell ref="E12:E13"/>
    <mergeCell ref="J3:M5"/>
    <mergeCell ref="N3:O3"/>
    <mergeCell ref="N4:O4"/>
    <mergeCell ref="N5:O5"/>
    <mergeCell ref="D7:F7"/>
    <mergeCell ref="H23:J23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</mergeCells>
  <pageMargins left="0.45" right="0.17" top="0.37" bottom="0.41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2"/>
  <dimension ref="B1:P27"/>
  <sheetViews>
    <sheetView zoomScale="85" zoomScaleNormal="85" workbookViewId="0">
      <selection activeCell="P14" sqref="P14:P2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20.5703125" style="45" customWidth="1"/>
    <col min="11" max="11" width="12.7109375" style="45" customWidth="1"/>
    <col min="12" max="14" width="7" style="45" customWidth="1"/>
    <col min="15" max="15" width="14.85546875" style="45" customWidth="1"/>
    <col min="16" max="16" width="85.85546875" style="45" customWidth="1"/>
    <col min="17" max="16384" width="8.85546875" style="45"/>
  </cols>
  <sheetData>
    <row r="1" spans="2:16" ht="8.25" customHeight="1"/>
    <row r="2" spans="2:16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6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6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6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6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6" s="48" customFormat="1" ht="36" customHeight="1">
      <c r="B7" s="54" t="s">
        <v>15</v>
      </c>
      <c r="C7" s="54"/>
      <c r="D7" s="194"/>
      <c r="E7" s="194"/>
      <c r="F7" s="194"/>
      <c r="G7" s="179" t="s">
        <v>15</v>
      </c>
      <c r="H7" s="40"/>
      <c r="I7" s="228">
        <f>D7</f>
        <v>0</v>
      </c>
      <c r="J7" s="228"/>
      <c r="K7" s="228"/>
      <c r="L7" s="228"/>
      <c r="M7" s="228"/>
      <c r="N7" s="228"/>
      <c r="O7" s="228"/>
    </row>
    <row r="8" spans="2:16" s="48" customFormat="1" ht="22.5" customHeight="1">
      <c r="B8" s="54" t="s">
        <v>85</v>
      </c>
      <c r="C8" s="54"/>
      <c r="D8" s="39"/>
      <c r="F8" s="39"/>
      <c r="G8" s="54" t="str">
        <f>B8</f>
        <v>- Loại hình/hình thức đào tạo: Định kỳ/ Trực tuyến</v>
      </c>
      <c r="H8" s="40"/>
      <c r="K8" s="56"/>
      <c r="L8" s="39"/>
      <c r="M8" s="39"/>
      <c r="N8" s="57"/>
      <c r="O8" s="58"/>
    </row>
    <row r="9" spans="2:16" s="48" customFormat="1" ht="22.5" customHeight="1">
      <c r="B9" s="54" t="s">
        <v>17</v>
      </c>
      <c r="C9" s="54"/>
      <c r="D9" s="59" t="s">
        <v>42</v>
      </c>
      <c r="F9" s="60"/>
      <c r="G9" s="54" t="str">
        <f>B9</f>
        <v>- Thời gian:</v>
      </c>
      <c r="H9" s="40"/>
      <c r="I9" s="53" t="str">
        <f>D9</f>
        <v>19/8/2026</v>
      </c>
      <c r="J9" s="53"/>
      <c r="K9" s="61"/>
      <c r="L9" s="60"/>
      <c r="M9" s="60"/>
      <c r="N9" s="57"/>
      <c r="O9" s="58"/>
    </row>
    <row r="10" spans="2:16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6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COUNTIF($L$14:$L35,"x")&amp;"/"&amp;COUNTA($L$14:$L35)</f>
        <v>0/0</v>
      </c>
      <c r="M11" s="57"/>
      <c r="N11" s="58"/>
      <c r="O11" s="58"/>
    </row>
    <row r="12" spans="2:16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6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">
        <v>86</v>
      </c>
      <c r="M13" s="15"/>
      <c r="N13" s="15"/>
      <c r="O13" s="189"/>
    </row>
    <row r="14" spans="2:16" ht="22.15" customHeight="1">
      <c r="B14" s="17">
        <f>ROW()-13</f>
        <v>1</v>
      </c>
      <c r="C14" s="109"/>
      <c r="D14" s="112"/>
      <c r="E14" s="110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  <c r="P14" s="118"/>
    </row>
    <row r="15" spans="2:16" ht="22.15" customHeight="1">
      <c r="B15" s="17">
        <f t="shared" ref="B15:B21" si="0">ROW()-13</f>
        <v>2</v>
      </c>
      <c r="C15" s="110"/>
      <c r="D15" s="112"/>
      <c r="E15" s="110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  <c r="P15" s="108"/>
    </row>
    <row r="16" spans="2:16" ht="22.15" customHeight="1">
      <c r="B16" s="17">
        <f t="shared" si="0"/>
        <v>3</v>
      </c>
      <c r="C16" s="111"/>
      <c r="D16" s="113"/>
      <c r="E16" s="120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  <c r="P16" s="119"/>
    </row>
    <row r="17" spans="2:16" ht="22.15" customHeight="1">
      <c r="B17" s="17">
        <f>ROW()-13</f>
        <v>4</v>
      </c>
      <c r="C17" s="110"/>
      <c r="D17" s="114"/>
      <c r="E17" s="110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  <c r="P17" s="108"/>
    </row>
    <row r="18" spans="2:16" ht="22.15" customHeight="1">
      <c r="B18" s="17">
        <f t="shared" si="0"/>
        <v>5</v>
      </c>
      <c r="C18" s="110"/>
      <c r="D18" s="115"/>
      <c r="E18" s="110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  <c r="P18" s="118"/>
    </row>
    <row r="19" spans="2:16" ht="22.15" customHeight="1">
      <c r="B19" s="17">
        <f t="shared" si="0"/>
        <v>6</v>
      </c>
      <c r="C19" s="109"/>
      <c r="D19" s="116"/>
      <c r="E19" s="121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  <c r="P19" s="118"/>
    </row>
    <row r="20" spans="2:16" ht="22.15" customHeight="1">
      <c r="B20" s="17">
        <f>ROW()-13</f>
        <v>7</v>
      </c>
      <c r="C20" s="109"/>
      <c r="D20" s="117"/>
      <c r="E20" s="121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  <c r="P20" s="118"/>
    </row>
    <row r="21" spans="2:16" ht="22.15" customHeight="1">
      <c r="B21" s="17">
        <f t="shared" si="0"/>
        <v>8</v>
      </c>
      <c r="C21" s="109"/>
      <c r="D21" s="117"/>
      <c r="E21" s="121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  <c r="P21" s="118"/>
    </row>
    <row r="22" spans="2:16" ht="34.15" customHeight="1">
      <c r="B22" s="4"/>
      <c r="C22" s="64" t="s">
        <v>29</v>
      </c>
      <c r="D22" s="6"/>
      <c r="E22" s="5"/>
      <c r="F22" s="65" t="s">
        <v>30</v>
      </c>
      <c r="G22" s="43"/>
      <c r="H22" s="190" t="s">
        <v>31</v>
      </c>
      <c r="I22" s="191"/>
      <c r="J22" s="192"/>
      <c r="K22" s="44"/>
      <c r="L22" s="50"/>
      <c r="M22" s="50"/>
      <c r="N22" s="50"/>
      <c r="O22" s="50"/>
    </row>
    <row r="23" spans="2:16" ht="12.6" customHeight="1">
      <c r="B23" s="4"/>
      <c r="C23" s="5"/>
      <c r="D23" s="6"/>
      <c r="E23" s="5"/>
      <c r="F23" s="7"/>
      <c r="G23" s="33"/>
      <c r="H23" s="33"/>
      <c r="I23" s="33"/>
      <c r="J23" s="33"/>
      <c r="K23" s="33"/>
      <c r="L23" s="51"/>
      <c r="M23" s="51"/>
      <c r="N23" s="51"/>
      <c r="O23" s="51"/>
    </row>
    <row r="24" spans="2:16" ht="18.75">
      <c r="B24" s="4"/>
      <c r="C24" s="5"/>
      <c r="D24" s="6"/>
      <c r="E24" s="5"/>
      <c r="F24" s="7"/>
      <c r="G24" s="34" t="s">
        <v>32</v>
      </c>
    </row>
    <row r="25" spans="2:16" ht="18.75">
      <c r="B25" s="4"/>
      <c r="D25" s="6"/>
      <c r="E25" s="5"/>
      <c r="F25" s="7"/>
      <c r="G25" s="35" t="s">
        <v>33</v>
      </c>
    </row>
    <row r="26" spans="2:16" ht="18.75">
      <c r="C26" s="41" t="s">
        <v>34</v>
      </c>
      <c r="D26" s="5"/>
      <c r="E26" s="9" t="s">
        <v>35</v>
      </c>
      <c r="F26" s="9" t="s">
        <v>36</v>
      </c>
      <c r="G26" s="35" t="s">
        <v>37</v>
      </c>
    </row>
    <row r="27" spans="2:16" ht="18.75">
      <c r="B27" s="5"/>
      <c r="G27" s="8" t="s">
        <v>38</v>
      </c>
    </row>
  </sheetData>
  <mergeCells count="23">
    <mergeCell ref="E12:E13"/>
    <mergeCell ref="J3:M5"/>
    <mergeCell ref="N3:O3"/>
    <mergeCell ref="N4:O4"/>
    <mergeCell ref="N5:O5"/>
    <mergeCell ref="D7:F7"/>
    <mergeCell ref="I7:O7"/>
    <mergeCell ref="H22:J22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</mergeCells>
  <pageMargins left="0.45" right="0.17" top="0.37" bottom="0.41" header="0.3" footer="0.3"/>
  <pageSetup paperSize="9" orientation="portrait" r:id="rId1"/>
  <colBreaks count="2" manualBreakCount="2">
    <brk id="6" max="26" man="1"/>
    <brk id="15" max="26" man="1"/>
  </col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3"/>
  <dimension ref="B1:O27"/>
  <sheetViews>
    <sheetView zoomScale="70" zoomScaleNormal="70" workbookViewId="0">
      <selection activeCell="C14" sqref="C14:F2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16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58</v>
      </c>
      <c r="F9" s="60"/>
      <c r="G9" s="54" t="str">
        <f>B9</f>
        <v>- Thời gian:</v>
      </c>
      <c r="H9" s="40"/>
      <c r="I9" s="53" t="str">
        <f>D9</f>
        <v>20/8/2026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COUNTIF($L$14:$L35,"x")&amp;"/"&amp;COUNTA($L$14:$L35)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20/8/2026</v>
      </c>
      <c r="M13" s="15"/>
      <c r="N13" s="15"/>
      <c r="O13" s="189"/>
    </row>
    <row r="14" spans="2:15" ht="22.15" customHeight="1">
      <c r="B14" s="17">
        <f>ROW()-13</f>
        <v>1</v>
      </c>
      <c r="C14" s="126"/>
      <c r="D14" s="127"/>
      <c r="E14" s="126"/>
      <c r="F14" s="126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126"/>
      <c r="D15" s="127"/>
      <c r="E15" s="126"/>
      <c r="F15" s="126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126"/>
      <c r="D16" s="127"/>
      <c r="E16" s="126"/>
      <c r="F16" s="126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126"/>
      <c r="D17" s="127"/>
      <c r="E17" s="126"/>
      <c r="F17" s="126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126"/>
      <c r="D18" s="127"/>
      <c r="E18" s="126"/>
      <c r="F18" s="126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126"/>
      <c r="D19" s="127"/>
      <c r="E19" s="126"/>
      <c r="F19" s="126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126"/>
      <c r="D20" s="127"/>
      <c r="E20" s="126"/>
      <c r="F20" s="126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126"/>
      <c r="D21" s="127"/>
      <c r="E21" s="126"/>
      <c r="F21" s="126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34.15" customHeight="1">
      <c r="B22" s="4"/>
      <c r="C22" s="64" t="s">
        <v>29</v>
      </c>
      <c r="D22" s="6"/>
      <c r="E22" s="5"/>
      <c r="F22" s="65" t="s">
        <v>30</v>
      </c>
      <c r="G22" s="43"/>
      <c r="H22" s="190" t="s">
        <v>31</v>
      </c>
      <c r="I22" s="191"/>
      <c r="J22" s="192"/>
      <c r="K22" s="44"/>
      <c r="L22" s="50"/>
      <c r="M22" s="50"/>
      <c r="N22" s="50"/>
      <c r="O22" s="50"/>
    </row>
    <row r="23" spans="2:15" ht="12.6" customHeight="1">
      <c r="B23" s="4"/>
      <c r="C23" s="5"/>
      <c r="D23" s="6"/>
      <c r="E23" s="5"/>
      <c r="F23" s="7"/>
      <c r="G23" s="33"/>
      <c r="H23" s="33"/>
      <c r="I23" s="33"/>
      <c r="J23" s="33"/>
      <c r="K23" s="33"/>
      <c r="L23" s="51"/>
      <c r="M23" s="51"/>
      <c r="N23" s="51"/>
      <c r="O23" s="51"/>
    </row>
    <row r="24" spans="2:15" ht="18.75">
      <c r="B24" s="4"/>
      <c r="C24" s="5"/>
      <c r="D24" s="6"/>
      <c r="E24" s="5"/>
      <c r="F24" s="7"/>
      <c r="G24" s="34" t="s">
        <v>32</v>
      </c>
    </row>
    <row r="25" spans="2:15" ht="18.75">
      <c r="B25" s="4"/>
      <c r="D25" s="6"/>
      <c r="E25" s="5"/>
      <c r="F25" s="7"/>
      <c r="G25" s="35" t="s">
        <v>33</v>
      </c>
    </row>
    <row r="26" spans="2:15" ht="18.75">
      <c r="C26" s="41" t="s">
        <v>34</v>
      </c>
      <c r="D26" s="5"/>
      <c r="E26" s="9" t="s">
        <v>35</v>
      </c>
      <c r="F26" s="9" t="s">
        <v>36</v>
      </c>
      <c r="G26" s="35" t="s">
        <v>37</v>
      </c>
    </row>
    <row r="27" spans="2:15" ht="18.75">
      <c r="B27" s="5"/>
      <c r="G27" s="8" t="s">
        <v>38</v>
      </c>
    </row>
  </sheetData>
  <mergeCells count="21">
    <mergeCell ref="E12:E13"/>
    <mergeCell ref="J3:M5"/>
    <mergeCell ref="N3:O3"/>
    <mergeCell ref="N4:O4"/>
    <mergeCell ref="N5:O5"/>
    <mergeCell ref="H22:J22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</mergeCells>
  <conditionalFormatting sqref="C14:C21">
    <cfRule type="duplicateValues" dxfId="324" priority="1"/>
    <cfRule type="duplicateValues" dxfId="323" priority="2"/>
    <cfRule type="duplicateValues" dxfId="322" priority="3"/>
    <cfRule type="duplicateValues" dxfId="321" priority="4"/>
    <cfRule type="duplicateValues" dxfId="320" priority="5"/>
    <cfRule type="duplicateValues" dxfId="319" priority="6"/>
    <cfRule type="duplicateValues" dxfId="318" priority="7"/>
    <cfRule type="duplicateValues" dxfId="317" priority="8"/>
    <cfRule type="duplicateValues" dxfId="316" priority="9"/>
    <cfRule type="duplicateValues" dxfId="315" priority="10"/>
    <cfRule type="duplicateValues" dxfId="314" priority="11"/>
    <cfRule type="duplicateValues" dxfId="313" priority="12"/>
    <cfRule type="duplicateValues" dxfId="312" priority="13"/>
    <cfRule type="duplicateValues" dxfId="311" priority="14"/>
    <cfRule type="duplicateValues" dxfId="310" priority="15"/>
    <cfRule type="duplicateValues" dxfId="309" priority="16"/>
    <cfRule type="duplicateValues" dxfId="308" priority="17"/>
    <cfRule type="duplicateValues" dxfId="307" priority="18"/>
    <cfRule type="duplicateValues" dxfId="306" priority="19"/>
    <cfRule type="duplicateValues" dxfId="305" priority="20"/>
    <cfRule type="duplicateValues" dxfId="304" priority="21"/>
    <cfRule type="duplicateValues" dxfId="303" priority="22"/>
    <cfRule type="duplicateValues" dxfId="302" priority="23"/>
    <cfRule type="duplicateValues" dxfId="301" priority="24"/>
    <cfRule type="duplicateValues" dxfId="300" priority="25"/>
    <cfRule type="duplicateValues" dxfId="299" priority="26"/>
    <cfRule type="duplicateValues" dxfId="298" priority="27"/>
    <cfRule type="duplicateValues" dxfId="297" priority="28"/>
    <cfRule type="duplicateValues" dxfId="296" priority="29"/>
    <cfRule type="duplicateValues" dxfId="295" priority="30"/>
    <cfRule type="duplicateValues" dxfId="294" priority="31"/>
    <cfRule type="duplicateValues" dxfId="293" priority="32"/>
    <cfRule type="duplicateValues" dxfId="292" priority="33"/>
    <cfRule type="duplicateValues" dxfId="291" priority="34"/>
    <cfRule type="duplicateValues" dxfId="290" priority="35"/>
    <cfRule type="duplicateValues" dxfId="289" priority="36"/>
    <cfRule type="duplicateValues" dxfId="288" priority="37"/>
    <cfRule type="duplicateValues" dxfId="287" priority="38"/>
    <cfRule type="duplicateValues" dxfId="286" priority="39"/>
    <cfRule type="duplicateValues" dxfId="285" priority="40"/>
    <cfRule type="duplicateValues" dxfId="284" priority="41"/>
    <cfRule type="duplicateValues" dxfId="283" priority="42"/>
    <cfRule type="duplicateValues" dxfId="282" priority="43"/>
    <cfRule type="duplicateValues" dxfId="281" priority="44"/>
    <cfRule type="duplicateValues" dxfId="280" priority="45"/>
    <cfRule type="duplicateValues" dxfId="279" priority="46"/>
    <cfRule type="duplicateValues" dxfId="278" priority="47"/>
    <cfRule type="duplicateValues" dxfId="277" priority="48"/>
    <cfRule type="duplicateValues" dxfId="276" priority="49"/>
    <cfRule type="duplicateValues" dxfId="275" priority="50"/>
    <cfRule type="duplicateValues" dxfId="274" priority="51"/>
    <cfRule type="duplicateValues" dxfId="273" priority="52"/>
    <cfRule type="duplicateValues" dxfId="272" priority="53"/>
    <cfRule type="duplicateValues" dxfId="271" priority="54"/>
    <cfRule type="duplicateValues" dxfId="270" priority="55"/>
    <cfRule type="duplicateValues" dxfId="269" priority="56"/>
    <cfRule type="duplicateValues" dxfId="268" priority="57"/>
    <cfRule type="duplicateValues" dxfId="267" priority="58"/>
    <cfRule type="duplicateValues" dxfId="266" priority="59"/>
    <cfRule type="duplicateValues" dxfId="265" priority="60"/>
    <cfRule type="duplicateValues" dxfId="264" priority="61"/>
    <cfRule type="duplicateValues" dxfId="263" priority="62"/>
    <cfRule type="duplicateValues" dxfId="262" priority="63"/>
    <cfRule type="duplicateValues" dxfId="261" priority="64"/>
    <cfRule type="duplicateValues" dxfId="260" priority="65"/>
    <cfRule type="duplicateValues" dxfId="259" priority="66"/>
    <cfRule type="duplicateValues" dxfId="258" priority="67"/>
    <cfRule type="duplicateValues" dxfId="257" priority="68"/>
    <cfRule type="duplicateValues" dxfId="256" priority="69"/>
    <cfRule type="duplicateValues" dxfId="255" priority="70"/>
    <cfRule type="duplicateValues" dxfId="254" priority="71"/>
    <cfRule type="duplicateValues" dxfId="253" priority="72"/>
    <cfRule type="duplicateValues" dxfId="252" priority="73"/>
    <cfRule type="duplicateValues" dxfId="251" priority="74"/>
    <cfRule type="duplicateValues" dxfId="250" priority="75"/>
    <cfRule type="duplicateValues" dxfId="249" priority="76"/>
    <cfRule type="duplicateValues" dxfId="248" priority="77"/>
    <cfRule type="duplicateValues" dxfId="247" priority="78"/>
    <cfRule type="duplicateValues" dxfId="246" priority="79"/>
    <cfRule type="duplicateValues" dxfId="245" priority="80"/>
    <cfRule type="duplicateValues" dxfId="244" priority="81"/>
    <cfRule type="duplicateValues" dxfId="243" priority="82"/>
    <cfRule type="duplicateValues" dxfId="242" priority="83"/>
    <cfRule type="duplicateValues" dxfId="241" priority="84"/>
    <cfRule type="duplicateValues" dxfId="240" priority="85"/>
    <cfRule type="duplicateValues" dxfId="239" priority="86"/>
    <cfRule type="duplicateValues" dxfId="238" priority="87"/>
    <cfRule type="duplicateValues" dxfId="237" priority="88"/>
    <cfRule type="duplicateValues" dxfId="236" priority="89"/>
  </conditionalFormatting>
  <pageMargins left="0.45" right="0.17" top="0.37" bottom="0.41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7"/>
  <dimension ref="B1:O39"/>
  <sheetViews>
    <sheetView zoomScale="70" zoomScaleNormal="70" workbookViewId="0">
      <selection activeCell="D11" sqref="D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44</v>
      </c>
      <c r="F9" s="60"/>
      <c r="G9" s="54" t="str">
        <f>B9</f>
        <v>- Thời gian:</v>
      </c>
      <c r="H9" s="40"/>
      <c r="I9" s="53" t="str">
        <f>D9</f>
        <v>S18/8/2026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84"/>
      <c r="F11" s="39"/>
      <c r="G11" s="54" t="s">
        <v>22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S18/8/2026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29</v>
      </c>
      <c r="D34" s="6"/>
      <c r="E34" s="5"/>
      <c r="F34" s="65" t="s">
        <v>30</v>
      </c>
      <c r="G34" s="43"/>
      <c r="H34" s="190" t="s">
        <v>31</v>
      </c>
      <c r="I34" s="191"/>
      <c r="J34" s="192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32</v>
      </c>
    </row>
    <row r="37" spans="2:15" ht="18.75">
      <c r="B37" s="4"/>
      <c r="D37" s="6"/>
      <c r="E37" s="5"/>
      <c r="F37" s="7"/>
      <c r="G37" s="35" t="s">
        <v>33</v>
      </c>
    </row>
    <row r="38" spans="2:15" ht="18.75">
      <c r="C38" s="41" t="s">
        <v>34</v>
      </c>
      <c r="D38" s="5"/>
      <c r="E38" s="9" t="s">
        <v>35</v>
      </c>
      <c r="F38" s="9" t="s">
        <v>36</v>
      </c>
      <c r="G38" s="35" t="s">
        <v>37</v>
      </c>
    </row>
    <row r="39" spans="2:15" ht="18.75">
      <c r="B39" s="5"/>
      <c r="G39" s="8" t="s">
        <v>38</v>
      </c>
    </row>
  </sheetData>
  <mergeCells count="22">
    <mergeCell ref="N4:O4"/>
    <mergeCell ref="N5:O5"/>
    <mergeCell ref="B2:D5"/>
    <mergeCell ref="E2:F5"/>
    <mergeCell ref="G2:I5"/>
    <mergeCell ref="N2:O2"/>
    <mergeCell ref="J3:M5"/>
    <mergeCell ref="N3:O3"/>
    <mergeCell ref="H34:J34"/>
    <mergeCell ref="B11:C11"/>
    <mergeCell ref="G6:O6"/>
    <mergeCell ref="B12:B13"/>
    <mergeCell ref="C12:C13"/>
    <mergeCell ref="D12:D13"/>
    <mergeCell ref="E12:E13"/>
    <mergeCell ref="F12:F13"/>
    <mergeCell ref="G12:G13"/>
    <mergeCell ref="H12:H13"/>
    <mergeCell ref="I12:J13"/>
    <mergeCell ref="K12:K13"/>
    <mergeCell ref="O12:O13"/>
    <mergeCell ref="D7:F7"/>
  </mergeCells>
  <conditionalFormatting sqref="C14:C33">
    <cfRule type="duplicateValues" dxfId="235" priority="61" stopIfTrue="1"/>
    <cfRule type="expression" dxfId="234" priority="62" stopIfTrue="1">
      <formula>AND(COUNTIF($C$1:$C$1284, C14)+COUNTIF($C$1286:$C$65367, C14)&gt;1,NOT(ISBLANK(C14)))</formula>
    </cfRule>
    <cfRule type="expression" dxfId="233" priority="63" stopIfTrue="1">
      <formula>AND(COUNTIF($C$1:$C$1287, C14)+COUNTIF($C$1288:$C$65367, C14)&gt;1,NOT(ISBLANK(C14)))</formula>
    </cfRule>
    <cfRule type="expression" dxfId="232" priority="64" stopIfTrue="1">
      <formula>AND(COUNTIF($C$1:$C$1393, C14)+COUNTIF($C$1406:$C$65367, C14)&gt;1,NOT(ISBLANK(C14)))</formula>
    </cfRule>
  </conditionalFormatting>
  <pageMargins left="0.59" right="0.17" top="0.37" bottom="0.41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18"/>
  <dimension ref="B1:O39"/>
  <sheetViews>
    <sheetView zoomScale="70" zoomScaleNormal="70" workbookViewId="0">
      <selection activeCell="D11" sqref="D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42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44</v>
      </c>
      <c r="F9" s="60"/>
      <c r="G9" s="54" t="str">
        <f>B9</f>
        <v>- Thời gian:</v>
      </c>
      <c r="H9" s="40"/>
      <c r="I9" s="53" t="str">
        <f>D9</f>
        <v>S18/8/2026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84"/>
      <c r="F11" s="39"/>
      <c r="G11" s="54" t="s">
        <v>22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S18/8/2026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29</v>
      </c>
      <c r="D34" s="6"/>
      <c r="E34" s="5"/>
      <c r="F34" s="65" t="s">
        <v>30</v>
      </c>
      <c r="G34" s="43"/>
      <c r="H34" s="190" t="s">
        <v>31</v>
      </c>
      <c r="I34" s="191"/>
      <c r="J34" s="192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32</v>
      </c>
    </row>
    <row r="37" spans="2:15" ht="18.75">
      <c r="B37" s="4"/>
      <c r="D37" s="6"/>
      <c r="E37" s="5"/>
      <c r="F37" s="7"/>
      <c r="G37" s="35" t="s">
        <v>33</v>
      </c>
    </row>
    <row r="38" spans="2:15" ht="18.75">
      <c r="C38" s="41" t="s">
        <v>34</v>
      </c>
      <c r="D38" s="5"/>
      <c r="E38" s="9" t="s">
        <v>35</v>
      </c>
      <c r="F38" s="9" t="s">
        <v>36</v>
      </c>
      <c r="G38" s="35" t="s">
        <v>37</v>
      </c>
    </row>
    <row r="39" spans="2:15" ht="18.75">
      <c r="B39" s="5"/>
      <c r="G39" s="8" t="s">
        <v>38</v>
      </c>
    </row>
  </sheetData>
  <mergeCells count="22">
    <mergeCell ref="N4:O4"/>
    <mergeCell ref="N5:O5"/>
    <mergeCell ref="B2:D5"/>
    <mergeCell ref="E2:F5"/>
    <mergeCell ref="G2:I5"/>
    <mergeCell ref="N2:O2"/>
    <mergeCell ref="J3:M5"/>
    <mergeCell ref="N3:O3"/>
    <mergeCell ref="H34:J34"/>
    <mergeCell ref="B11:C11"/>
    <mergeCell ref="G6:O6"/>
    <mergeCell ref="B12:B13"/>
    <mergeCell ref="C12:C13"/>
    <mergeCell ref="D12:D13"/>
    <mergeCell ref="E12:E13"/>
    <mergeCell ref="F12:F13"/>
    <mergeCell ref="G12:G13"/>
    <mergeCell ref="H12:H13"/>
    <mergeCell ref="I12:J13"/>
    <mergeCell ref="K12:K13"/>
    <mergeCell ref="O12:O13"/>
    <mergeCell ref="D7:F7"/>
  </mergeCells>
  <conditionalFormatting sqref="C14:C33">
    <cfRule type="duplicateValues" dxfId="231" priority="57" stopIfTrue="1"/>
    <cfRule type="expression" dxfId="230" priority="58" stopIfTrue="1">
      <formula>AND(COUNTIF($C$1:$C$1284, C14)+COUNTIF($C$1286:$C$65367, C14)&gt;1,NOT(ISBLANK(C14)))</formula>
    </cfRule>
    <cfRule type="expression" dxfId="229" priority="59" stopIfTrue="1">
      <formula>AND(COUNTIF($C$1:$C$1287, C14)+COUNTIF($C$1288:$C$65367, C14)&gt;1,NOT(ISBLANK(C14)))</formula>
    </cfRule>
    <cfRule type="expression" dxfId="228" priority="60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26"/>
  <dimension ref="B1:O39"/>
  <sheetViews>
    <sheetView zoomScale="70" zoomScaleNormal="70" workbookViewId="0">
      <selection activeCell="D11" sqref="D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45</v>
      </c>
      <c r="F9" s="60"/>
      <c r="G9" s="54" t="str">
        <f>B9</f>
        <v>- Thời gian:</v>
      </c>
      <c r="H9" s="40"/>
      <c r="I9" s="53" t="str">
        <f>D9</f>
        <v>C18/8/2026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84"/>
      <c r="F11" s="39"/>
      <c r="G11" s="54" t="s">
        <v>22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C18/8/2026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29</v>
      </c>
      <c r="D34" s="6"/>
      <c r="E34" s="5"/>
      <c r="F34" s="65" t="s">
        <v>30</v>
      </c>
      <c r="G34" s="43"/>
      <c r="H34" s="190" t="s">
        <v>31</v>
      </c>
      <c r="I34" s="191"/>
      <c r="J34" s="192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32</v>
      </c>
    </row>
    <row r="37" spans="2:15" ht="18.75">
      <c r="B37" s="4"/>
      <c r="D37" s="6"/>
      <c r="E37" s="5"/>
      <c r="F37" s="7"/>
      <c r="G37" s="35" t="s">
        <v>33</v>
      </c>
    </row>
    <row r="38" spans="2:15" ht="18.75">
      <c r="C38" s="41" t="s">
        <v>34</v>
      </c>
      <c r="D38" s="5"/>
      <c r="E38" s="9" t="s">
        <v>35</v>
      </c>
      <c r="F38" s="9" t="s">
        <v>36</v>
      </c>
      <c r="G38" s="35" t="s">
        <v>37</v>
      </c>
    </row>
    <row r="39" spans="2:15" ht="18.75">
      <c r="B39" s="5"/>
      <c r="G39" s="8" t="s">
        <v>38</v>
      </c>
    </row>
  </sheetData>
  <mergeCells count="22">
    <mergeCell ref="N4:O4"/>
    <mergeCell ref="N5:O5"/>
    <mergeCell ref="B2:D5"/>
    <mergeCell ref="E2:F5"/>
    <mergeCell ref="G2:I5"/>
    <mergeCell ref="N2:O2"/>
    <mergeCell ref="J3:M5"/>
    <mergeCell ref="N3:O3"/>
    <mergeCell ref="H34:J34"/>
    <mergeCell ref="B11:C11"/>
    <mergeCell ref="G6:O6"/>
    <mergeCell ref="B12:B13"/>
    <mergeCell ref="C12:C13"/>
    <mergeCell ref="D12:D13"/>
    <mergeCell ref="E12:E13"/>
    <mergeCell ref="F12:F13"/>
    <mergeCell ref="G12:G13"/>
    <mergeCell ref="H12:H13"/>
    <mergeCell ref="I12:J13"/>
    <mergeCell ref="K12:K13"/>
    <mergeCell ref="O12:O13"/>
    <mergeCell ref="D7:F7"/>
  </mergeCells>
  <conditionalFormatting sqref="C14:C33">
    <cfRule type="duplicateValues" dxfId="227" priority="53" stopIfTrue="1"/>
    <cfRule type="expression" dxfId="226" priority="54" stopIfTrue="1">
      <formula>AND(COUNTIF($C$1:$C$1284, C14)+COUNTIF($C$1286:$C$65367, C14)&gt;1,NOT(ISBLANK(C14)))</formula>
    </cfRule>
    <cfRule type="expression" dxfId="225" priority="55" stopIfTrue="1">
      <formula>AND(COUNTIF($C$1:$C$1287, C14)+COUNTIF($C$1288:$C$65367, C14)&gt;1,NOT(ISBLANK(C14)))</formula>
    </cfRule>
    <cfRule type="expression" dxfId="224" priority="56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B1:O39"/>
  <sheetViews>
    <sheetView zoomScale="70" zoomScaleNormal="70" workbookViewId="0">
      <selection activeCell="D11" sqref="D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45</v>
      </c>
      <c r="F9" s="60"/>
      <c r="G9" s="54" t="str">
        <f>B9</f>
        <v>- Thời gian:</v>
      </c>
      <c r="H9" s="40"/>
      <c r="I9" s="53" t="str">
        <f>D9</f>
        <v>C18/8/2026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84"/>
      <c r="F11" s="39"/>
      <c r="G11" s="54" t="s">
        <v>22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C18/8/2026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29</v>
      </c>
      <c r="D34" s="6"/>
      <c r="E34" s="5"/>
      <c r="F34" s="65" t="s">
        <v>30</v>
      </c>
      <c r="G34" s="43"/>
      <c r="H34" s="190" t="s">
        <v>31</v>
      </c>
      <c r="I34" s="191"/>
      <c r="J34" s="192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32</v>
      </c>
    </row>
    <row r="37" spans="2:15" ht="18.75">
      <c r="B37" s="4"/>
      <c r="D37" s="6"/>
      <c r="E37" s="5"/>
      <c r="F37" s="7"/>
      <c r="G37" s="35" t="s">
        <v>33</v>
      </c>
    </row>
    <row r="38" spans="2:15" ht="18.75">
      <c r="C38" s="41" t="s">
        <v>34</v>
      </c>
      <c r="D38" s="5"/>
      <c r="E38" s="9" t="s">
        <v>35</v>
      </c>
      <c r="F38" s="9" t="s">
        <v>36</v>
      </c>
      <c r="G38" s="35" t="s">
        <v>37</v>
      </c>
    </row>
    <row r="39" spans="2:15" ht="18.75">
      <c r="B39" s="5"/>
      <c r="G39" s="8" t="s">
        <v>38</v>
      </c>
    </row>
  </sheetData>
  <mergeCells count="22">
    <mergeCell ref="N4:O4"/>
    <mergeCell ref="N5:O5"/>
    <mergeCell ref="B2:D5"/>
    <mergeCell ref="E2:F5"/>
    <mergeCell ref="G2:I5"/>
    <mergeCell ref="N2:O2"/>
    <mergeCell ref="J3:M5"/>
    <mergeCell ref="N3:O3"/>
    <mergeCell ref="H34:J34"/>
    <mergeCell ref="B11:C11"/>
    <mergeCell ref="G6:O6"/>
    <mergeCell ref="B12:B13"/>
    <mergeCell ref="C12:C13"/>
    <mergeCell ref="D12:D13"/>
    <mergeCell ref="E12:E13"/>
    <mergeCell ref="F12:F13"/>
    <mergeCell ref="G12:G13"/>
    <mergeCell ref="H12:H13"/>
    <mergeCell ref="I12:J13"/>
    <mergeCell ref="K12:K13"/>
    <mergeCell ref="O12:O13"/>
    <mergeCell ref="D7:F7"/>
  </mergeCells>
  <conditionalFormatting sqref="C14:C33">
    <cfRule type="duplicateValues" dxfId="223" priority="49" stopIfTrue="1"/>
    <cfRule type="expression" dxfId="222" priority="50" stopIfTrue="1">
      <formula>AND(COUNTIF($C$1:$C$1284, C14)+COUNTIF($C$1286:$C$65367, C14)&gt;1,NOT(ISBLANK(C14)))</formula>
    </cfRule>
    <cfRule type="expression" dxfId="221" priority="51" stopIfTrue="1">
      <formula>AND(COUNTIF($C$1:$C$1287, C14)+COUNTIF($C$1288:$C$65367, C14)&gt;1,NOT(ISBLANK(C14)))</formula>
    </cfRule>
    <cfRule type="expression" dxfId="220" priority="52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B1:O40"/>
  <sheetViews>
    <sheetView zoomScale="70" zoomScaleNormal="70" workbookViewId="0">
      <selection activeCell="C14" sqref="C14:F34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16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39</v>
      </c>
      <c r="F9" s="60"/>
      <c r="G9" s="54" t="str">
        <f>B9</f>
        <v>- Thời gian:</v>
      </c>
      <c r="H9" s="40"/>
      <c r="I9" s="53" t="str">
        <f>D9</f>
        <v>C17/8/2026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20</v>
      </c>
      <c r="F10" s="39"/>
      <c r="G10" s="54" t="str">
        <f>B10</f>
        <v>- Địa điểm:</v>
      </c>
      <c r="H10" s="40"/>
      <c r="I10" s="48" t="str">
        <f>D10</f>
        <v>VNBA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COUNTIF($L$14:$L48,"x")&amp;"/"&amp;COUNTA($L$14:$L48)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C17/8/2026</v>
      </c>
      <c r="M13" s="15"/>
      <c r="N13" s="15"/>
      <c r="O13" s="189"/>
    </row>
    <row r="14" spans="2:15" ht="22.15" customHeight="1">
      <c r="B14" s="17">
        <f>ROW()-13</f>
        <v>1</v>
      </c>
      <c r="C14" s="122"/>
      <c r="D14" s="143"/>
      <c r="E14" s="122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122"/>
      <c r="D15" s="143"/>
      <c r="E15" s="122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122"/>
      <c r="D16" s="143"/>
      <c r="E16" s="122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122"/>
      <c r="D17" s="143"/>
      <c r="E17" s="122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122"/>
      <c r="D18" s="143"/>
      <c r="E18" s="122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122"/>
      <c r="D19" s="143"/>
      <c r="E19" s="122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122"/>
      <c r="D20" s="143"/>
      <c r="E20" s="122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122"/>
      <c r="D21" s="143"/>
      <c r="E21" s="122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122"/>
      <c r="D22" s="143"/>
      <c r="E22" s="122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122"/>
      <c r="D23" s="143"/>
      <c r="E23" s="122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122"/>
      <c r="D24" s="143"/>
      <c r="E24" s="122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122"/>
      <c r="D25" s="143"/>
      <c r="E25" s="122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122"/>
      <c r="D26" s="143"/>
      <c r="E26" s="122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122"/>
      <c r="D27" s="143"/>
      <c r="E27" s="122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122"/>
      <c r="D28" s="143"/>
      <c r="E28" s="122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144"/>
      <c r="D29" s="145"/>
      <c r="E29" s="122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146"/>
      <c r="D30" s="147"/>
      <c r="E30" s="122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9"/>
      <c r="D31" s="148"/>
      <c r="E31" s="122"/>
      <c r="F31" s="28"/>
      <c r="G31" s="17">
        <f t="shared" ref="G31:I34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144"/>
      <c r="D32" s="149"/>
      <c r="E32" s="122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144"/>
      <c r="D33" s="150"/>
      <c r="E33" s="122"/>
      <c r="F33" s="27"/>
      <c r="G33" s="17">
        <f>B33</f>
        <v>20</v>
      </c>
      <c r="H33" s="52">
        <f>C33</f>
        <v>0</v>
      </c>
      <c r="I33" s="70">
        <f t="shared" ref="I33" si="14">D33</f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>ROW()-13</f>
        <v>21</v>
      </c>
      <c r="C34" s="168"/>
      <c r="D34" s="169"/>
      <c r="E34" s="170"/>
      <c r="F34" s="142"/>
      <c r="G34" s="17">
        <f>B34</f>
        <v>21</v>
      </c>
      <c r="H34" s="52">
        <f>C34</f>
        <v>0</v>
      </c>
      <c r="I34" s="70">
        <f t="shared" si="13"/>
        <v>0</v>
      </c>
      <c r="J34" s="71"/>
      <c r="K34" s="16">
        <f>E34</f>
        <v>0</v>
      </c>
      <c r="L34" s="29"/>
      <c r="M34" s="13"/>
      <c r="N34" s="14"/>
      <c r="O34" s="15"/>
    </row>
    <row r="35" spans="2:15" ht="34.15" customHeight="1">
      <c r="B35" s="4"/>
      <c r="C35" s="64" t="s">
        <v>29</v>
      </c>
      <c r="D35" s="6"/>
      <c r="E35" s="5"/>
      <c r="F35" s="65" t="s">
        <v>30</v>
      </c>
      <c r="G35" s="43"/>
      <c r="H35" s="190" t="s">
        <v>31</v>
      </c>
      <c r="I35" s="191"/>
      <c r="J35" s="192"/>
      <c r="K35" s="44"/>
      <c r="L35" s="50"/>
      <c r="M35" s="50"/>
      <c r="N35" s="50"/>
      <c r="O35" s="50"/>
    </row>
    <row r="36" spans="2:15" ht="12.6" customHeight="1">
      <c r="B36" s="4"/>
      <c r="C36" s="5"/>
      <c r="D36" s="6"/>
      <c r="E36" s="5"/>
      <c r="F36" s="7"/>
      <c r="G36" s="33"/>
      <c r="H36" s="33"/>
      <c r="I36" s="33"/>
      <c r="J36" s="33"/>
      <c r="K36" s="33"/>
      <c r="L36" s="51"/>
      <c r="M36" s="51"/>
      <c r="N36" s="51"/>
      <c r="O36" s="51"/>
    </row>
    <row r="37" spans="2:15" ht="18.75">
      <c r="B37" s="4"/>
      <c r="C37" s="5"/>
      <c r="D37" s="6"/>
      <c r="E37" s="5"/>
      <c r="F37" s="7"/>
      <c r="G37" s="34" t="s">
        <v>32</v>
      </c>
    </row>
    <row r="38" spans="2:15" ht="18.75">
      <c r="B38" s="4"/>
      <c r="D38" s="6"/>
      <c r="E38" s="5"/>
      <c r="F38" s="7"/>
      <c r="G38" s="35" t="s">
        <v>33</v>
      </c>
    </row>
    <row r="39" spans="2:15" ht="18.75">
      <c r="C39" s="41" t="s">
        <v>34</v>
      </c>
      <c r="D39" s="5"/>
      <c r="E39" s="9" t="s">
        <v>35</v>
      </c>
      <c r="F39" s="9" t="s">
        <v>36</v>
      </c>
      <c r="G39" s="35" t="s">
        <v>37</v>
      </c>
    </row>
    <row r="40" spans="2:15" ht="18.75">
      <c r="B40" s="5"/>
      <c r="G40" s="8" t="s">
        <v>38</v>
      </c>
    </row>
  </sheetData>
  <mergeCells count="22">
    <mergeCell ref="N4:O4"/>
    <mergeCell ref="N5:O5"/>
    <mergeCell ref="G6:O6"/>
    <mergeCell ref="I12:J13"/>
    <mergeCell ref="K12:K13"/>
    <mergeCell ref="O12:O13"/>
    <mergeCell ref="G2:I5"/>
    <mergeCell ref="N2:O2"/>
    <mergeCell ref="J3:M5"/>
    <mergeCell ref="N3:O3"/>
    <mergeCell ref="G12:G13"/>
    <mergeCell ref="H12:H13"/>
    <mergeCell ref="B11:C11"/>
    <mergeCell ref="B2:D5"/>
    <mergeCell ref="E2:F5"/>
    <mergeCell ref="H35:J35"/>
    <mergeCell ref="B12:B13"/>
    <mergeCell ref="C12:C13"/>
    <mergeCell ref="D12:D13"/>
    <mergeCell ref="E12:E13"/>
    <mergeCell ref="F12:F13"/>
    <mergeCell ref="D7:F7"/>
  </mergeCells>
  <conditionalFormatting sqref="C14:C23">
    <cfRule type="duplicateValues" dxfId="219" priority="18"/>
    <cfRule type="duplicateValues" dxfId="218" priority="19"/>
    <cfRule type="duplicateValues" dxfId="217" priority="20"/>
    <cfRule type="duplicateValues" dxfId="216" priority="21"/>
  </conditionalFormatting>
  <conditionalFormatting sqref="C14:C28">
    <cfRule type="duplicateValues" dxfId="215" priority="22"/>
  </conditionalFormatting>
  <conditionalFormatting sqref="C24:C28">
    <cfRule type="duplicateValues" dxfId="214" priority="10"/>
    <cfRule type="duplicateValues" dxfId="213" priority="11"/>
    <cfRule type="duplicateValues" dxfId="212" priority="12"/>
    <cfRule type="duplicateValues" dxfId="211" priority="13"/>
    <cfRule type="duplicateValues" dxfId="210" priority="14"/>
    <cfRule type="duplicateValues" dxfId="209" priority="15"/>
    <cfRule type="duplicateValues" dxfId="208" priority="16"/>
    <cfRule type="duplicateValues" dxfId="207" priority="17"/>
  </conditionalFormatting>
  <conditionalFormatting sqref="C30">
    <cfRule type="duplicateValues" dxfId="206" priority="1"/>
    <cfRule type="duplicateValues" dxfId="205" priority="2"/>
    <cfRule type="duplicateValues" dxfId="204" priority="3"/>
    <cfRule type="duplicateValues" dxfId="203" priority="4"/>
    <cfRule type="duplicateValues" dxfId="202" priority="5"/>
  </conditionalFormatting>
  <conditionalFormatting sqref="D29">
    <cfRule type="duplicateValues" dxfId="201" priority="8"/>
  </conditionalFormatting>
  <conditionalFormatting sqref="D30">
    <cfRule type="duplicateValues" dxfId="200" priority="6"/>
    <cfRule type="duplicateValues" dxfId="199" priority="7"/>
  </conditionalFormatting>
  <conditionalFormatting sqref="D33:D34">
    <cfRule type="duplicateValues" dxfId="198" priority="9"/>
  </conditionalFormatting>
  <pageMargins left="0.45" right="0.17" top="0.37" bottom="0.41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B1:O37"/>
  <sheetViews>
    <sheetView zoomScale="70" zoomScaleNormal="70" workbookViewId="0">
      <selection activeCell="C14" sqref="C14:E3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16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45</v>
      </c>
      <c r="F9" s="60"/>
      <c r="G9" s="54" t="str">
        <f>B9</f>
        <v>- Thời gian:</v>
      </c>
      <c r="H9" s="40"/>
      <c r="I9" s="53" t="str">
        <f>D9</f>
        <v>C18/8/2026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20</v>
      </c>
      <c r="F10" s="39"/>
      <c r="G10" s="54" t="str">
        <f>B10</f>
        <v>- Địa điểm:</v>
      </c>
      <c r="H10" s="40"/>
      <c r="I10" s="48" t="str">
        <f>D10</f>
        <v>VNBA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COUNTIF($L$14:$L45,"x")&amp;"/"&amp;COUNTA($L$14:$L45)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C18/8/2026</v>
      </c>
      <c r="M13" s="15"/>
      <c r="N13" s="15"/>
      <c r="O13" s="189"/>
    </row>
    <row r="14" spans="2:15" ht="22.15" customHeight="1">
      <c r="B14" s="17">
        <f>ROW()-13</f>
        <v>1</v>
      </c>
      <c r="C14" s="151"/>
      <c r="D14" s="152"/>
      <c r="E14" s="143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151"/>
      <c r="D15" s="152"/>
      <c r="E15" s="143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151"/>
      <c r="D16" s="152"/>
      <c r="E16" s="143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151"/>
      <c r="D17" s="152"/>
      <c r="E17" s="143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151"/>
      <c r="D18" s="152"/>
      <c r="E18" s="143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17"/>
      <c r="D19" s="152"/>
      <c r="E19" s="143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17"/>
      <c r="D20" s="152"/>
      <c r="E20" s="143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17"/>
      <c r="D21" s="152"/>
      <c r="E21" s="143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122"/>
      <c r="D22" s="153"/>
      <c r="E22" s="143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122"/>
      <c r="D23" s="153"/>
      <c r="E23" s="143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122"/>
      <c r="D24" s="153"/>
      <c r="E24" s="143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122"/>
      <c r="D25" s="143"/>
      <c r="E25" s="143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122"/>
      <c r="D26" s="143"/>
      <c r="E26" s="143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122"/>
      <c r="D27" s="143"/>
      <c r="E27" s="143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122"/>
      <c r="D28" s="143"/>
      <c r="E28" s="143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122"/>
      <c r="D29" s="143"/>
      <c r="E29" s="143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122"/>
      <c r="D30" s="143"/>
      <c r="E30" s="143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" si="12">ROW()-13</f>
        <v>18</v>
      </c>
      <c r="C31" s="122"/>
      <c r="D31" s="143"/>
      <c r="E31" s="143"/>
      <c r="F31" s="28"/>
      <c r="G31" s="17">
        <f t="shared" ref="G31:I31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34.15" customHeight="1">
      <c r="B32" s="4"/>
      <c r="C32" s="64" t="s">
        <v>29</v>
      </c>
      <c r="D32" s="6"/>
      <c r="E32" s="5"/>
      <c r="F32" s="65" t="s">
        <v>30</v>
      </c>
      <c r="G32" s="43"/>
      <c r="H32" s="190" t="s">
        <v>31</v>
      </c>
      <c r="I32" s="191"/>
      <c r="J32" s="192"/>
      <c r="K32" s="44"/>
      <c r="L32" s="50"/>
      <c r="M32" s="50"/>
      <c r="N32" s="50"/>
      <c r="O32" s="50"/>
    </row>
    <row r="33" spans="2:15" ht="12.6" customHeight="1">
      <c r="B33" s="4"/>
      <c r="C33" s="5"/>
      <c r="D33" s="6"/>
      <c r="E33" s="5"/>
      <c r="F33" s="7"/>
      <c r="G33" s="33"/>
      <c r="H33" s="33"/>
      <c r="I33" s="33"/>
      <c r="J33" s="33"/>
      <c r="K33" s="33"/>
      <c r="L33" s="51"/>
      <c r="M33" s="51"/>
      <c r="N33" s="51"/>
      <c r="O33" s="51"/>
    </row>
    <row r="34" spans="2:15" ht="18.75">
      <c r="B34" s="4"/>
      <c r="C34" s="5"/>
      <c r="D34" s="6"/>
      <c r="E34" s="5"/>
      <c r="F34" s="7"/>
      <c r="G34" s="34" t="s">
        <v>32</v>
      </c>
    </row>
    <row r="35" spans="2:15" ht="18.75">
      <c r="B35" s="4"/>
      <c r="D35" s="6"/>
      <c r="E35" s="5"/>
      <c r="F35" s="7"/>
      <c r="G35" s="35" t="s">
        <v>33</v>
      </c>
    </row>
    <row r="36" spans="2:15" ht="18.75">
      <c r="C36" s="41" t="s">
        <v>34</v>
      </c>
      <c r="D36" s="5"/>
      <c r="E36" s="9" t="s">
        <v>35</v>
      </c>
      <c r="F36" s="9" t="s">
        <v>36</v>
      </c>
      <c r="G36" s="35" t="s">
        <v>37</v>
      </c>
    </row>
    <row r="37" spans="2:15" ht="18.75">
      <c r="B37" s="5"/>
      <c r="G37" s="8" t="s">
        <v>38</v>
      </c>
    </row>
  </sheetData>
  <mergeCells count="22">
    <mergeCell ref="N4:O4"/>
    <mergeCell ref="N5:O5"/>
    <mergeCell ref="G6:O6"/>
    <mergeCell ref="I12:J13"/>
    <mergeCell ref="K12:K13"/>
    <mergeCell ref="O12:O13"/>
    <mergeCell ref="G2:I5"/>
    <mergeCell ref="N2:O2"/>
    <mergeCell ref="J3:M5"/>
    <mergeCell ref="N3:O3"/>
    <mergeCell ref="G12:G13"/>
    <mergeCell ref="H12:H13"/>
    <mergeCell ref="B11:C11"/>
    <mergeCell ref="B2:D5"/>
    <mergeCell ref="E2:F5"/>
    <mergeCell ref="H32:J32"/>
    <mergeCell ref="B12:B13"/>
    <mergeCell ref="C12:C13"/>
    <mergeCell ref="D12:D13"/>
    <mergeCell ref="E12:E13"/>
    <mergeCell ref="F12:F13"/>
    <mergeCell ref="D7:F7"/>
  </mergeCells>
  <conditionalFormatting sqref="C14:C21">
    <cfRule type="duplicateValues" dxfId="197" priority="9"/>
    <cfRule type="duplicateValues" dxfId="196" priority="10"/>
    <cfRule type="duplicateValues" dxfId="195" priority="11"/>
  </conditionalFormatting>
  <conditionalFormatting sqref="C14:C26">
    <cfRule type="duplicateValues" dxfId="194" priority="12"/>
  </conditionalFormatting>
  <conditionalFormatting sqref="C14:C31">
    <cfRule type="duplicateValues" dxfId="193" priority="13"/>
  </conditionalFormatting>
  <conditionalFormatting sqref="C22:C26">
    <cfRule type="duplicateValues" dxfId="192" priority="14"/>
    <cfRule type="duplicateValues" dxfId="191" priority="15"/>
    <cfRule type="duplicateValues" dxfId="190" priority="16"/>
  </conditionalFormatting>
  <conditionalFormatting sqref="C27:C31">
    <cfRule type="duplicateValues" dxfId="189" priority="1"/>
    <cfRule type="duplicateValues" dxfId="188" priority="2"/>
    <cfRule type="duplicateValues" dxfId="187" priority="3"/>
    <cfRule type="duplicateValues" dxfId="186" priority="4"/>
    <cfRule type="duplicateValues" dxfId="185" priority="5"/>
    <cfRule type="duplicateValues" dxfId="184" priority="6"/>
    <cfRule type="duplicateValues" dxfId="183" priority="7"/>
    <cfRule type="duplicateValues" dxfId="182" priority="8"/>
  </conditionalFormatting>
  <pageMargins left="0.45" right="0.17" top="0.37" bottom="0.41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B1:O38"/>
  <sheetViews>
    <sheetView zoomScale="70" zoomScaleNormal="70" workbookViewId="0">
      <selection activeCell="C14" sqref="C14:E32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16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59</v>
      </c>
      <c r="F9" s="60"/>
      <c r="G9" s="54" t="str">
        <f>B9</f>
        <v>- Thời gian:</v>
      </c>
      <c r="H9" s="40"/>
      <c r="I9" s="53" t="str">
        <f>D9</f>
        <v>C21/8/2026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20</v>
      </c>
      <c r="F10" s="39"/>
      <c r="G10" s="54" t="str">
        <f>B10</f>
        <v>- Địa điểm:</v>
      </c>
      <c r="H10" s="40"/>
      <c r="I10" s="48" t="str">
        <f>D10</f>
        <v>VNBA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COUNTIF($L$14:$L46,"x")&amp;"/"&amp;COUNTA($L$14:$L46)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C21/8/2026</v>
      </c>
      <c r="M13" s="15"/>
      <c r="N13" s="15"/>
      <c r="O13" s="189"/>
    </row>
    <row r="14" spans="2:15" ht="22.15" customHeight="1">
      <c r="B14" s="17">
        <f>ROW()-13</f>
        <v>1</v>
      </c>
      <c r="C14" s="17"/>
      <c r="D14" s="152"/>
      <c r="E14" s="122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17"/>
      <c r="D15" s="152"/>
      <c r="E15" s="122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17"/>
      <c r="D16" s="152"/>
      <c r="E16" s="122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17"/>
      <c r="D17" s="152"/>
      <c r="E17" s="122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17"/>
      <c r="D18" s="152"/>
      <c r="E18" s="122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17"/>
      <c r="D19" s="152"/>
      <c r="E19" s="122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17"/>
      <c r="D20" s="152"/>
      <c r="E20" s="122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17"/>
      <c r="D21" s="152"/>
      <c r="E21" s="122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122"/>
      <c r="D22" s="143"/>
      <c r="E22" s="122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122"/>
      <c r="D23" s="143"/>
      <c r="E23" s="122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122"/>
      <c r="D24" s="143"/>
      <c r="E24" s="122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122"/>
      <c r="D25" s="143"/>
      <c r="E25" s="122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122"/>
      <c r="D26" s="143"/>
      <c r="E26" s="122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122"/>
      <c r="D27" s="143"/>
      <c r="E27" s="122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122"/>
      <c r="D28" s="143"/>
      <c r="E28" s="122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162"/>
      <c r="D29" s="116"/>
      <c r="E29" s="122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162"/>
      <c r="D30" s="116"/>
      <c r="E30" s="122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162"/>
      <c r="D31" s="116"/>
      <c r="E31" s="122"/>
      <c r="F31" s="28"/>
      <c r="G31" s="17">
        <f t="shared" ref="G31:I32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162"/>
      <c r="D32" s="116"/>
      <c r="E32" s="122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34.15" customHeight="1">
      <c r="B33" s="4"/>
      <c r="C33" s="64" t="s">
        <v>29</v>
      </c>
      <c r="D33" s="6"/>
      <c r="E33" s="5"/>
      <c r="F33" s="65" t="s">
        <v>30</v>
      </c>
      <c r="G33" s="43"/>
      <c r="H33" s="190" t="s">
        <v>31</v>
      </c>
      <c r="I33" s="191"/>
      <c r="J33" s="192"/>
      <c r="K33" s="44"/>
      <c r="L33" s="50"/>
      <c r="M33" s="50"/>
      <c r="N33" s="50"/>
      <c r="O33" s="50"/>
    </row>
    <row r="34" spans="2:15" ht="12.6" customHeight="1">
      <c r="B34" s="4"/>
      <c r="C34" s="5"/>
      <c r="D34" s="6"/>
      <c r="E34" s="5"/>
      <c r="F34" s="7"/>
      <c r="G34" s="33"/>
      <c r="H34" s="33"/>
      <c r="I34" s="33"/>
      <c r="J34" s="33"/>
      <c r="K34" s="33"/>
      <c r="L34" s="51"/>
      <c r="M34" s="51"/>
      <c r="N34" s="51"/>
      <c r="O34" s="51"/>
    </row>
    <row r="35" spans="2:15" ht="18.75">
      <c r="B35" s="4"/>
      <c r="C35" s="5"/>
      <c r="D35" s="6"/>
      <c r="E35" s="5"/>
      <c r="F35" s="7"/>
      <c r="G35" s="34" t="s">
        <v>32</v>
      </c>
    </row>
    <row r="36" spans="2:15" ht="18.75">
      <c r="B36" s="4"/>
      <c r="D36" s="6"/>
      <c r="E36" s="5"/>
      <c r="F36" s="7"/>
      <c r="G36" s="35" t="s">
        <v>33</v>
      </c>
    </row>
    <row r="37" spans="2:15" ht="18.75">
      <c r="C37" s="41" t="s">
        <v>34</v>
      </c>
      <c r="D37" s="5"/>
      <c r="E37" s="9" t="s">
        <v>35</v>
      </c>
      <c r="F37" s="9" t="s">
        <v>36</v>
      </c>
      <c r="G37" s="35" t="s">
        <v>37</v>
      </c>
    </row>
    <row r="38" spans="2:15" ht="18.75">
      <c r="B38" s="5"/>
      <c r="G38" s="8" t="s">
        <v>38</v>
      </c>
    </row>
  </sheetData>
  <mergeCells count="22">
    <mergeCell ref="N4:O4"/>
    <mergeCell ref="N5:O5"/>
    <mergeCell ref="G6:O6"/>
    <mergeCell ref="I12:J13"/>
    <mergeCell ref="K12:K13"/>
    <mergeCell ref="O12:O13"/>
    <mergeCell ref="G2:I5"/>
    <mergeCell ref="N2:O2"/>
    <mergeCell ref="J3:M5"/>
    <mergeCell ref="N3:O3"/>
    <mergeCell ref="G12:G13"/>
    <mergeCell ref="H12:H13"/>
    <mergeCell ref="B11:C11"/>
    <mergeCell ref="B2:D5"/>
    <mergeCell ref="E2:F5"/>
    <mergeCell ref="H33:J33"/>
    <mergeCell ref="B12:B13"/>
    <mergeCell ref="C12:C13"/>
    <mergeCell ref="D12:D13"/>
    <mergeCell ref="E12:E13"/>
    <mergeCell ref="F12:F13"/>
    <mergeCell ref="D7:F7"/>
  </mergeCells>
  <conditionalFormatting sqref="C14:C21">
    <cfRule type="duplicateValues" dxfId="181" priority="14"/>
    <cfRule type="duplicateValues" dxfId="180" priority="15"/>
    <cfRule type="duplicateValues" dxfId="179" priority="16"/>
  </conditionalFormatting>
  <conditionalFormatting sqref="C14:C22">
    <cfRule type="duplicateValues" dxfId="178" priority="17"/>
  </conditionalFormatting>
  <conditionalFormatting sqref="C14:C28">
    <cfRule type="duplicateValues" dxfId="177" priority="18"/>
  </conditionalFormatting>
  <conditionalFormatting sqref="C22">
    <cfRule type="duplicateValues" dxfId="176" priority="11"/>
    <cfRule type="duplicateValues" dxfId="175" priority="12"/>
    <cfRule type="duplicateValues" dxfId="174" priority="13"/>
  </conditionalFormatting>
  <conditionalFormatting sqref="C23:C28">
    <cfRule type="duplicateValues" dxfId="173" priority="3"/>
    <cfRule type="duplicateValues" dxfId="172" priority="4"/>
    <cfRule type="duplicateValues" dxfId="171" priority="5"/>
    <cfRule type="duplicateValues" dxfId="170" priority="6"/>
    <cfRule type="duplicateValues" dxfId="169" priority="7"/>
    <cfRule type="duplicateValues" dxfId="168" priority="8"/>
    <cfRule type="duplicateValues" dxfId="167" priority="9"/>
    <cfRule type="duplicateValues" dxfId="166" priority="10"/>
  </conditionalFormatting>
  <conditionalFormatting sqref="C29:C30">
    <cfRule type="duplicateValues" dxfId="165" priority="2"/>
  </conditionalFormatting>
  <conditionalFormatting sqref="C31:C32">
    <cfRule type="duplicateValues" dxfId="164" priority="1"/>
  </conditionalFormatting>
  <pageMargins left="0.45" right="0.17" top="0.37" bottom="0.41" header="0.3" footer="0.3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B1:O30"/>
  <sheetViews>
    <sheetView zoomScale="55" zoomScaleNormal="55" workbookViewId="0">
      <selection activeCell="C14" sqref="C14:E24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16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42</v>
      </c>
      <c r="F9" s="60"/>
      <c r="G9" s="54" t="str">
        <f>B9</f>
        <v>- Thời gian:</v>
      </c>
      <c r="H9" s="40"/>
      <c r="I9" s="53" t="str">
        <f>D9</f>
        <v>19/8/2026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COUNTIF($L$14:$L38,"x")&amp;"/"&amp;COUNTA($L$14:$L38)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19/8/2026</v>
      </c>
      <c r="M13" s="15"/>
      <c r="N13" s="15"/>
      <c r="O13" s="189"/>
    </row>
    <row r="14" spans="2:15" ht="22.15" customHeight="1">
      <c r="B14" s="17">
        <f>ROW()-13</f>
        <v>1</v>
      </c>
      <c r="C14" s="69"/>
      <c r="D14" s="12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9"/>
      <c r="D15" s="12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124"/>
      <c r="D16" s="125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9"/>
      <c r="D17" s="12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9"/>
      <c r="D18" s="12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9"/>
      <c r="D19" s="12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9"/>
      <c r="D20" s="12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9"/>
      <c r="D21" s="12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9"/>
      <c r="D22" s="12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4" si="6">ROW()-13</f>
        <v>10</v>
      </c>
      <c r="C23" s="69"/>
      <c r="D23" s="123"/>
      <c r="E23" s="69"/>
      <c r="F23" s="28"/>
      <c r="G23" s="17">
        <f t="shared" ref="G23:I24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9"/>
      <c r="D24" s="12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34.15" customHeight="1">
      <c r="B25" s="4"/>
      <c r="C25" s="64" t="s">
        <v>29</v>
      </c>
      <c r="D25" s="6"/>
      <c r="E25" s="5"/>
      <c r="F25" s="65" t="s">
        <v>30</v>
      </c>
      <c r="G25" s="43"/>
      <c r="H25" s="190" t="s">
        <v>31</v>
      </c>
      <c r="I25" s="191"/>
      <c r="J25" s="192"/>
      <c r="K25" s="44"/>
      <c r="L25" s="50"/>
      <c r="M25" s="50"/>
      <c r="N25" s="50"/>
      <c r="O25" s="50"/>
    </row>
    <row r="26" spans="2:15" ht="12.6" customHeight="1">
      <c r="B26" s="4"/>
      <c r="C26" s="5"/>
      <c r="D26" s="6"/>
      <c r="E26" s="5"/>
      <c r="F26" s="7"/>
      <c r="G26" s="33"/>
      <c r="H26" s="33"/>
      <c r="I26" s="33"/>
      <c r="J26" s="33"/>
      <c r="K26" s="33"/>
      <c r="L26" s="51"/>
      <c r="M26" s="51"/>
      <c r="N26" s="51"/>
      <c r="O26" s="51"/>
    </row>
    <row r="27" spans="2:15" ht="18.75">
      <c r="B27" s="4"/>
      <c r="C27" s="5"/>
      <c r="D27" s="6"/>
      <c r="E27" s="5"/>
      <c r="F27" s="7"/>
      <c r="G27" s="34" t="s">
        <v>32</v>
      </c>
    </row>
    <row r="28" spans="2:15" ht="18.75">
      <c r="B28" s="4"/>
      <c r="D28" s="6"/>
      <c r="E28" s="5"/>
      <c r="F28" s="7"/>
      <c r="G28" s="35" t="s">
        <v>33</v>
      </c>
    </row>
    <row r="29" spans="2:15" ht="18.75">
      <c r="C29" s="41" t="s">
        <v>34</v>
      </c>
      <c r="D29" s="5"/>
      <c r="E29" s="9" t="s">
        <v>35</v>
      </c>
      <c r="F29" s="9" t="s">
        <v>36</v>
      </c>
      <c r="G29" s="35" t="s">
        <v>37</v>
      </c>
    </row>
    <row r="30" spans="2:15" ht="18.75">
      <c r="B30" s="5"/>
      <c r="G30" s="8" t="s">
        <v>38</v>
      </c>
    </row>
  </sheetData>
  <mergeCells count="21">
    <mergeCell ref="N4:O4"/>
    <mergeCell ref="N5:O5"/>
    <mergeCell ref="G6:O6"/>
    <mergeCell ref="I12:J13"/>
    <mergeCell ref="K12:K13"/>
    <mergeCell ref="O12:O13"/>
    <mergeCell ref="G2:I5"/>
    <mergeCell ref="N2:O2"/>
    <mergeCell ref="J3:M5"/>
    <mergeCell ref="N3:O3"/>
    <mergeCell ref="G12:G13"/>
    <mergeCell ref="H12:H13"/>
    <mergeCell ref="B11:C11"/>
    <mergeCell ref="B2:D5"/>
    <mergeCell ref="E2:F5"/>
    <mergeCell ref="H25:J25"/>
    <mergeCell ref="B12:B13"/>
    <mergeCell ref="C12:C13"/>
    <mergeCell ref="D12:D13"/>
    <mergeCell ref="E12:E13"/>
    <mergeCell ref="F12:F13"/>
  </mergeCells>
  <pageMargins left="0.45" right="0.17" top="0.37" bottom="0.41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B1:O28"/>
  <sheetViews>
    <sheetView zoomScale="70" zoomScaleNormal="70" workbookViewId="0">
      <selection activeCell="C14" sqref="C14:E22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36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16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87</v>
      </c>
      <c r="F9" s="60"/>
      <c r="G9" s="54" t="str">
        <f>B9</f>
        <v>- Thời gian:</v>
      </c>
      <c r="H9" s="40"/>
      <c r="I9" s="53" t="str">
        <f>D9</f>
        <v>20-22/8/2026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20</v>
      </c>
      <c r="F10" s="39"/>
      <c r="G10" s="54" t="str">
        <f>B10</f>
        <v>- Địa điểm:</v>
      </c>
      <c r="H10" s="40"/>
      <c r="I10" s="48" t="str">
        <f>D10</f>
        <v>VNBA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COUNTIF($L$14:$L36,"x")&amp;"/"&amp;COUNTA($L$14:$L36)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20-22/8/2026</v>
      </c>
      <c r="M13" s="15"/>
      <c r="N13" s="15"/>
      <c r="O13" s="189"/>
    </row>
    <row r="14" spans="2:15" ht="22.15" customHeight="1">
      <c r="B14" s="17">
        <f>ROW()-13</f>
        <v>1</v>
      </c>
      <c r="C14" s="182"/>
      <c r="D14" s="183"/>
      <c r="E14" s="182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182"/>
      <c r="D15" s="183"/>
      <c r="E15" s="182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182"/>
      <c r="D16" s="183"/>
      <c r="E16" s="182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182"/>
      <c r="D17" s="183"/>
      <c r="E17" s="182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182"/>
      <c r="D18" s="183"/>
      <c r="E18" s="182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182"/>
      <c r="D19" s="183"/>
      <c r="E19" s="182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182"/>
      <c r="D20" s="183"/>
      <c r="E20" s="182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182"/>
      <c r="D21" s="183"/>
      <c r="E21" s="182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182"/>
      <c r="D22" s="183"/>
      <c r="E22" s="182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34.15" customHeight="1">
      <c r="B23" s="4"/>
      <c r="C23" s="64" t="s">
        <v>29</v>
      </c>
      <c r="D23" s="6"/>
      <c r="E23" s="5"/>
      <c r="F23" s="65" t="s">
        <v>30</v>
      </c>
      <c r="G23" s="43"/>
      <c r="H23" s="190" t="s">
        <v>31</v>
      </c>
      <c r="I23" s="191"/>
      <c r="J23" s="192"/>
      <c r="K23" s="44"/>
      <c r="L23" s="50"/>
      <c r="M23" s="50"/>
      <c r="N23" s="50"/>
      <c r="O23" s="50"/>
    </row>
    <row r="24" spans="2:15" ht="12.6" customHeight="1">
      <c r="B24" s="4"/>
      <c r="C24" s="5"/>
      <c r="D24" s="6"/>
      <c r="E24" s="5"/>
      <c r="F24" s="7"/>
      <c r="G24" s="33"/>
      <c r="H24" s="33"/>
      <c r="I24" s="33"/>
      <c r="J24" s="33"/>
      <c r="K24" s="33"/>
      <c r="L24" s="51"/>
      <c r="M24" s="51"/>
      <c r="N24" s="51"/>
      <c r="O24" s="51"/>
    </row>
    <row r="25" spans="2:15" ht="18.75">
      <c r="B25" s="4"/>
      <c r="C25" s="5"/>
      <c r="D25" s="6"/>
      <c r="E25" s="5"/>
      <c r="F25" s="7"/>
      <c r="G25" s="34" t="s">
        <v>32</v>
      </c>
    </row>
    <row r="26" spans="2:15" ht="18.75">
      <c r="B26" s="4"/>
      <c r="D26" s="6"/>
      <c r="E26" s="5"/>
      <c r="F26" s="7"/>
      <c r="G26" s="35" t="s">
        <v>33</v>
      </c>
    </row>
    <row r="27" spans="2:15" ht="18.75">
      <c r="C27" s="41" t="s">
        <v>34</v>
      </c>
      <c r="D27" s="5"/>
      <c r="E27" s="9" t="s">
        <v>35</v>
      </c>
      <c r="F27" s="9" t="s">
        <v>36</v>
      </c>
      <c r="G27" s="35" t="s">
        <v>37</v>
      </c>
    </row>
    <row r="28" spans="2:15" ht="18.75">
      <c r="B28" s="5"/>
      <c r="G28" s="8" t="s">
        <v>38</v>
      </c>
    </row>
  </sheetData>
  <mergeCells count="22">
    <mergeCell ref="N2:O2"/>
    <mergeCell ref="J3:M5"/>
    <mergeCell ref="N3:O3"/>
    <mergeCell ref="N4:O4"/>
    <mergeCell ref="N5:O5"/>
    <mergeCell ref="B2:D5"/>
    <mergeCell ref="G12:G13"/>
    <mergeCell ref="H12:H13"/>
    <mergeCell ref="I12:J13"/>
    <mergeCell ref="E2:F5"/>
    <mergeCell ref="G2:I5"/>
    <mergeCell ref="B12:B13"/>
    <mergeCell ref="C12:C13"/>
    <mergeCell ref="D12:D13"/>
    <mergeCell ref="E12:E13"/>
    <mergeCell ref="F12:F13"/>
    <mergeCell ref="D7:F7"/>
    <mergeCell ref="H23:J23"/>
    <mergeCell ref="G6:O6"/>
    <mergeCell ref="K12:K13"/>
    <mergeCell ref="O12:O13"/>
    <mergeCell ref="B11:C11"/>
  </mergeCells>
  <conditionalFormatting sqref="C14:C22">
    <cfRule type="duplicateValues" dxfId="163" priority="1281" stopIfTrue="1"/>
    <cfRule type="expression" dxfId="162" priority="1282" stopIfTrue="1">
      <formula>AND(COUNTIF($C$1:$C$1273, C14)+COUNTIF($C$1275:$C$65356, C14)&gt;1,NOT(ISBLANK(C14)))</formula>
    </cfRule>
    <cfRule type="expression" dxfId="161" priority="1283" stopIfTrue="1">
      <formula>AND(COUNTIF($C$1:$C$1276, C14)+COUNTIF($C$1277:$C$65356, C14)&gt;1,NOT(ISBLANK(C14)))</formula>
    </cfRule>
    <cfRule type="expression" dxfId="160" priority="1284" stopIfTrue="1">
      <formula>AND(COUNTIF($C$1:$C$1382, C14)+COUNTIF($C$1395:$C$65356, C14)&gt;1,NOT(ISBLANK(C14)))</formula>
    </cfRule>
  </conditionalFormatting>
  <pageMargins left="0.64" right="0.32" top="0.37" bottom="0.41" header="0.3" footer="0.3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B1:O27"/>
  <sheetViews>
    <sheetView zoomScale="70" zoomScaleNormal="70" workbookViewId="0">
      <selection activeCell="C14" sqref="C14:E2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43.5" customHeight="1">
      <c r="B7" s="54" t="s">
        <v>15</v>
      </c>
      <c r="C7" s="54"/>
      <c r="D7" s="194"/>
      <c r="E7" s="194"/>
      <c r="F7" s="194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 t="s">
        <v>88</v>
      </c>
      <c r="F9" s="60"/>
      <c r="G9" s="54" t="str">
        <f>B9</f>
        <v>- Thời gian:</v>
      </c>
      <c r="H9" s="40"/>
      <c r="I9" s="53" t="str">
        <f>D9</f>
        <v>24/8/2026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20</v>
      </c>
      <c r="F10" s="39"/>
      <c r="G10" s="54" t="str">
        <f>B10</f>
        <v>- Địa điểm:</v>
      </c>
      <c r="H10" s="40"/>
      <c r="I10" s="48" t="str">
        <f>D10</f>
        <v>VNBA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COUNTIF($L$14:$L35,"x")&amp;"/"&amp;COUNTA($L$14:$L35)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 t="str">
        <f>I9</f>
        <v>24/8/2026</v>
      </c>
      <c r="M13" s="15"/>
      <c r="N13" s="15"/>
      <c r="O13" s="189"/>
    </row>
    <row r="14" spans="2:15" ht="22.15" customHeight="1">
      <c r="B14" s="17">
        <f>ROW()-13</f>
        <v>1</v>
      </c>
      <c r="C14" s="182"/>
      <c r="D14" s="183"/>
      <c r="E14" s="182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182"/>
      <c r="D15" s="183"/>
      <c r="E15" s="182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182"/>
      <c r="D16" s="183"/>
      <c r="E16" s="182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182"/>
      <c r="D17" s="183"/>
      <c r="E17" s="182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182"/>
      <c r="D18" s="183"/>
      <c r="E18" s="182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182"/>
      <c r="D19" s="183"/>
      <c r="E19" s="182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182"/>
      <c r="D20" s="183"/>
      <c r="E20" s="182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182"/>
      <c r="D21" s="183"/>
      <c r="E21" s="182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34.15" customHeight="1">
      <c r="B22" s="4"/>
      <c r="C22" s="64" t="s">
        <v>29</v>
      </c>
      <c r="D22" s="6"/>
      <c r="E22" s="5"/>
      <c r="F22" s="65" t="s">
        <v>30</v>
      </c>
      <c r="G22" s="43"/>
      <c r="H22" s="190" t="s">
        <v>31</v>
      </c>
      <c r="I22" s="191"/>
      <c r="J22" s="192"/>
      <c r="K22" s="44"/>
      <c r="L22" s="50"/>
      <c r="M22" s="50"/>
      <c r="N22" s="50"/>
      <c r="O22" s="50"/>
    </row>
    <row r="23" spans="2:15" ht="12.6" customHeight="1">
      <c r="B23" s="4"/>
      <c r="C23" s="5"/>
      <c r="D23" s="6"/>
      <c r="E23" s="5"/>
      <c r="F23" s="7"/>
      <c r="G23" s="33"/>
      <c r="H23" s="33"/>
      <c r="I23" s="33"/>
      <c r="J23" s="33"/>
      <c r="K23" s="33"/>
      <c r="L23" s="51"/>
      <c r="M23" s="51"/>
      <c r="N23" s="51"/>
      <c r="O23" s="51"/>
    </row>
    <row r="24" spans="2:15" ht="18.75">
      <c r="B24" s="4"/>
      <c r="C24" s="5"/>
      <c r="D24" s="6"/>
      <c r="E24" s="5"/>
      <c r="F24" s="7"/>
      <c r="G24" s="34" t="s">
        <v>32</v>
      </c>
    </row>
    <row r="25" spans="2:15" ht="18.75">
      <c r="B25" s="4"/>
      <c r="D25" s="6"/>
      <c r="E25" s="5"/>
      <c r="F25" s="7"/>
      <c r="G25" s="35" t="s">
        <v>33</v>
      </c>
    </row>
    <row r="26" spans="2:15" ht="18.75">
      <c r="C26" s="41" t="s">
        <v>34</v>
      </c>
      <c r="D26" s="5"/>
      <c r="E26" s="9" t="s">
        <v>35</v>
      </c>
      <c r="F26" s="9" t="s">
        <v>36</v>
      </c>
      <c r="G26" s="35" t="s">
        <v>37</v>
      </c>
    </row>
    <row r="27" spans="2:15" ht="18.75">
      <c r="B27" s="5"/>
      <c r="G27" s="8" t="s">
        <v>38</v>
      </c>
    </row>
  </sheetData>
  <mergeCells count="22">
    <mergeCell ref="N2:O2"/>
    <mergeCell ref="G6:O6"/>
    <mergeCell ref="B12:B13"/>
    <mergeCell ref="C12:C13"/>
    <mergeCell ref="D12:D13"/>
    <mergeCell ref="E12:E13"/>
    <mergeCell ref="F12:F13"/>
    <mergeCell ref="G12:G13"/>
    <mergeCell ref="H12:H13"/>
    <mergeCell ref="J3:M5"/>
    <mergeCell ref="N3:O3"/>
    <mergeCell ref="N4:O4"/>
    <mergeCell ref="N5:O5"/>
    <mergeCell ref="I12:J13"/>
    <mergeCell ref="K12:K13"/>
    <mergeCell ref="O12:O13"/>
    <mergeCell ref="H22:J22"/>
    <mergeCell ref="B2:D5"/>
    <mergeCell ref="E2:F5"/>
    <mergeCell ref="B11:C11"/>
    <mergeCell ref="G2:I5"/>
    <mergeCell ref="D7:F7"/>
  </mergeCells>
  <pageMargins left="0.56999999999999995" right="0.3" top="0.43" bottom="0.41" header="0.41" footer="0.3"/>
  <pageSetup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B1:O39"/>
  <sheetViews>
    <sheetView zoomScale="70" zoomScaleNormal="70" workbookViewId="0">
      <selection activeCell="D10" sqref="D10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29</v>
      </c>
      <c r="D34" s="6"/>
      <c r="E34" s="5"/>
      <c r="F34" s="65" t="s">
        <v>30</v>
      </c>
      <c r="G34" s="43"/>
      <c r="H34" s="190" t="s">
        <v>31</v>
      </c>
      <c r="I34" s="191"/>
      <c r="J34" s="192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32</v>
      </c>
    </row>
    <row r="37" spans="2:15" ht="18.75">
      <c r="B37" s="4"/>
      <c r="D37" s="6"/>
      <c r="E37" s="5"/>
      <c r="F37" s="7"/>
      <c r="G37" s="35" t="s">
        <v>33</v>
      </c>
    </row>
    <row r="38" spans="2:15" ht="18.75">
      <c r="C38" s="41" t="s">
        <v>34</v>
      </c>
      <c r="D38" s="5"/>
      <c r="E38" s="9" t="s">
        <v>35</v>
      </c>
      <c r="F38" s="9" t="s">
        <v>36</v>
      </c>
      <c r="G38" s="35" t="s">
        <v>37</v>
      </c>
    </row>
    <row r="39" spans="2:15" ht="18.75">
      <c r="B39" s="5"/>
      <c r="G39" s="8" t="s">
        <v>38</v>
      </c>
    </row>
  </sheetData>
  <mergeCells count="21">
    <mergeCell ref="H12:H13"/>
    <mergeCell ref="J3:M5"/>
    <mergeCell ref="N3:O3"/>
    <mergeCell ref="N4:O4"/>
    <mergeCell ref="N5:O5"/>
    <mergeCell ref="H34:J34"/>
    <mergeCell ref="B11:C11"/>
    <mergeCell ref="B2:D5"/>
    <mergeCell ref="E2:F5"/>
    <mergeCell ref="G2:I5"/>
    <mergeCell ref="B12:B13"/>
    <mergeCell ref="C12:C13"/>
    <mergeCell ref="D12:D13"/>
    <mergeCell ref="E12:E13"/>
    <mergeCell ref="F12:F13"/>
    <mergeCell ref="G6:O6"/>
    <mergeCell ref="I12:J13"/>
    <mergeCell ref="K12:K13"/>
    <mergeCell ref="O12:O13"/>
    <mergeCell ref="N2:O2"/>
    <mergeCell ref="G12:G13"/>
  </mergeCells>
  <conditionalFormatting sqref="C14:C33">
    <cfRule type="duplicateValues" dxfId="159" priority="21" stopIfTrue="1"/>
    <cfRule type="expression" dxfId="158" priority="22" stopIfTrue="1">
      <formula>AND(COUNTIF($C$1:$C$1284, C14)+COUNTIF($C$1286:$C$65367, C14)&gt;1,NOT(ISBLANK(C14)))</formula>
    </cfRule>
    <cfRule type="expression" dxfId="157" priority="23" stopIfTrue="1">
      <formula>AND(COUNTIF($C$1:$C$1287, C14)+COUNTIF($C$1288:$C$65367, C14)&gt;1,NOT(ISBLANK(C14)))</formula>
    </cfRule>
    <cfRule type="expression" dxfId="156" priority="24" stopIfTrue="1">
      <formula>AND(COUNTIF($C$1:$C$1393, C14)+COUNTIF($C$1406:$C$65367, C14)&gt;1,NOT(ISBLANK(C14)))</formula>
    </cfRule>
  </conditionalFormatting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B1:O39"/>
  <sheetViews>
    <sheetView zoomScale="70" zoomScaleNormal="70" workbookViewId="0">
      <selection activeCell="D10" sqref="D10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29</v>
      </c>
      <c r="D34" s="6"/>
      <c r="E34" s="5"/>
      <c r="F34" s="65" t="s">
        <v>30</v>
      </c>
      <c r="G34" s="43"/>
      <c r="H34" s="190" t="s">
        <v>31</v>
      </c>
      <c r="I34" s="191"/>
      <c r="J34" s="192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32</v>
      </c>
    </row>
    <row r="37" spans="2:15" ht="18.75">
      <c r="B37" s="4"/>
      <c r="D37" s="6"/>
      <c r="E37" s="5"/>
      <c r="F37" s="7"/>
      <c r="G37" s="35" t="s">
        <v>33</v>
      </c>
    </row>
    <row r="38" spans="2:15" ht="18.75">
      <c r="C38" s="41" t="s">
        <v>34</v>
      </c>
      <c r="D38" s="5"/>
      <c r="E38" s="9" t="s">
        <v>35</v>
      </c>
      <c r="F38" s="9" t="s">
        <v>36</v>
      </c>
      <c r="G38" s="35" t="s">
        <v>37</v>
      </c>
    </row>
    <row r="39" spans="2:15" ht="18.75">
      <c r="B39" s="5"/>
      <c r="G39" s="8" t="s">
        <v>38</v>
      </c>
    </row>
  </sheetData>
  <mergeCells count="21">
    <mergeCell ref="H12:H13"/>
    <mergeCell ref="J3:M5"/>
    <mergeCell ref="N3:O3"/>
    <mergeCell ref="N4:O4"/>
    <mergeCell ref="N5:O5"/>
    <mergeCell ref="H34:J34"/>
    <mergeCell ref="B11:C11"/>
    <mergeCell ref="B2:D5"/>
    <mergeCell ref="E2:F5"/>
    <mergeCell ref="G2:I5"/>
    <mergeCell ref="B12:B13"/>
    <mergeCell ref="C12:C13"/>
    <mergeCell ref="D12:D13"/>
    <mergeCell ref="E12:E13"/>
    <mergeCell ref="F12:F13"/>
    <mergeCell ref="G6:O6"/>
    <mergeCell ref="I12:J13"/>
    <mergeCell ref="K12:K13"/>
    <mergeCell ref="O12:O13"/>
    <mergeCell ref="N2:O2"/>
    <mergeCell ref="G12:G13"/>
  </mergeCells>
  <conditionalFormatting sqref="C14:C33">
    <cfRule type="duplicateValues" dxfId="155" priority="17" stopIfTrue="1"/>
    <cfRule type="expression" dxfId="154" priority="18" stopIfTrue="1">
      <formula>AND(COUNTIF($C$1:$C$1284, C14)+COUNTIF($C$1286:$C$65367, C14)&gt;1,NOT(ISBLANK(C14)))</formula>
    </cfRule>
    <cfRule type="expression" dxfId="153" priority="19" stopIfTrue="1">
      <formula>AND(COUNTIF($C$1:$C$1287, C14)+COUNTIF($C$1288:$C$65367, C14)&gt;1,NOT(ISBLANK(C14)))</formula>
    </cfRule>
    <cfRule type="expression" dxfId="152" priority="20" stopIfTrue="1">
      <formula>AND(COUNTIF($C$1:$C$1393, C14)+COUNTIF($C$1406:$C$65367, C14)&gt;1,NOT(ISBLANK(C14)))</formula>
    </cfRule>
  </conditionalFormatting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B1:O39"/>
  <sheetViews>
    <sheetView tabSelected="1" zoomScale="70" zoomScaleNormal="70" workbookViewId="0">
      <selection activeCell="D10" sqref="D10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29</v>
      </c>
      <c r="D34" s="6"/>
      <c r="E34" s="5"/>
      <c r="F34" s="65" t="s">
        <v>30</v>
      </c>
      <c r="G34" s="43"/>
      <c r="H34" s="190" t="s">
        <v>31</v>
      </c>
      <c r="I34" s="191"/>
      <c r="J34" s="192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32</v>
      </c>
    </row>
    <row r="37" spans="2:15" ht="18.75">
      <c r="B37" s="4"/>
      <c r="D37" s="6"/>
      <c r="E37" s="5"/>
      <c r="F37" s="7"/>
      <c r="G37" s="35" t="s">
        <v>33</v>
      </c>
    </row>
    <row r="38" spans="2:15" ht="18.75">
      <c r="C38" s="41" t="s">
        <v>34</v>
      </c>
      <c r="D38" s="5"/>
      <c r="E38" s="9" t="s">
        <v>35</v>
      </c>
      <c r="F38" s="9" t="s">
        <v>36</v>
      </c>
      <c r="G38" s="35" t="s">
        <v>37</v>
      </c>
    </row>
    <row r="39" spans="2:15" ht="18.75">
      <c r="B39" s="5"/>
      <c r="G39" s="8" t="s">
        <v>38</v>
      </c>
    </row>
  </sheetData>
  <mergeCells count="21">
    <mergeCell ref="H12:H13"/>
    <mergeCell ref="J3:M5"/>
    <mergeCell ref="N3:O3"/>
    <mergeCell ref="N4:O4"/>
    <mergeCell ref="N5:O5"/>
    <mergeCell ref="H34:J34"/>
    <mergeCell ref="B11:C11"/>
    <mergeCell ref="B2:D5"/>
    <mergeCell ref="E2:F5"/>
    <mergeCell ref="G2:I5"/>
    <mergeCell ref="B12:B13"/>
    <mergeCell ref="C12:C13"/>
    <mergeCell ref="D12:D13"/>
    <mergeCell ref="E12:E13"/>
    <mergeCell ref="F12:F13"/>
    <mergeCell ref="G6:O6"/>
    <mergeCell ref="I12:J13"/>
    <mergeCell ref="K12:K13"/>
    <mergeCell ref="O12:O13"/>
    <mergeCell ref="N2:O2"/>
    <mergeCell ref="G12:G13"/>
  </mergeCells>
  <conditionalFormatting sqref="C14:C33">
    <cfRule type="duplicateValues" dxfId="151" priority="13" stopIfTrue="1"/>
    <cfRule type="expression" dxfId="150" priority="14" stopIfTrue="1">
      <formula>AND(COUNTIF($C$1:$C$1284, C14)+COUNTIF($C$1286:$C$65367, C14)&gt;1,NOT(ISBLANK(C14)))</formula>
    </cfRule>
    <cfRule type="expression" dxfId="149" priority="15" stopIfTrue="1">
      <formula>AND(COUNTIF($C$1:$C$1287, C14)+COUNTIF($C$1288:$C$65367, C14)&gt;1,NOT(ISBLANK(C14)))</formula>
    </cfRule>
    <cfRule type="expression" dxfId="148" priority="16" stopIfTrue="1">
      <formula>AND(COUNTIF($C$1:$C$1393, C14)+COUNTIF($C$1406:$C$65367, C14)&gt;1,NOT(ISBLANK(C14)))</formula>
    </cfRule>
  </conditionalFormatting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B1:O40"/>
  <sheetViews>
    <sheetView zoomScale="70" zoomScaleNormal="70" workbookViewId="0">
      <selection activeCell="D10" sqref="D10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COUNTIF($L$14:$L48,"x")&amp;"/"&amp;COUNTA($L$14:$L48)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4" si="12">ROW()-13</f>
        <v>18</v>
      </c>
      <c r="C31" s="62"/>
      <c r="D31" s="63"/>
      <c r="E31" s="69"/>
      <c r="F31" s="28"/>
      <c r="G31" s="17">
        <f t="shared" ref="G31:I34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1.5" customHeight="1">
      <c r="B34" s="17">
        <f t="shared" si="12"/>
        <v>21</v>
      </c>
      <c r="C34" s="62"/>
      <c r="D34" s="63"/>
      <c r="E34" s="69"/>
      <c r="F34" s="28"/>
      <c r="G34" s="17">
        <f t="shared" ref="G34:H34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" si="15">E34</f>
        <v>0</v>
      </c>
      <c r="L34" s="29"/>
      <c r="M34" s="13"/>
      <c r="N34" s="14"/>
      <c r="O34" s="18"/>
    </row>
    <row r="35" spans="2:15" ht="34.15" customHeight="1">
      <c r="B35" s="4"/>
      <c r="C35" s="64" t="s">
        <v>29</v>
      </c>
      <c r="D35" s="6"/>
      <c r="E35" s="5"/>
      <c r="F35" s="65" t="s">
        <v>30</v>
      </c>
      <c r="G35" s="43"/>
      <c r="H35" s="190" t="s">
        <v>31</v>
      </c>
      <c r="I35" s="191"/>
      <c r="J35" s="192"/>
      <c r="K35" s="44"/>
      <c r="L35" s="50"/>
      <c r="M35" s="50"/>
      <c r="N35" s="50"/>
      <c r="O35" s="50"/>
    </row>
    <row r="36" spans="2:15" ht="12.6" customHeight="1">
      <c r="B36" s="4"/>
      <c r="C36" s="5"/>
      <c r="D36" s="6"/>
      <c r="E36" s="5"/>
      <c r="F36" s="7"/>
      <c r="G36" s="33"/>
      <c r="H36" s="33"/>
      <c r="I36" s="33"/>
      <c r="J36" s="33"/>
      <c r="K36" s="33"/>
      <c r="L36" s="51"/>
      <c r="M36" s="51"/>
      <c r="N36" s="51"/>
      <c r="O36" s="51"/>
    </row>
    <row r="37" spans="2:15" ht="18.75">
      <c r="B37" s="4"/>
      <c r="C37" s="5"/>
      <c r="D37" s="6"/>
      <c r="E37" s="5"/>
      <c r="F37" s="7"/>
      <c r="G37" s="34" t="s">
        <v>32</v>
      </c>
    </row>
    <row r="38" spans="2:15" ht="18.75">
      <c r="B38" s="4"/>
      <c r="D38" s="6"/>
      <c r="E38" s="5"/>
      <c r="F38" s="7"/>
      <c r="G38" s="35" t="s">
        <v>33</v>
      </c>
    </row>
    <row r="39" spans="2:15" ht="18.75">
      <c r="C39" s="41" t="s">
        <v>34</v>
      </c>
      <c r="D39" s="5"/>
      <c r="E39" s="9" t="s">
        <v>35</v>
      </c>
      <c r="F39" s="9" t="s">
        <v>36</v>
      </c>
      <c r="G39" s="35" t="s">
        <v>37</v>
      </c>
    </row>
    <row r="40" spans="2:15" ht="18.75">
      <c r="B40" s="5"/>
      <c r="G40" s="8" t="s">
        <v>38</v>
      </c>
    </row>
  </sheetData>
  <mergeCells count="21">
    <mergeCell ref="H12:H13"/>
    <mergeCell ref="J3:M5"/>
    <mergeCell ref="N3:O3"/>
    <mergeCell ref="N4:O4"/>
    <mergeCell ref="N5:O5"/>
    <mergeCell ref="H35:J35"/>
    <mergeCell ref="B11:C11"/>
    <mergeCell ref="B2:D5"/>
    <mergeCell ref="E2:F5"/>
    <mergeCell ref="G2:I5"/>
    <mergeCell ref="B12:B13"/>
    <mergeCell ref="C12:C13"/>
    <mergeCell ref="D12:D13"/>
    <mergeCell ref="E12:E13"/>
    <mergeCell ref="F12:F13"/>
    <mergeCell ref="G6:O6"/>
    <mergeCell ref="I12:J13"/>
    <mergeCell ref="K12:K13"/>
    <mergeCell ref="O12:O13"/>
    <mergeCell ref="N2:O2"/>
    <mergeCell ref="G12:G13"/>
  </mergeCells>
  <conditionalFormatting sqref="C14:C34">
    <cfRule type="duplicateValues" dxfId="147" priority="9" stopIfTrue="1"/>
    <cfRule type="expression" dxfId="146" priority="10" stopIfTrue="1">
      <formula>AND(COUNTIF($C$1:$C$1285, C14)+COUNTIF($C$1287:$C$65368, C14)&gt;1,NOT(ISBLANK(C14)))</formula>
    </cfRule>
    <cfRule type="expression" dxfId="145" priority="11" stopIfTrue="1">
      <formula>AND(COUNTIF($C$1:$C$1288, C14)+COUNTIF($C$1289:$C$65368, C14)&gt;1,NOT(ISBLANK(C14)))</formula>
    </cfRule>
    <cfRule type="expression" dxfId="144" priority="12" stopIfTrue="1">
      <formula>AND(COUNTIF($C$1:$C$1394, C14)+COUNTIF($C$1407:$C$65368, C14)&gt;1,NOT(ISBLANK(C14)))</formula>
    </cfRule>
  </conditionalFormatting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B1:O39"/>
  <sheetViews>
    <sheetView zoomScale="70" zoomScaleNormal="70" workbookViewId="0">
      <selection activeCell="D10" sqref="D10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29</v>
      </c>
      <c r="D34" s="6"/>
      <c r="E34" s="5"/>
      <c r="F34" s="65" t="s">
        <v>30</v>
      </c>
      <c r="G34" s="43"/>
      <c r="H34" s="190" t="s">
        <v>31</v>
      </c>
      <c r="I34" s="191"/>
      <c r="J34" s="192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32</v>
      </c>
    </row>
    <row r="37" spans="2:15" ht="18.75">
      <c r="B37" s="4"/>
      <c r="D37" s="6"/>
      <c r="E37" s="5"/>
      <c r="F37" s="7"/>
      <c r="G37" s="35" t="s">
        <v>33</v>
      </c>
    </row>
    <row r="38" spans="2:15" ht="18.75">
      <c r="C38" s="41" t="s">
        <v>34</v>
      </c>
      <c r="D38" s="5"/>
      <c r="E38" s="9" t="s">
        <v>35</v>
      </c>
      <c r="F38" s="9" t="s">
        <v>36</v>
      </c>
      <c r="G38" s="35" t="s">
        <v>37</v>
      </c>
    </row>
    <row r="39" spans="2:15" ht="18.75">
      <c r="B39" s="5"/>
      <c r="G39" s="8" t="s">
        <v>38</v>
      </c>
    </row>
  </sheetData>
  <mergeCells count="21">
    <mergeCell ref="H12:H13"/>
    <mergeCell ref="J3:M5"/>
    <mergeCell ref="N3:O3"/>
    <mergeCell ref="N4:O4"/>
    <mergeCell ref="N5:O5"/>
    <mergeCell ref="H34:J34"/>
    <mergeCell ref="B11:C11"/>
    <mergeCell ref="B2:D5"/>
    <mergeCell ref="E2:F5"/>
    <mergeCell ref="G2:I5"/>
    <mergeCell ref="B12:B13"/>
    <mergeCell ref="C12:C13"/>
    <mergeCell ref="D12:D13"/>
    <mergeCell ref="E12:E13"/>
    <mergeCell ref="F12:F13"/>
    <mergeCell ref="G6:O6"/>
    <mergeCell ref="I12:J13"/>
    <mergeCell ref="K12:K13"/>
    <mergeCell ref="O12:O13"/>
    <mergeCell ref="N2:O2"/>
    <mergeCell ref="G12:G13"/>
  </mergeCells>
  <conditionalFormatting sqref="C14:C33">
    <cfRule type="duplicateValues" dxfId="143" priority="5" stopIfTrue="1"/>
    <cfRule type="expression" dxfId="142" priority="6" stopIfTrue="1">
      <formula>AND(COUNTIF($C$1:$C$1284, C14)+COUNTIF($C$1286:$C$65367, C14)&gt;1,NOT(ISBLANK(C14)))</formula>
    </cfRule>
    <cfRule type="expression" dxfId="141" priority="7" stopIfTrue="1">
      <formula>AND(COUNTIF($C$1:$C$1287, C14)+COUNTIF($C$1288:$C$65367, C14)&gt;1,NOT(ISBLANK(C14)))</formula>
    </cfRule>
    <cfRule type="expression" dxfId="140" priority="8" stopIfTrue="1">
      <formula>AND(COUNTIF($C$1:$C$1393, C14)+COUNTIF($C$1406:$C$65367, C14)&gt;1,NOT(ISBLANK(C14)))</formula>
    </cfRule>
  </conditionalFormatting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B1:O49"/>
  <sheetViews>
    <sheetView zoomScale="85" zoomScaleNormal="85" workbookViewId="0">
      <selection activeCell="D10" sqref="D10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H12:H13"/>
    <mergeCell ref="J3:M5"/>
    <mergeCell ref="N3:O3"/>
    <mergeCell ref="N4:O4"/>
    <mergeCell ref="N5:O5"/>
    <mergeCell ref="H44:J44"/>
    <mergeCell ref="B11:C11"/>
    <mergeCell ref="B2:D5"/>
    <mergeCell ref="E2:F5"/>
    <mergeCell ref="G2:I5"/>
    <mergeCell ref="B12:B13"/>
    <mergeCell ref="C12:C13"/>
    <mergeCell ref="D12:D13"/>
    <mergeCell ref="E12:E13"/>
    <mergeCell ref="F12:F13"/>
    <mergeCell ref="G6:O6"/>
    <mergeCell ref="I12:J13"/>
    <mergeCell ref="K12:K13"/>
    <mergeCell ref="O12:O13"/>
    <mergeCell ref="N2:O2"/>
    <mergeCell ref="G12:G13"/>
  </mergeCells>
  <conditionalFormatting sqref="C14:C43">
    <cfRule type="duplicateValues" dxfId="139" priority="1" stopIfTrue="1"/>
    <cfRule type="expression" dxfId="138" priority="2" stopIfTrue="1">
      <formula>AND(COUNTIF($C$1:$C$1294, C14)+COUNTIF($C$1296:$C$65377, C14)&gt;1,NOT(ISBLANK(C14)))</formula>
    </cfRule>
    <cfRule type="expression" dxfId="137" priority="3" stopIfTrue="1">
      <formula>AND(COUNTIF($C$1:$C$1297, C14)+COUNTIF($C$1298:$C$65377, C14)&gt;1,NOT(ISBLANK(C14)))</formula>
    </cfRule>
    <cfRule type="expression" dxfId="136" priority="4" stopIfTrue="1">
      <formula>AND(COUNTIF($C$1:$C$1403, C14)+COUNTIF($C$1416:$C$65377, C14)&gt;1,NOT(ISBLANK(C14)))</formula>
    </cfRule>
  </conditionalFormatting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B1:O49"/>
  <sheetViews>
    <sheetView zoomScale="85" zoomScaleNormal="85" workbookViewId="0">
      <selection activeCell="D10" sqref="D10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J3:M5"/>
    <mergeCell ref="N3:O3"/>
    <mergeCell ref="N4:O4"/>
    <mergeCell ref="N5:O5"/>
    <mergeCell ref="B12:B13"/>
    <mergeCell ref="C12:C13"/>
    <mergeCell ref="D12:D13"/>
    <mergeCell ref="E12:E13"/>
    <mergeCell ref="I12:J13"/>
    <mergeCell ref="B2:D5"/>
    <mergeCell ref="E2:F5"/>
    <mergeCell ref="G2:I5"/>
    <mergeCell ref="N2:O2"/>
    <mergeCell ref="B11:C11"/>
    <mergeCell ref="H44:J44"/>
    <mergeCell ref="F12:F13"/>
    <mergeCell ref="G12:G13"/>
    <mergeCell ref="H12:H13"/>
    <mergeCell ref="G6:O6"/>
    <mergeCell ref="K12:K13"/>
    <mergeCell ref="O12:O13"/>
  </mergeCells>
  <conditionalFormatting sqref="C14:C43">
    <cfRule type="duplicateValues" dxfId="135" priority="1" stopIfTrue="1"/>
    <cfRule type="expression" dxfId="134" priority="2" stopIfTrue="1">
      <formula>AND(COUNTIF($C$1:$C$1294, C14)+COUNTIF($C$1296:$C$65377, C14)&gt;1,NOT(ISBLANK(C14)))</formula>
    </cfRule>
    <cfRule type="expression" dxfId="133" priority="3" stopIfTrue="1">
      <formula>AND(COUNTIF($C$1:$C$1297, C14)+COUNTIF($C$1298:$C$65377, C14)&gt;1,NOT(ISBLANK(C14)))</formula>
    </cfRule>
    <cfRule type="expression" dxfId="132" priority="4" stopIfTrue="1">
      <formula>AND(COUNTIF($C$1:$C$1403, C14)+COUNTIF($C$1416:$C$65377, C14)&gt;1,NOT(ISBLANK(C14)))</formula>
    </cfRule>
  </conditionalFormatting>
  <pageMargins left="0.7" right="0.7" top="0.75" bottom="0.75" header="0.3" footer="0.3"/>
  <pageSetup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B1:O49"/>
  <sheetViews>
    <sheetView topLeftCell="A7" zoomScale="70" zoomScaleNormal="70" workbookViewId="0">
      <selection activeCell="D10" sqref="D10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J3:M5"/>
    <mergeCell ref="N3:O3"/>
    <mergeCell ref="N4:O4"/>
    <mergeCell ref="N5:O5"/>
    <mergeCell ref="B12:B13"/>
    <mergeCell ref="C12:C13"/>
    <mergeCell ref="D12:D13"/>
    <mergeCell ref="E12:E13"/>
    <mergeCell ref="I12:J13"/>
    <mergeCell ref="B2:D5"/>
    <mergeCell ref="E2:F5"/>
    <mergeCell ref="G2:I5"/>
    <mergeCell ref="N2:O2"/>
    <mergeCell ref="B11:C11"/>
    <mergeCell ref="H44:J44"/>
    <mergeCell ref="F12:F13"/>
    <mergeCell ref="G12:G13"/>
    <mergeCell ref="H12:H13"/>
    <mergeCell ref="G6:O6"/>
    <mergeCell ref="K12:K13"/>
    <mergeCell ref="O12:O13"/>
  </mergeCells>
  <conditionalFormatting sqref="C14:C43">
    <cfRule type="duplicateValues" dxfId="131" priority="1" stopIfTrue="1"/>
    <cfRule type="expression" dxfId="130" priority="2" stopIfTrue="1">
      <formula>AND(COUNTIF($C$1:$C$1294, C14)+COUNTIF($C$1296:$C$65377, C14)&gt;1,NOT(ISBLANK(C14)))</formula>
    </cfRule>
    <cfRule type="expression" dxfId="129" priority="3" stopIfTrue="1">
      <formula>AND(COUNTIF($C$1:$C$1297, C14)+COUNTIF($C$1298:$C$65377, C14)&gt;1,NOT(ISBLANK(C14)))</formula>
    </cfRule>
    <cfRule type="expression" dxfId="128" priority="4" stopIfTrue="1">
      <formula>AND(COUNTIF($C$1:$C$1403, C14)+COUNTIF($C$1416:$C$65377, C14)&gt;1,NOT(ISBLANK(C14)))</formula>
    </cfRule>
  </conditionalFormatting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B1:O49"/>
  <sheetViews>
    <sheetView zoomScale="55" zoomScaleNormal="55" workbookViewId="0">
      <selection activeCell="D10" sqref="D10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J3:M5"/>
    <mergeCell ref="N3:O3"/>
    <mergeCell ref="N4:O4"/>
    <mergeCell ref="N5:O5"/>
    <mergeCell ref="B12:B13"/>
    <mergeCell ref="C12:C13"/>
    <mergeCell ref="D12:D13"/>
    <mergeCell ref="E12:E13"/>
    <mergeCell ref="I12:J13"/>
    <mergeCell ref="B2:D5"/>
    <mergeCell ref="E2:F5"/>
    <mergeCell ref="G2:I5"/>
    <mergeCell ref="N2:O2"/>
    <mergeCell ref="B11:C11"/>
    <mergeCell ref="H44:J44"/>
    <mergeCell ref="F12:F13"/>
    <mergeCell ref="G12:G13"/>
    <mergeCell ref="H12:H13"/>
    <mergeCell ref="G6:O6"/>
    <mergeCell ref="K12:K13"/>
    <mergeCell ref="O12:O13"/>
  </mergeCells>
  <phoneticPr fontId="34" type="noConversion"/>
  <conditionalFormatting sqref="C14:C43">
    <cfRule type="duplicateValues" dxfId="127" priority="1" stopIfTrue="1"/>
    <cfRule type="expression" dxfId="126" priority="2" stopIfTrue="1">
      <formula>AND(COUNTIF($C$1:$C$1294, C14)+COUNTIF($C$1296:$C$65377, C14)&gt;1,NOT(ISBLANK(C14)))</formula>
    </cfRule>
    <cfRule type="expression" dxfId="125" priority="3" stopIfTrue="1">
      <formula>AND(COUNTIF($C$1:$C$1297, C14)+COUNTIF($C$1298:$C$65377, C14)&gt;1,NOT(ISBLANK(C14)))</formula>
    </cfRule>
    <cfRule type="expression" dxfId="124" priority="4" stopIfTrue="1">
      <formula>AND(COUNTIF($C$1:$C$1403, C14)+COUNTIF($C$1416:$C$65377, C14)&gt;1,NOT(ISBLANK(C14)))</formula>
    </cfRule>
  </conditionalFormatting>
  <pageMargins left="0.61" right="0.36" top="0.43" bottom="0.34" header="0.3" footer="0.3"/>
  <pageSetup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B1:O49"/>
  <sheetViews>
    <sheetView zoomScale="70" zoomScaleNormal="70" workbookViewId="0">
      <selection activeCell="D10" sqref="D10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J3:M5"/>
    <mergeCell ref="N3:O3"/>
    <mergeCell ref="N4:O4"/>
    <mergeCell ref="N5:O5"/>
    <mergeCell ref="B12:B13"/>
    <mergeCell ref="C12:C13"/>
    <mergeCell ref="D12:D13"/>
    <mergeCell ref="E12:E13"/>
    <mergeCell ref="I12:J13"/>
    <mergeCell ref="B2:D5"/>
    <mergeCell ref="E2:F5"/>
    <mergeCell ref="G2:I5"/>
    <mergeCell ref="N2:O2"/>
    <mergeCell ref="B11:C11"/>
    <mergeCell ref="H44:J44"/>
    <mergeCell ref="F12:F13"/>
    <mergeCell ref="G12:G13"/>
    <mergeCell ref="H12:H13"/>
    <mergeCell ref="G6:O6"/>
    <mergeCell ref="K12:K13"/>
    <mergeCell ref="O12:O13"/>
  </mergeCells>
  <conditionalFormatting sqref="C14:C43">
    <cfRule type="duplicateValues" dxfId="123" priority="1" stopIfTrue="1"/>
    <cfRule type="expression" dxfId="122" priority="2" stopIfTrue="1">
      <formula>AND(COUNTIF($C$1:$C$1294, C14)+COUNTIF($C$1296:$C$65377, C14)&gt;1,NOT(ISBLANK(C14)))</formula>
    </cfRule>
    <cfRule type="expression" dxfId="121" priority="3" stopIfTrue="1">
      <formula>AND(COUNTIF($C$1:$C$1297, C14)+COUNTIF($C$1298:$C$65377, C14)&gt;1,NOT(ISBLANK(C14)))</formula>
    </cfRule>
    <cfRule type="expression" dxfId="120" priority="4" stopIfTrue="1">
      <formula>AND(COUNTIF($C$1:$C$1403, C14)+COUNTIF($C$1416:$C$65377, C14)&gt;1,NOT(ISBLANK(C14)))</formula>
    </cfRule>
  </conditionalFormatting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B1:O49"/>
  <sheetViews>
    <sheetView zoomScale="70" zoomScaleNormal="70" workbookViewId="0">
      <selection activeCell="D10" sqref="D10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E12:E13"/>
    <mergeCell ref="F12:F13"/>
    <mergeCell ref="I12:J13"/>
    <mergeCell ref="K12:K13"/>
    <mergeCell ref="O12:O13"/>
    <mergeCell ref="H44:J44"/>
    <mergeCell ref="B2:D5"/>
    <mergeCell ref="E2:F5"/>
    <mergeCell ref="G2:I5"/>
    <mergeCell ref="N2:O2"/>
    <mergeCell ref="B11:C11"/>
    <mergeCell ref="J3:M5"/>
    <mergeCell ref="N3:O3"/>
    <mergeCell ref="N4:O4"/>
    <mergeCell ref="N5:O5"/>
    <mergeCell ref="G12:G13"/>
    <mergeCell ref="H12:H13"/>
    <mergeCell ref="G6:O6"/>
    <mergeCell ref="B12:B13"/>
    <mergeCell ref="C12:C13"/>
    <mergeCell ref="D12:D13"/>
  </mergeCells>
  <conditionalFormatting sqref="C14:C43">
    <cfRule type="duplicateValues" dxfId="119" priority="1" stopIfTrue="1"/>
    <cfRule type="expression" dxfId="118" priority="2" stopIfTrue="1">
      <formula>AND(COUNTIF($C$1:$C$1294, C14)+COUNTIF($C$1296:$C$65377, C14)&gt;1,NOT(ISBLANK(C14)))</formula>
    </cfRule>
    <cfRule type="expression" dxfId="117" priority="3" stopIfTrue="1">
      <formula>AND(COUNTIF($C$1:$C$1297, C14)+COUNTIF($C$1298:$C$65377, C14)&gt;1,NOT(ISBLANK(C14)))</formula>
    </cfRule>
    <cfRule type="expression" dxfId="116" priority="4" stopIfTrue="1">
      <formula>AND(COUNTIF($C$1:$C$1403, C14)+COUNTIF($C$1416:$C$65377, C14)&gt;1,NOT(ISBLANK(C14)))</formula>
    </cfRule>
  </conditionalFormatting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B1:O49"/>
  <sheetViews>
    <sheetView zoomScale="70" zoomScaleNormal="70" workbookViewId="0">
      <selection activeCell="D10" sqref="D10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E12:E13"/>
    <mergeCell ref="F12:F13"/>
    <mergeCell ref="I12:J13"/>
    <mergeCell ref="K12:K13"/>
    <mergeCell ref="O12:O13"/>
    <mergeCell ref="H44:J44"/>
    <mergeCell ref="B2:D5"/>
    <mergeCell ref="E2:F5"/>
    <mergeCell ref="G2:I5"/>
    <mergeCell ref="N2:O2"/>
    <mergeCell ref="B11:C11"/>
    <mergeCell ref="J3:M5"/>
    <mergeCell ref="N3:O3"/>
    <mergeCell ref="N4:O4"/>
    <mergeCell ref="N5:O5"/>
    <mergeCell ref="G12:G13"/>
    <mergeCell ref="H12:H13"/>
    <mergeCell ref="G6:O6"/>
    <mergeCell ref="B12:B13"/>
    <mergeCell ref="C12:C13"/>
    <mergeCell ref="D12:D13"/>
  </mergeCells>
  <conditionalFormatting sqref="C14:C43">
    <cfRule type="duplicateValues" dxfId="115" priority="1" stopIfTrue="1"/>
    <cfRule type="expression" dxfId="114" priority="2" stopIfTrue="1">
      <formula>AND(COUNTIF($C$1:$C$1294, C14)+COUNTIF($C$1296:$C$65377, C14)&gt;1,NOT(ISBLANK(C14)))</formula>
    </cfRule>
    <cfRule type="expression" dxfId="113" priority="3" stopIfTrue="1">
      <formula>AND(COUNTIF($C$1:$C$1297, C14)+COUNTIF($C$1298:$C$65377, C14)&gt;1,NOT(ISBLANK(C14)))</formula>
    </cfRule>
    <cfRule type="expression" dxfId="112" priority="4" stopIfTrue="1">
      <formula>AND(COUNTIF($C$1:$C$1403, C14)+COUNTIF($C$1416:$C$65377, C14)&gt;1,NOT(ISBLANK(C14)))</formula>
    </cfRule>
  </conditionalFormatting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B1:O49"/>
  <sheetViews>
    <sheetView zoomScale="70" zoomScaleNormal="70" workbookViewId="0">
      <selection activeCell="D10" sqref="D10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sortState xmlns:xlrd2="http://schemas.microsoft.com/office/spreadsheetml/2017/richdata2" ref="B14:O29">
    <sortCondition descending="1" ref="B14:B29"/>
  </sortState>
  <mergeCells count="21">
    <mergeCell ref="F12:F13"/>
    <mergeCell ref="G12:G13"/>
    <mergeCell ref="H12:H13"/>
    <mergeCell ref="G6:O6"/>
    <mergeCell ref="B2:D5"/>
    <mergeCell ref="E2:F5"/>
    <mergeCell ref="G2:I5"/>
    <mergeCell ref="N2:O2"/>
    <mergeCell ref="B11:C11"/>
    <mergeCell ref="B12:B13"/>
    <mergeCell ref="C12:C13"/>
    <mergeCell ref="D12:D13"/>
    <mergeCell ref="E12:E13"/>
    <mergeCell ref="I12:J13"/>
    <mergeCell ref="K12:K13"/>
    <mergeCell ref="O12:O13"/>
    <mergeCell ref="J3:M5"/>
    <mergeCell ref="N3:O3"/>
    <mergeCell ref="N4:O4"/>
    <mergeCell ref="N5:O5"/>
    <mergeCell ref="H44:J44"/>
  </mergeCells>
  <conditionalFormatting sqref="C14:C43">
    <cfRule type="duplicateValues" dxfId="111" priority="1" stopIfTrue="1"/>
    <cfRule type="expression" dxfId="110" priority="2" stopIfTrue="1">
      <formula>AND(COUNTIF($C$1:$C$1294, C14)+COUNTIF($C$1296:$C$65377, C14)&gt;1,NOT(ISBLANK(C14)))</formula>
    </cfRule>
    <cfRule type="expression" dxfId="109" priority="3" stopIfTrue="1">
      <formula>AND(COUNTIF($C$1:$C$1297, C14)+COUNTIF($C$1298:$C$65377, C14)&gt;1,NOT(ISBLANK(C14)))</formula>
    </cfRule>
    <cfRule type="expression" dxfId="108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A37-EA57-4B6A-88CE-A63698045C64}">
  <dimension ref="B1:O49"/>
  <sheetViews>
    <sheetView zoomScale="70" zoomScaleNormal="70" workbookViewId="0">
      <selection activeCell="D10" sqref="D10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107" priority="1" stopIfTrue="1"/>
    <cfRule type="expression" dxfId="106" priority="2" stopIfTrue="1">
      <formula>AND(COUNTIF($C$1:$C$1294, C14)+COUNTIF($C$1296:$C$65377, C14)&gt;1,NOT(ISBLANK(C14)))</formula>
    </cfRule>
    <cfRule type="expression" dxfId="105" priority="3" stopIfTrue="1">
      <formula>AND(COUNTIF($C$1:$C$1297, C14)+COUNTIF($C$1298:$C$65377, C14)&gt;1,NOT(ISBLANK(C14)))</formula>
    </cfRule>
    <cfRule type="expression" dxfId="104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DBEA-0690-43BA-BD71-C89F6C71215C}">
  <dimension ref="B1:O49"/>
  <sheetViews>
    <sheetView zoomScale="70" zoomScaleNormal="70" workbookViewId="0">
      <selection activeCell="D10" sqref="D10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103" priority="1" stopIfTrue="1"/>
    <cfRule type="expression" dxfId="102" priority="2" stopIfTrue="1">
      <formula>AND(COUNTIF($C$1:$C$1294, C14)+COUNTIF($C$1296:$C$65377, C14)&gt;1,NOT(ISBLANK(C14)))</formula>
    </cfRule>
    <cfRule type="expression" dxfId="101" priority="3" stopIfTrue="1">
      <formula>AND(COUNTIF($C$1:$C$1297, C14)+COUNTIF($C$1298:$C$65377, C14)&gt;1,NOT(ISBLANK(C14)))</formula>
    </cfRule>
    <cfRule type="expression" dxfId="100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F648F-DB3A-4F36-877F-35586372D5D1}">
  <dimension ref="B1:O49"/>
  <sheetViews>
    <sheetView zoomScale="70" zoomScaleNormal="70" workbookViewId="0">
      <selection activeCell="D10" sqref="D10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99" priority="1" stopIfTrue="1"/>
    <cfRule type="expression" dxfId="98" priority="2" stopIfTrue="1">
      <formula>AND(COUNTIF($C$1:$C$1294, C14)+COUNTIF($C$1296:$C$65377, C14)&gt;1,NOT(ISBLANK(C14)))</formula>
    </cfRule>
    <cfRule type="expression" dxfId="97" priority="3" stopIfTrue="1">
      <formula>AND(COUNTIF($C$1:$C$1297, C14)+COUNTIF($C$1298:$C$65377, C14)&gt;1,NOT(ISBLANK(C14)))</formula>
    </cfRule>
    <cfRule type="expression" dxfId="96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CDE8B-CC76-4B85-AD0B-93916F3681A3}">
  <dimension ref="B1:O49"/>
  <sheetViews>
    <sheetView zoomScale="70" zoomScaleNormal="70" workbookViewId="0">
      <selection activeCell="D10" sqref="D10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95" priority="1" stopIfTrue="1"/>
    <cfRule type="expression" dxfId="94" priority="2" stopIfTrue="1">
      <formula>AND(COUNTIF($C$1:$C$1294, C14)+COUNTIF($C$1296:$C$65377, C14)&gt;1,NOT(ISBLANK(C14)))</formula>
    </cfRule>
    <cfRule type="expression" dxfId="93" priority="3" stopIfTrue="1">
      <formula>AND(COUNTIF($C$1:$C$1297, C14)+COUNTIF($C$1298:$C$65377, C14)&gt;1,NOT(ISBLANK(C14)))</formula>
    </cfRule>
    <cfRule type="expression" dxfId="92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4B8A-D5AE-4254-B3A4-B1D88E0FF612}">
  <dimension ref="B1:O49"/>
  <sheetViews>
    <sheetView zoomScale="70" zoomScaleNormal="70" workbookViewId="0">
      <selection activeCell="D10" sqref="D10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91" priority="1" stopIfTrue="1"/>
    <cfRule type="expression" dxfId="90" priority="2" stopIfTrue="1">
      <formula>AND(COUNTIF($C$1:$C$1294, C14)+COUNTIF($C$1296:$C$65377, C14)&gt;1,NOT(ISBLANK(C14)))</formula>
    </cfRule>
    <cfRule type="expression" dxfId="89" priority="3" stopIfTrue="1">
      <formula>AND(COUNTIF($C$1:$C$1297, C14)+COUNTIF($C$1298:$C$65377, C14)&gt;1,NOT(ISBLANK(C14)))</formula>
    </cfRule>
    <cfRule type="expression" dxfId="88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5C306-1AAB-4BAF-A515-B3FAFFFFCBC6}">
  <dimension ref="B1:O49"/>
  <sheetViews>
    <sheetView zoomScale="70" zoomScaleNormal="70" workbookViewId="0">
      <selection activeCell="D10" sqref="D10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87" priority="1" stopIfTrue="1"/>
    <cfRule type="expression" dxfId="86" priority="2" stopIfTrue="1">
      <formula>AND(COUNTIF($C$1:$C$1294, C14)+COUNTIF($C$1296:$C$65377, C14)&gt;1,NOT(ISBLANK(C14)))</formula>
    </cfRule>
    <cfRule type="expression" dxfId="85" priority="3" stopIfTrue="1">
      <formula>AND(COUNTIF($C$1:$C$1297, C14)+COUNTIF($C$1298:$C$65377, C14)&gt;1,NOT(ISBLANK(C14)))</formula>
    </cfRule>
    <cfRule type="expression" dxfId="84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12702-7370-4E6D-A9F4-D3380461380D}">
  <dimension ref="B1:O49"/>
  <sheetViews>
    <sheetView zoomScale="70" zoomScaleNormal="70" workbookViewId="0">
      <selection activeCell="D10" sqref="D10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43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83" priority="1" stopIfTrue="1"/>
    <cfRule type="expression" dxfId="82" priority="2" stopIfTrue="1">
      <formula>AND(COUNTIF($C$1:$C$1294, C14)+COUNTIF($C$1296:$C$65377, C14)&gt;1,NOT(ISBLANK(C14)))</formula>
    </cfRule>
    <cfRule type="expression" dxfId="81" priority="3" stopIfTrue="1">
      <formula>AND(COUNTIF($C$1:$C$1297, C14)+COUNTIF($C$1298:$C$65377, C14)&gt;1,NOT(ISBLANK(C14)))</formula>
    </cfRule>
    <cfRule type="expression" dxfId="80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51F4A-5A85-4588-AA75-D7955CE3A76B}">
  <dimension ref="B1:O49"/>
  <sheetViews>
    <sheetView zoomScale="70" zoomScaleNormal="70" workbookViewId="0"/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91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79" priority="1" stopIfTrue="1"/>
    <cfRule type="expression" dxfId="78" priority="2" stopIfTrue="1">
      <formula>AND(COUNTIF($C$1:$C$1294, C14)+COUNTIF($C$1296:$C$65377, C14)&gt;1,NOT(ISBLANK(C14)))</formula>
    </cfRule>
    <cfRule type="expression" dxfId="77" priority="3" stopIfTrue="1">
      <formula>AND(COUNTIF($C$1:$C$1297, C14)+COUNTIF($C$1298:$C$65377, C14)&gt;1,NOT(ISBLANK(C14)))</formula>
    </cfRule>
    <cfRule type="expression" dxfId="76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42020-A58D-4B20-9012-7C06D1815317}">
  <dimension ref="B1:O49"/>
  <sheetViews>
    <sheetView zoomScale="70" zoomScaleNormal="70" workbookViewId="0">
      <selection activeCell="R11" sqref="R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91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75" priority="1" stopIfTrue="1"/>
    <cfRule type="expression" dxfId="74" priority="2" stopIfTrue="1">
      <formula>AND(COUNTIF($C$1:$C$1294, C14)+COUNTIF($C$1296:$C$65377, C14)&gt;1,NOT(ISBLANK(C14)))</formula>
    </cfRule>
    <cfRule type="expression" dxfId="73" priority="3" stopIfTrue="1">
      <formula>AND(COUNTIF($C$1:$C$1297, C14)+COUNTIF($C$1298:$C$65377, C14)&gt;1,NOT(ISBLANK(C14)))</formula>
    </cfRule>
    <cfRule type="expression" dxfId="72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05909-1DFA-463E-A3D3-273C46360396}">
  <dimension ref="B1:O49"/>
  <sheetViews>
    <sheetView zoomScale="70" zoomScaleNormal="70" workbookViewId="0">
      <selection activeCell="R11" sqref="R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91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71" priority="1" stopIfTrue="1"/>
    <cfRule type="expression" dxfId="70" priority="2" stopIfTrue="1">
      <formula>AND(COUNTIF($C$1:$C$1294, C14)+COUNTIF($C$1296:$C$65377, C14)&gt;1,NOT(ISBLANK(C14)))</formula>
    </cfRule>
    <cfRule type="expression" dxfId="69" priority="3" stopIfTrue="1">
      <formula>AND(COUNTIF($C$1:$C$1297, C14)+COUNTIF($C$1298:$C$65377, C14)&gt;1,NOT(ISBLANK(C14)))</formula>
    </cfRule>
    <cfRule type="expression" dxfId="68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0DB7-923D-48D1-9371-7F0C759505B9}">
  <dimension ref="B1:O49"/>
  <sheetViews>
    <sheetView zoomScale="70" zoomScaleNormal="70" workbookViewId="0">
      <selection activeCell="R11" sqref="R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91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67" priority="1" stopIfTrue="1"/>
    <cfRule type="expression" dxfId="66" priority="2" stopIfTrue="1">
      <formula>AND(COUNTIF($C$1:$C$1294, C14)+COUNTIF($C$1296:$C$65377, C14)&gt;1,NOT(ISBLANK(C14)))</formula>
    </cfRule>
    <cfRule type="expression" dxfId="65" priority="3" stopIfTrue="1">
      <formula>AND(COUNTIF($C$1:$C$1297, C14)+COUNTIF($C$1298:$C$65377, C14)&gt;1,NOT(ISBLANK(C14)))</formula>
    </cfRule>
    <cfRule type="expression" dxfId="64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627A2-4450-4331-B5CF-82A5BBBC1895}">
  <dimension ref="B1:O49"/>
  <sheetViews>
    <sheetView zoomScale="70" zoomScaleNormal="70" workbookViewId="0">
      <selection activeCell="R11" sqref="R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91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63" priority="1" stopIfTrue="1"/>
    <cfRule type="expression" dxfId="62" priority="2" stopIfTrue="1">
      <formula>AND(COUNTIF($C$1:$C$1294, C14)+COUNTIF($C$1296:$C$65377, C14)&gt;1,NOT(ISBLANK(C14)))</formula>
    </cfRule>
    <cfRule type="expression" dxfId="61" priority="3" stopIfTrue="1">
      <formula>AND(COUNTIF($C$1:$C$1297, C14)+COUNTIF($C$1298:$C$65377, C14)&gt;1,NOT(ISBLANK(C14)))</formula>
    </cfRule>
    <cfRule type="expression" dxfId="60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E60B-15E9-4CD5-A926-891B20147CC8}">
  <dimension ref="B1:O49"/>
  <sheetViews>
    <sheetView zoomScale="70" zoomScaleNormal="70" workbookViewId="0">
      <selection activeCell="R11" sqref="R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91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59" priority="1" stopIfTrue="1"/>
    <cfRule type="expression" dxfId="58" priority="2" stopIfTrue="1">
      <formula>AND(COUNTIF($C$1:$C$1294, C14)+COUNTIF($C$1296:$C$65377, C14)&gt;1,NOT(ISBLANK(C14)))</formula>
    </cfRule>
    <cfRule type="expression" dxfId="57" priority="3" stopIfTrue="1">
      <formula>AND(COUNTIF($C$1:$C$1297, C14)+COUNTIF($C$1298:$C$65377, C14)&gt;1,NOT(ISBLANK(C14)))</formula>
    </cfRule>
    <cfRule type="expression" dxfId="56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5721-BC28-4CE1-94DF-1C6673D0AAD8}">
  <dimension ref="B1:O49"/>
  <sheetViews>
    <sheetView zoomScale="70" zoomScaleNormal="70" workbookViewId="0">
      <selection activeCell="R11" sqref="R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91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55" priority="1" stopIfTrue="1"/>
    <cfRule type="expression" dxfId="54" priority="2" stopIfTrue="1">
      <formula>AND(COUNTIF($C$1:$C$1294, C14)+COUNTIF($C$1296:$C$65377, C14)&gt;1,NOT(ISBLANK(C14)))</formula>
    </cfRule>
    <cfRule type="expression" dxfId="53" priority="3" stopIfTrue="1">
      <formula>AND(COUNTIF($C$1:$C$1297, C14)+COUNTIF($C$1298:$C$65377, C14)&gt;1,NOT(ISBLANK(C14)))</formula>
    </cfRule>
    <cfRule type="expression" dxfId="52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D9AD6-CAC4-42AA-BE1D-D40F4F19DDD8}">
  <dimension ref="B1:O49"/>
  <sheetViews>
    <sheetView zoomScale="70" zoomScaleNormal="70" workbookViewId="0">
      <selection activeCell="R11" sqref="R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91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51" priority="1" stopIfTrue="1"/>
    <cfRule type="expression" dxfId="50" priority="2" stopIfTrue="1">
      <formula>AND(COUNTIF($C$1:$C$1294, C14)+COUNTIF($C$1296:$C$65377, C14)&gt;1,NOT(ISBLANK(C14)))</formula>
    </cfRule>
    <cfRule type="expression" dxfId="49" priority="3" stopIfTrue="1">
      <formula>AND(COUNTIF($C$1:$C$1297, C14)+COUNTIF($C$1298:$C$65377, C14)&gt;1,NOT(ISBLANK(C14)))</formula>
    </cfRule>
    <cfRule type="expression" dxfId="48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CB862-CBA5-4AAB-A0CD-B6FD51955B2E}">
  <dimension ref="B1:O49"/>
  <sheetViews>
    <sheetView zoomScale="70" zoomScaleNormal="70" workbookViewId="0">
      <selection activeCell="R11" sqref="R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91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47" priority="1" stopIfTrue="1"/>
    <cfRule type="expression" dxfId="46" priority="2" stopIfTrue="1">
      <formula>AND(COUNTIF($C$1:$C$1294, C14)+COUNTIF($C$1296:$C$65377, C14)&gt;1,NOT(ISBLANK(C14)))</formula>
    </cfRule>
    <cfRule type="expression" dxfId="45" priority="3" stopIfTrue="1">
      <formula>AND(COUNTIF($C$1:$C$1297, C14)+COUNTIF($C$1298:$C$65377, C14)&gt;1,NOT(ISBLANK(C14)))</formula>
    </cfRule>
    <cfRule type="expression" dxfId="44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3B2B-1A99-4EDE-BA97-A32285C32554}">
  <dimension ref="B1:O49"/>
  <sheetViews>
    <sheetView zoomScale="70" zoomScaleNormal="70" workbookViewId="0">
      <selection activeCell="R11" sqref="R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91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43" priority="1" stopIfTrue="1"/>
    <cfRule type="expression" dxfId="42" priority="2" stopIfTrue="1">
      <formula>AND(COUNTIF($C$1:$C$1294, C14)+COUNTIF($C$1296:$C$65377, C14)&gt;1,NOT(ISBLANK(C14)))</formula>
    </cfRule>
    <cfRule type="expression" dxfId="41" priority="3" stopIfTrue="1">
      <formula>AND(COUNTIF($C$1:$C$1297, C14)+COUNTIF($C$1298:$C$65377, C14)&gt;1,NOT(ISBLANK(C14)))</formula>
    </cfRule>
    <cfRule type="expression" dxfId="40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A32C-063E-493A-B4FC-1F48E9254463}">
  <dimension ref="B1:O49"/>
  <sheetViews>
    <sheetView zoomScale="70" zoomScaleNormal="70" workbookViewId="0">
      <selection activeCell="R11" sqref="R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91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39" priority="1" stopIfTrue="1"/>
    <cfRule type="expression" dxfId="38" priority="2" stopIfTrue="1">
      <formula>AND(COUNTIF($C$1:$C$1294, C14)+COUNTIF($C$1296:$C$65377, C14)&gt;1,NOT(ISBLANK(C14)))</formula>
    </cfRule>
    <cfRule type="expression" dxfId="37" priority="3" stopIfTrue="1">
      <formula>AND(COUNTIF($C$1:$C$1297, C14)+COUNTIF($C$1298:$C$65377, C14)&gt;1,NOT(ISBLANK(C14)))</formula>
    </cfRule>
    <cfRule type="expression" dxfId="36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66AC-B341-4781-A979-9319B93BCDDA}">
  <dimension ref="B1:O49"/>
  <sheetViews>
    <sheetView zoomScale="70" zoomScaleNormal="70" workbookViewId="0">
      <selection activeCell="R11" sqref="R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91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35" priority="1" stopIfTrue="1"/>
    <cfRule type="expression" dxfId="34" priority="2" stopIfTrue="1">
      <formula>AND(COUNTIF($C$1:$C$1294, C14)+COUNTIF($C$1296:$C$65377, C14)&gt;1,NOT(ISBLANK(C14)))</formula>
    </cfRule>
    <cfRule type="expression" dxfId="33" priority="3" stopIfTrue="1">
      <formula>AND(COUNTIF($C$1:$C$1297, C14)+COUNTIF($C$1298:$C$65377, C14)&gt;1,NOT(ISBLANK(C14)))</formula>
    </cfRule>
    <cfRule type="expression" dxfId="32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7BD7-F8E3-4B70-BDC7-8AFE64D3C152}">
  <dimension ref="B1:O49"/>
  <sheetViews>
    <sheetView zoomScale="70" zoomScaleNormal="70" workbookViewId="0">
      <selection activeCell="R11" sqref="R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91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31" priority="1" stopIfTrue="1"/>
    <cfRule type="expression" dxfId="30" priority="2" stopIfTrue="1">
      <formula>AND(COUNTIF($C$1:$C$1294, C14)+COUNTIF($C$1296:$C$65377, C14)&gt;1,NOT(ISBLANK(C14)))</formula>
    </cfRule>
    <cfRule type="expression" dxfId="29" priority="3" stopIfTrue="1">
      <formula>AND(COUNTIF($C$1:$C$1297, C14)+COUNTIF($C$1298:$C$65377, C14)&gt;1,NOT(ISBLANK(C14)))</formula>
    </cfRule>
    <cfRule type="expression" dxfId="28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6FCE-B846-49F6-AE87-0D00C031526B}">
  <dimension ref="B1:O49"/>
  <sheetViews>
    <sheetView zoomScale="70" zoomScaleNormal="70" workbookViewId="0">
      <selection activeCell="R11" sqref="R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91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27" priority="1" stopIfTrue="1"/>
    <cfRule type="expression" dxfId="26" priority="2" stopIfTrue="1">
      <formula>AND(COUNTIF($C$1:$C$1294, C14)+COUNTIF($C$1296:$C$65377, C14)&gt;1,NOT(ISBLANK(C14)))</formula>
    </cfRule>
    <cfRule type="expression" dxfId="25" priority="3" stopIfTrue="1">
      <formula>AND(COUNTIF($C$1:$C$1297, C14)+COUNTIF($C$1298:$C$65377, C14)&gt;1,NOT(ISBLANK(C14)))</formula>
    </cfRule>
    <cfRule type="expression" dxfId="24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4ED3F-3823-4108-A208-1198BF611FCB}">
  <dimension ref="B1:O49"/>
  <sheetViews>
    <sheetView zoomScale="70" zoomScaleNormal="70" workbookViewId="0">
      <selection activeCell="R11" sqref="R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91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23" priority="1" stopIfTrue="1"/>
    <cfRule type="expression" dxfId="22" priority="2" stopIfTrue="1">
      <formula>AND(COUNTIF($C$1:$C$1294, C14)+COUNTIF($C$1296:$C$65377, C14)&gt;1,NOT(ISBLANK(C14)))</formula>
    </cfRule>
    <cfRule type="expression" dxfId="21" priority="3" stopIfTrue="1">
      <formula>AND(COUNTIF($C$1:$C$1297, C14)+COUNTIF($C$1298:$C$65377, C14)&gt;1,NOT(ISBLANK(C14)))</formula>
    </cfRule>
    <cfRule type="expression" dxfId="20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A599C-580C-453B-A06D-8164658A51D9}">
  <dimension ref="B1:O49"/>
  <sheetViews>
    <sheetView zoomScale="70" zoomScaleNormal="70" workbookViewId="0">
      <selection activeCell="R11" sqref="R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91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19" priority="1" stopIfTrue="1"/>
    <cfRule type="expression" dxfId="18" priority="2" stopIfTrue="1">
      <formula>AND(COUNTIF($C$1:$C$1294, C14)+COUNTIF($C$1296:$C$65377, C14)&gt;1,NOT(ISBLANK(C14)))</formula>
    </cfRule>
    <cfRule type="expression" dxfId="17" priority="3" stopIfTrue="1">
      <formula>AND(COUNTIF($C$1:$C$1297, C14)+COUNTIF($C$1298:$C$65377, C14)&gt;1,NOT(ISBLANK(C14)))</formula>
    </cfRule>
    <cfRule type="expression" dxfId="16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E6759-0793-4379-8B77-91FC0C2C74F2}">
  <dimension ref="B1:O49"/>
  <sheetViews>
    <sheetView zoomScale="70" zoomScaleNormal="70" workbookViewId="0">
      <selection activeCell="R11" sqref="R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91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15" priority="1" stopIfTrue="1"/>
    <cfRule type="expression" dxfId="14" priority="2" stopIfTrue="1">
      <formula>AND(COUNTIF($C$1:$C$1294, C14)+COUNTIF($C$1296:$C$65377, C14)&gt;1,NOT(ISBLANK(C14)))</formula>
    </cfRule>
    <cfRule type="expression" dxfId="13" priority="3" stopIfTrue="1">
      <formula>AND(COUNTIF($C$1:$C$1297, C14)+COUNTIF($C$1298:$C$65377, C14)&gt;1,NOT(ISBLANK(C14)))</formula>
    </cfRule>
    <cfRule type="expression" dxfId="12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04DA6-E8E2-4239-8492-F14DBD6184C9}">
  <dimension ref="B1:O49"/>
  <sheetViews>
    <sheetView zoomScale="70" zoomScaleNormal="70" workbookViewId="0">
      <selection activeCell="R11" sqref="R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91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11" priority="1" stopIfTrue="1"/>
    <cfRule type="expression" dxfId="10" priority="2" stopIfTrue="1">
      <formula>AND(COUNTIF($C$1:$C$1294, C14)+COUNTIF($C$1296:$C$65377, C14)&gt;1,NOT(ISBLANK(C14)))</formula>
    </cfRule>
    <cfRule type="expression" dxfId="9" priority="3" stopIfTrue="1">
      <formula>AND(COUNTIF($C$1:$C$1297, C14)+COUNTIF($C$1298:$C$65377, C14)&gt;1,NOT(ISBLANK(C14)))</formula>
    </cfRule>
    <cfRule type="expression" dxfId="8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4C51-88CB-4E61-9C8C-FA7AD1B7F6A1}">
  <dimension ref="B1:O49"/>
  <sheetViews>
    <sheetView zoomScale="70" zoomScaleNormal="70" workbookViewId="0"/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91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7" priority="1" stopIfTrue="1"/>
    <cfRule type="expression" dxfId="6" priority="2" stopIfTrue="1">
      <formula>AND(COUNTIF($C$1:$C$1294, C14)+COUNTIF($C$1296:$C$65377, C14)&gt;1,NOT(ISBLANK(C14)))</formula>
    </cfRule>
    <cfRule type="expression" dxfId="5" priority="3" stopIfTrue="1">
      <formula>AND(COUNTIF($C$1:$C$1297, C14)+COUNTIF($C$1298:$C$65377, C14)&gt;1,NOT(ISBLANK(C14)))</formula>
    </cfRule>
    <cfRule type="expression" dxfId="4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AB91B-2F2B-42C6-AF21-1B9E2ECD37A7}">
  <dimension ref="B1:O49"/>
  <sheetViews>
    <sheetView zoomScale="70" zoomScaleNormal="70" workbookViewId="0">
      <selection activeCell="R11" sqref="R11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203"/>
      <c r="C2" s="203"/>
      <c r="D2" s="203"/>
      <c r="E2" s="204" t="s">
        <v>8</v>
      </c>
      <c r="F2" s="205"/>
      <c r="G2" s="210"/>
      <c r="H2" s="211"/>
      <c r="I2" s="212"/>
      <c r="J2" s="42" t="s">
        <v>9</v>
      </c>
      <c r="K2" s="46"/>
      <c r="L2" s="10"/>
      <c r="M2" s="11"/>
      <c r="N2" s="219" t="s">
        <v>10</v>
      </c>
      <c r="O2" s="220"/>
    </row>
    <row r="3" spans="2:15" ht="18" customHeight="1">
      <c r="B3" s="203"/>
      <c r="C3" s="203"/>
      <c r="D3" s="203"/>
      <c r="E3" s="206"/>
      <c r="F3" s="207"/>
      <c r="G3" s="213"/>
      <c r="H3" s="214"/>
      <c r="I3" s="215"/>
      <c r="J3" s="221" t="s">
        <v>11</v>
      </c>
      <c r="K3" s="222"/>
      <c r="L3" s="222"/>
      <c r="M3" s="223"/>
      <c r="N3" s="219" t="s">
        <v>12</v>
      </c>
      <c r="O3" s="220"/>
    </row>
    <row r="4" spans="2:15" s="47" customFormat="1" ht="18" customHeight="1">
      <c r="B4" s="203"/>
      <c r="C4" s="203"/>
      <c r="D4" s="203"/>
      <c r="E4" s="206"/>
      <c r="F4" s="207"/>
      <c r="G4" s="213"/>
      <c r="H4" s="214"/>
      <c r="I4" s="215"/>
      <c r="J4" s="221"/>
      <c r="K4" s="222"/>
      <c r="L4" s="222"/>
      <c r="M4" s="223"/>
      <c r="N4" s="219" t="s">
        <v>13</v>
      </c>
      <c r="O4" s="220"/>
    </row>
    <row r="5" spans="2:15" s="47" customFormat="1" ht="18" customHeight="1">
      <c r="B5" s="203"/>
      <c r="C5" s="203"/>
      <c r="D5" s="203"/>
      <c r="E5" s="208"/>
      <c r="F5" s="209"/>
      <c r="G5" s="216"/>
      <c r="H5" s="217"/>
      <c r="I5" s="218"/>
      <c r="J5" s="224"/>
      <c r="K5" s="225"/>
      <c r="L5" s="225"/>
      <c r="M5" s="226"/>
      <c r="N5" s="219" t="s">
        <v>14</v>
      </c>
      <c r="O5" s="220"/>
    </row>
    <row r="6" spans="2:15" ht="13.15" customHeight="1">
      <c r="B6" s="48"/>
      <c r="C6" s="8"/>
      <c r="D6" s="2"/>
      <c r="E6" s="2"/>
      <c r="F6" s="3"/>
      <c r="G6" s="193"/>
      <c r="H6" s="193"/>
      <c r="I6" s="193"/>
      <c r="J6" s="193"/>
      <c r="K6" s="193"/>
      <c r="L6" s="193"/>
      <c r="M6" s="193"/>
      <c r="N6" s="193"/>
      <c r="O6" s="193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47</v>
      </c>
      <c r="C8" s="54"/>
      <c r="D8" s="39"/>
      <c r="F8" s="39"/>
      <c r="G8" s="54" t="str">
        <f>B8</f>
        <v>- Loại hình/hình thức đào tạo: Định kỳ/Elearning+Trực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17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19</v>
      </c>
      <c r="C10" s="54"/>
      <c r="D10" s="39" t="s">
        <v>91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195" t="s">
        <v>21</v>
      </c>
      <c r="C11" s="196"/>
      <c r="D11" s="39"/>
      <c r="F11" s="39"/>
      <c r="G11" s="54" t="s">
        <v>22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197" t="s">
        <v>3</v>
      </c>
      <c r="C12" s="197" t="s">
        <v>23</v>
      </c>
      <c r="D12" s="199" t="s">
        <v>24</v>
      </c>
      <c r="E12" s="199" t="s">
        <v>25</v>
      </c>
      <c r="F12" s="201" t="s">
        <v>26</v>
      </c>
      <c r="G12" s="188" t="s">
        <v>3</v>
      </c>
      <c r="H12" s="188" t="s">
        <v>27</v>
      </c>
      <c r="I12" s="184" t="s">
        <v>24</v>
      </c>
      <c r="J12" s="185"/>
      <c r="K12" s="188" t="s">
        <v>25</v>
      </c>
      <c r="L12" s="15" t="s">
        <v>28</v>
      </c>
      <c r="M12" s="15" t="s">
        <v>28</v>
      </c>
      <c r="N12" s="15" t="s">
        <v>28</v>
      </c>
      <c r="O12" s="188" t="s">
        <v>26</v>
      </c>
    </row>
    <row r="13" spans="2:15" ht="17.25" customHeight="1">
      <c r="B13" s="198"/>
      <c r="C13" s="198"/>
      <c r="D13" s="200"/>
      <c r="E13" s="200"/>
      <c r="F13" s="202"/>
      <c r="G13" s="189"/>
      <c r="H13" s="189"/>
      <c r="I13" s="186"/>
      <c r="J13" s="187"/>
      <c r="K13" s="189"/>
      <c r="L13" s="68">
        <f>I9</f>
        <v>0</v>
      </c>
      <c r="M13" s="15"/>
      <c r="N13" s="15"/>
      <c r="O13" s="189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89</v>
      </c>
      <c r="D44" s="6"/>
      <c r="E44" s="5"/>
      <c r="F44" s="65" t="s">
        <v>30</v>
      </c>
      <c r="G44" s="43"/>
      <c r="H44" s="190" t="s">
        <v>31</v>
      </c>
      <c r="I44" s="191"/>
      <c r="J44" s="192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32</v>
      </c>
    </row>
    <row r="47" spans="2:15" ht="18.75">
      <c r="B47" s="4"/>
      <c r="D47" s="6"/>
      <c r="E47" s="5"/>
      <c r="F47" s="7"/>
      <c r="G47" s="35" t="s">
        <v>33</v>
      </c>
    </row>
    <row r="48" spans="2:15" ht="18.75">
      <c r="C48" s="41" t="s">
        <v>90</v>
      </c>
      <c r="D48" s="5"/>
      <c r="E48" s="9" t="s">
        <v>35</v>
      </c>
      <c r="F48" s="9" t="s">
        <v>36</v>
      </c>
      <c r="G48" s="35" t="s">
        <v>37</v>
      </c>
    </row>
    <row r="49" spans="2:7" ht="18.75">
      <c r="B49" s="5"/>
      <c r="G49" s="8" t="s">
        <v>38</v>
      </c>
    </row>
  </sheetData>
  <mergeCells count="21"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43">
    <cfRule type="duplicateValues" dxfId="3" priority="1" stopIfTrue="1"/>
    <cfRule type="expression" dxfId="2" priority="2" stopIfTrue="1">
      <formula>AND(COUNTIF($C$1:$C$1294, C14)+COUNTIF($C$1296:$C$65377, C14)&gt;1,NOT(ISBLANK(C14)))</formula>
    </cfRule>
    <cfRule type="expression" dxfId="1" priority="3" stopIfTrue="1">
      <formula>AND(COUNTIF($C$1:$C$1297, C14)+COUNTIF($C$1298:$C$65377, C14)&gt;1,NOT(ISBLANK(C14)))</formula>
    </cfRule>
    <cfRule type="expression" dxfId="0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F7CD27CA57E54F8FB35F5E7015F17A" ma:contentTypeVersion="18" ma:contentTypeDescription="Create a new document." ma:contentTypeScope="" ma:versionID="7d121cff0cdc46e40dbc34301c264854">
  <xsd:schema xmlns:xsd="http://www.w3.org/2001/XMLSchema" xmlns:xs="http://www.w3.org/2001/XMLSchema" xmlns:p="http://schemas.microsoft.com/office/2006/metadata/properties" xmlns:ns2="22573080-bcca-47a7-8375-c58533d274af" xmlns:ns3="50157133-5f7b-42e0-9b94-ede48f368558" targetNamespace="http://schemas.microsoft.com/office/2006/metadata/properties" ma:root="true" ma:fieldsID="f37258b23e7ac259cc90540b18c5fd95" ns2:_="" ns3:_="">
    <xsd:import namespace="22573080-bcca-47a7-8375-c58533d274af"/>
    <xsd:import namespace="50157133-5f7b-42e0-9b94-ede48f3685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573080-bcca-47a7-8375-c58533d274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b740e5a-8837-4c3e-b512-0f975cc677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157133-5f7b-42e0-9b94-ede48f3685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2fbc6c-96e7-4728-aa23-9aad2eec5add}" ma:internalName="TaxCatchAll" ma:showField="CatchAllData" ma:web="50157133-5f7b-42e0-9b94-ede48f3685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157133-5f7b-42e0-9b94-ede48f368558" xsi:nil="true"/>
    <lcf76f155ced4ddcb4097134ff3c332f xmlns="22573080-bcca-47a7-8375-c58533d274a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ADC9C2-93B4-4F02-BFF9-7832FA4DB7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66FE6F-0621-49F0-806D-6670B74E18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573080-bcca-47a7-8375-c58533d274af"/>
    <ds:schemaRef ds:uri="50157133-5f7b-42e0-9b94-ede48f3685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C659B2-2A15-42BA-B40C-98BCF04C67BF}">
  <ds:schemaRefs>
    <ds:schemaRef ds:uri="http://schemas.microsoft.com/office/2006/metadata/properties"/>
    <ds:schemaRef ds:uri="http://schemas.microsoft.com/office/infopath/2007/PartnerControls"/>
    <ds:schemaRef ds:uri="50157133-5f7b-42e0-9b94-ede48f368558"/>
    <ds:schemaRef ds:uri="22573080-bcca-47a7-8375-c58533d274a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81</vt:i4>
      </vt:variant>
      <vt:variant>
        <vt:lpstr>Named Ranges</vt:lpstr>
      </vt:variant>
      <vt:variant>
        <vt:i4>3</vt:i4>
      </vt:variant>
    </vt:vector>
  </HeadingPairs>
  <TitlesOfParts>
    <vt:vector size="84" baseType="lpstr">
      <vt:lpstr>Muc luc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Index</vt:lpstr>
      <vt:lpstr>'40'!Print_Titles</vt:lpstr>
      <vt:lpstr>'49'!Print_Titles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nghiand</dc:creator>
  <cp:keywords/>
  <dc:description/>
  <cp:lastModifiedBy>Nguyen Cao Binh - VIAGS</cp:lastModifiedBy>
  <cp:revision/>
  <dcterms:created xsi:type="dcterms:W3CDTF">2021-03-25T03:09:36Z</dcterms:created>
  <dcterms:modified xsi:type="dcterms:W3CDTF">2026-08-20T01:03:11Z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0x01010025F7CD27CA57E54F8FB35F5E7015F17A</vt:lpwstr>
  </property>
  <property fmtid="{D5CDD505-2E9C-101B-9397-08002B2CF9AE}" pid="3" name="MediaServiceImageTags">
    <vt:lpwstr/>
  </property>
</Properties>
</file>