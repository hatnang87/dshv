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07"/>
  <workbookPr codeName="ThisWorkbook" defaultThemeVersion="166925"/>
  <mc:AlternateContent xmlns:mc="http://schemas.openxmlformats.org/markup-compatibility/2006">
    <mc:Choice Requires="x15">
      <x15ac:absPath xmlns:x15ac="http://schemas.microsoft.com/office/spreadsheetml/2010/11/ac" url="https://viagsvn.sharepoint.com/sites/ViagsUserData/TTDTVIAGS/0. TTDT MB/DANH SACH LOP HOC/NĂM 2025/"/>
    </mc:Choice>
  </mc:AlternateContent>
  <xr:revisionPtr revIDLastSave="2827" documentId="11_026A156D83DCBE25031F707460AAE307C9C08069" xr6:coauthVersionLast="47" xr6:coauthVersionMax="47" xr10:uidLastSave="{B6C4ABAC-0476-4E5A-89D9-B6054479A25B}"/>
  <bookViews>
    <workbookView xWindow="-108" yWindow="-108" windowWidth="23256" windowHeight="12576" tabRatio="879" firstSheet="7" activeTab="14" xr2:uid="{00000000-000D-0000-FFFF-FFFF00000000}"/>
  </bookViews>
  <sheets>
    <sheet name="Muc luc" sheetId="32" r:id="rId1"/>
    <sheet name="1" sheetId="60" r:id="rId2"/>
    <sheet name="2" sheetId="33" r:id="rId3"/>
    <sheet name="3" sheetId="3" r:id="rId4"/>
    <sheet name="4" sheetId="4" r:id="rId5"/>
    <sheet name="5" sheetId="5" r:id="rId6"/>
    <sheet name="6" sheetId="6" r:id="rId7"/>
    <sheet name="7" sheetId="7" r:id="rId8"/>
    <sheet name="8" sheetId="8" r:id="rId9"/>
    <sheet name="9" sheetId="9" r:id="rId10"/>
    <sheet name="10" sheetId="10" r:id="rId11"/>
    <sheet name="11" sheetId="11" r:id="rId12"/>
    <sheet name="12" sheetId="34" r:id="rId13"/>
    <sheet name="13" sheetId="35" r:id="rId14"/>
    <sheet name="14" sheetId="36" r:id="rId15"/>
    <sheet name="15" sheetId="37" r:id="rId16"/>
    <sheet name="16" sheetId="16" r:id="rId17"/>
    <sheet name="17" sheetId="17" r:id="rId18"/>
    <sheet name="18" sheetId="18" r:id="rId19"/>
    <sheet name="19" sheetId="19" r:id="rId20"/>
    <sheet name="20" sheetId="20" r:id="rId21"/>
    <sheet name="21" sheetId="21" r:id="rId22"/>
    <sheet name="22" sheetId="22" r:id="rId23"/>
    <sheet name="23" sheetId="79" r:id="rId24"/>
    <sheet name="24" sheetId="24" r:id="rId25"/>
    <sheet name="25" sheetId="25" r:id="rId26"/>
    <sheet name="26" sheetId="26" r:id="rId27"/>
    <sheet name="27" sheetId="27" r:id="rId28"/>
    <sheet name="28" sheetId="28" r:id="rId29"/>
    <sheet name="29" sheetId="29" r:id="rId30"/>
    <sheet name="30" sheetId="30" r:id="rId31"/>
    <sheet name="31" sheetId="39" r:id="rId32"/>
    <sheet name="32" sheetId="40" r:id="rId33"/>
    <sheet name="33" sheetId="41" r:id="rId34"/>
    <sheet name="34" sheetId="43" r:id="rId35"/>
    <sheet name="35" sheetId="44" r:id="rId36"/>
    <sheet name="36" sheetId="45" r:id="rId37"/>
    <sheet name="37" sheetId="46" r:id="rId38"/>
    <sheet name="38" sheetId="47" r:id="rId39"/>
    <sheet name="39" sheetId="48" r:id="rId40"/>
    <sheet name="40" sheetId="81" r:id="rId41"/>
    <sheet name="41" sheetId="61" r:id="rId42"/>
    <sheet name="42" sheetId="62" r:id="rId43"/>
    <sheet name="43" sheetId="63" r:id="rId44"/>
    <sheet name="44" sheetId="64" r:id="rId45"/>
    <sheet name="45" sheetId="65" r:id="rId46"/>
    <sheet name="46" sheetId="66" r:id="rId47"/>
    <sheet name="47" sheetId="67" r:id="rId48"/>
    <sheet name="48" sheetId="68" r:id="rId49"/>
    <sheet name="49" sheetId="69" r:id="rId50"/>
    <sheet name="50" sheetId="70" r:id="rId51"/>
    <sheet name="51" sheetId="71" r:id="rId52"/>
    <sheet name="52" sheetId="72" r:id="rId53"/>
    <sheet name="53" sheetId="80" r:id="rId54"/>
  </sheets>
  <definedNames>
    <definedName name="_xlnm._FilterDatabase" localSheetId="0" hidden="1">'Muc luc'!$A$2:$E$55</definedName>
    <definedName name="Index">'Muc luc'!$A$1</definedName>
    <definedName name="_xlnm.Print_Titles" localSheetId="40">'40'!$12:$13</definedName>
    <definedName name="_xlnm.Print_Titles" localSheetId="49">'49'!$12:$13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9" i="72" l="1"/>
  <c r="V29" i="72"/>
  <c r="U29" i="72"/>
  <c r="T29" i="72"/>
  <c r="R29" i="72"/>
  <c r="Q29" i="72"/>
  <c r="P29" i="72"/>
  <c r="K29" i="72"/>
  <c r="I29" i="72"/>
  <c r="H29" i="72"/>
  <c r="G29" i="72"/>
  <c r="B29" i="72"/>
  <c r="W28" i="72"/>
  <c r="V28" i="72"/>
  <c r="U28" i="72"/>
  <c r="T28" i="72"/>
  <c r="R28" i="72"/>
  <c r="Q28" i="72"/>
  <c r="K28" i="72"/>
  <c r="I28" i="72"/>
  <c r="H28" i="72"/>
  <c r="B28" i="72"/>
  <c r="P28" i="72" s="1"/>
  <c r="W27" i="72"/>
  <c r="V27" i="72"/>
  <c r="U27" i="72"/>
  <c r="T27" i="72"/>
  <c r="R27" i="72"/>
  <c r="Q27" i="72"/>
  <c r="P27" i="72"/>
  <c r="K27" i="72"/>
  <c r="I27" i="72"/>
  <c r="H27" i="72"/>
  <c r="G27" i="72"/>
  <c r="B27" i="72"/>
  <c r="W26" i="72"/>
  <c r="V26" i="72"/>
  <c r="U26" i="72"/>
  <c r="T26" i="72"/>
  <c r="R26" i="72"/>
  <c r="Q26" i="72"/>
  <c r="K26" i="72"/>
  <c r="I26" i="72"/>
  <c r="H26" i="72"/>
  <c r="B26" i="72"/>
  <c r="G26" i="72" s="1"/>
  <c r="W25" i="72"/>
  <c r="V25" i="72"/>
  <c r="U25" i="72"/>
  <c r="T25" i="72"/>
  <c r="R25" i="72"/>
  <c r="Q25" i="72"/>
  <c r="P25" i="72"/>
  <c r="K25" i="72"/>
  <c r="I25" i="72"/>
  <c r="H25" i="72"/>
  <c r="G25" i="72"/>
  <c r="B25" i="72"/>
  <c r="W24" i="72"/>
  <c r="V24" i="72"/>
  <c r="U24" i="72"/>
  <c r="T24" i="72"/>
  <c r="R24" i="72"/>
  <c r="Q24" i="72"/>
  <c r="K24" i="72"/>
  <c r="I24" i="72"/>
  <c r="H24" i="72"/>
  <c r="B24" i="72"/>
  <c r="P24" i="72" s="1"/>
  <c r="W23" i="72"/>
  <c r="V23" i="72"/>
  <c r="U23" i="72"/>
  <c r="T23" i="72"/>
  <c r="R23" i="72"/>
  <c r="Q23" i="72"/>
  <c r="P23" i="72"/>
  <c r="K23" i="72"/>
  <c r="I23" i="72"/>
  <c r="H23" i="72"/>
  <c r="G23" i="72"/>
  <c r="B23" i="72"/>
  <c r="W22" i="72"/>
  <c r="V22" i="72"/>
  <c r="U22" i="72"/>
  <c r="T22" i="72"/>
  <c r="R22" i="72"/>
  <c r="Q22" i="72"/>
  <c r="K22" i="72"/>
  <c r="I22" i="72"/>
  <c r="H22" i="72"/>
  <c r="B22" i="72"/>
  <c r="P22" i="72" s="1"/>
  <c r="W21" i="72"/>
  <c r="V21" i="72"/>
  <c r="U21" i="72"/>
  <c r="T21" i="72"/>
  <c r="R21" i="72"/>
  <c r="Q21" i="72"/>
  <c r="P21" i="72"/>
  <c r="K21" i="72"/>
  <c r="I21" i="72"/>
  <c r="H21" i="72"/>
  <c r="G21" i="72"/>
  <c r="B21" i="72"/>
  <c r="W20" i="72"/>
  <c r="V20" i="72"/>
  <c r="U20" i="72"/>
  <c r="T20" i="72"/>
  <c r="R20" i="72"/>
  <c r="Q20" i="72"/>
  <c r="K20" i="72"/>
  <c r="I20" i="72"/>
  <c r="H20" i="72"/>
  <c r="B20" i="72"/>
  <c r="P20" i="72" s="1"/>
  <c r="W19" i="72"/>
  <c r="V19" i="72"/>
  <c r="U19" i="72"/>
  <c r="T19" i="72"/>
  <c r="R19" i="72"/>
  <c r="Q19" i="72"/>
  <c r="P19" i="72"/>
  <c r="K19" i="72"/>
  <c r="I19" i="72"/>
  <c r="H19" i="72"/>
  <c r="G19" i="72"/>
  <c r="B19" i="72"/>
  <c r="W18" i="72"/>
  <c r="V18" i="72"/>
  <c r="U18" i="72"/>
  <c r="T18" i="72"/>
  <c r="R18" i="72"/>
  <c r="Q18" i="72"/>
  <c r="K18" i="72"/>
  <c r="I18" i="72"/>
  <c r="H18" i="72"/>
  <c r="B18" i="72"/>
  <c r="G18" i="72" s="1"/>
  <c r="W17" i="72"/>
  <c r="V17" i="72"/>
  <c r="U17" i="72"/>
  <c r="T17" i="72"/>
  <c r="R17" i="72"/>
  <c r="Q17" i="72"/>
  <c r="P17" i="72"/>
  <c r="K17" i="72"/>
  <c r="I17" i="72"/>
  <c r="H17" i="72"/>
  <c r="G17" i="72"/>
  <c r="B17" i="72"/>
  <c r="W16" i="72"/>
  <c r="V16" i="72"/>
  <c r="U16" i="72"/>
  <c r="T16" i="72"/>
  <c r="R16" i="72"/>
  <c r="Q16" i="72"/>
  <c r="K16" i="72"/>
  <c r="I16" i="72"/>
  <c r="H16" i="72"/>
  <c r="B16" i="72"/>
  <c r="P16" i="72" s="1"/>
  <c r="W15" i="72"/>
  <c r="V15" i="72"/>
  <c r="U15" i="72"/>
  <c r="T15" i="72"/>
  <c r="R15" i="72"/>
  <c r="Q15" i="72"/>
  <c r="P15" i="72"/>
  <c r="K15" i="72"/>
  <c r="I15" i="72"/>
  <c r="H15" i="72"/>
  <c r="G15" i="72"/>
  <c r="B15" i="72"/>
  <c r="W14" i="72"/>
  <c r="V14" i="72"/>
  <c r="U14" i="72"/>
  <c r="T14" i="72"/>
  <c r="R14" i="72"/>
  <c r="Q14" i="72"/>
  <c r="K14" i="72"/>
  <c r="I14" i="72"/>
  <c r="H14" i="72"/>
  <c r="B14" i="72"/>
  <c r="P14" i="72" s="1"/>
  <c r="P11" i="72"/>
  <c r="K11" i="72"/>
  <c r="T11" i="72" s="1"/>
  <c r="I10" i="72"/>
  <c r="R10" i="72" s="1"/>
  <c r="G10" i="72"/>
  <c r="P10" i="72" s="1"/>
  <c r="R9" i="72"/>
  <c r="I9" i="72"/>
  <c r="L13" i="72" s="1"/>
  <c r="G9" i="72"/>
  <c r="P9" i="72" s="1"/>
  <c r="G8" i="72"/>
  <c r="P8" i="72" s="1"/>
  <c r="I7" i="72"/>
  <c r="R7" i="72" s="1"/>
  <c r="W29" i="71"/>
  <c r="V29" i="71"/>
  <c r="U29" i="71"/>
  <c r="T29" i="71"/>
  <c r="R29" i="71"/>
  <c r="Q29" i="71"/>
  <c r="K29" i="71"/>
  <c r="I29" i="71"/>
  <c r="H29" i="71"/>
  <c r="B29" i="71"/>
  <c r="G29" i="71" s="1"/>
  <c r="W28" i="71"/>
  <c r="V28" i="71"/>
  <c r="U28" i="71"/>
  <c r="T28" i="71"/>
  <c r="R28" i="71"/>
  <c r="Q28" i="71"/>
  <c r="K28" i="71"/>
  <c r="I28" i="71"/>
  <c r="H28" i="71"/>
  <c r="B28" i="71"/>
  <c r="P28" i="71" s="1"/>
  <c r="W27" i="71"/>
  <c r="V27" i="71"/>
  <c r="U27" i="71"/>
  <c r="T27" i="71"/>
  <c r="R27" i="71"/>
  <c r="Q27" i="71"/>
  <c r="K27" i="71"/>
  <c r="I27" i="71"/>
  <c r="H27" i="71"/>
  <c r="B27" i="71"/>
  <c r="G27" i="71" s="1"/>
  <c r="W26" i="71"/>
  <c r="V26" i="71"/>
  <c r="U26" i="71"/>
  <c r="T26" i="71"/>
  <c r="R26" i="71"/>
  <c r="Q26" i="71"/>
  <c r="K26" i="71"/>
  <c r="I26" i="71"/>
  <c r="H26" i="71"/>
  <c r="B26" i="71"/>
  <c r="P26" i="71" s="1"/>
  <c r="W25" i="71"/>
  <c r="V25" i="71"/>
  <c r="U25" i="71"/>
  <c r="T25" i="71"/>
  <c r="R25" i="71"/>
  <c r="Q25" i="71"/>
  <c r="K25" i="71"/>
  <c r="I25" i="71"/>
  <c r="H25" i="71"/>
  <c r="B25" i="71"/>
  <c r="G25" i="71" s="1"/>
  <c r="W24" i="71"/>
  <c r="V24" i="71"/>
  <c r="U24" i="71"/>
  <c r="T24" i="71"/>
  <c r="R24" i="71"/>
  <c r="Q24" i="71"/>
  <c r="K24" i="71"/>
  <c r="I24" i="71"/>
  <c r="H24" i="71"/>
  <c r="B24" i="71"/>
  <c r="P24" i="71" s="1"/>
  <c r="W23" i="71"/>
  <c r="V23" i="71"/>
  <c r="U23" i="71"/>
  <c r="T23" i="71"/>
  <c r="R23" i="71"/>
  <c r="Q23" i="71"/>
  <c r="K23" i="71"/>
  <c r="I23" i="71"/>
  <c r="H23" i="71"/>
  <c r="B23" i="71"/>
  <c r="G23" i="71" s="1"/>
  <c r="W22" i="71"/>
  <c r="V22" i="71"/>
  <c r="U22" i="71"/>
  <c r="T22" i="71"/>
  <c r="R22" i="71"/>
  <c r="Q22" i="71"/>
  <c r="K22" i="71"/>
  <c r="I22" i="71"/>
  <c r="H22" i="71"/>
  <c r="B22" i="71"/>
  <c r="P22" i="71" s="1"/>
  <c r="W21" i="71"/>
  <c r="V21" i="71"/>
  <c r="U21" i="71"/>
  <c r="T21" i="71"/>
  <c r="R21" i="71"/>
  <c r="Q21" i="71"/>
  <c r="K21" i="71"/>
  <c r="I21" i="71"/>
  <c r="H21" i="71"/>
  <c r="B21" i="71"/>
  <c r="G21" i="71" s="1"/>
  <c r="W20" i="71"/>
  <c r="V20" i="71"/>
  <c r="U20" i="71"/>
  <c r="T20" i="71"/>
  <c r="R20" i="71"/>
  <c r="Q20" i="71"/>
  <c r="K20" i="71"/>
  <c r="I20" i="71"/>
  <c r="H20" i="71"/>
  <c r="B20" i="71"/>
  <c r="P20" i="71" s="1"/>
  <c r="W19" i="71"/>
  <c r="V19" i="71"/>
  <c r="U19" i="71"/>
  <c r="T19" i="71"/>
  <c r="R19" i="71"/>
  <c r="Q19" i="71"/>
  <c r="K19" i="71"/>
  <c r="I19" i="71"/>
  <c r="H19" i="71"/>
  <c r="B19" i="71"/>
  <c r="G19" i="71" s="1"/>
  <c r="W18" i="71"/>
  <c r="V18" i="71"/>
  <c r="U18" i="71"/>
  <c r="T18" i="71"/>
  <c r="R18" i="71"/>
  <c r="Q18" i="71"/>
  <c r="K18" i="71"/>
  <c r="I18" i="71"/>
  <c r="H18" i="71"/>
  <c r="B18" i="71"/>
  <c r="P18" i="71" s="1"/>
  <c r="W17" i="71"/>
  <c r="V17" i="71"/>
  <c r="U17" i="71"/>
  <c r="T17" i="71"/>
  <c r="R17" i="71"/>
  <c r="Q17" i="71"/>
  <c r="K17" i="71"/>
  <c r="I17" i="71"/>
  <c r="H17" i="71"/>
  <c r="B17" i="71"/>
  <c r="G17" i="71" s="1"/>
  <c r="W16" i="71"/>
  <c r="V16" i="71"/>
  <c r="U16" i="71"/>
  <c r="T16" i="71"/>
  <c r="R16" i="71"/>
  <c r="Q16" i="71"/>
  <c r="K16" i="71"/>
  <c r="I16" i="71"/>
  <c r="H16" i="71"/>
  <c r="B16" i="71"/>
  <c r="P16" i="71" s="1"/>
  <c r="W15" i="71"/>
  <c r="V15" i="71"/>
  <c r="U15" i="71"/>
  <c r="T15" i="71"/>
  <c r="R15" i="71"/>
  <c r="Q15" i="71"/>
  <c r="K15" i="71"/>
  <c r="I15" i="71"/>
  <c r="H15" i="71"/>
  <c r="B15" i="71"/>
  <c r="G15" i="71" s="1"/>
  <c r="W14" i="71"/>
  <c r="V14" i="71"/>
  <c r="U14" i="71"/>
  <c r="T14" i="71"/>
  <c r="R14" i="71"/>
  <c r="Q14" i="71"/>
  <c r="K14" i="71"/>
  <c r="I14" i="71"/>
  <c r="H14" i="71"/>
  <c r="B14" i="71"/>
  <c r="P14" i="71" s="1"/>
  <c r="L13" i="71"/>
  <c r="P11" i="71"/>
  <c r="K11" i="71"/>
  <c r="T11" i="71" s="1"/>
  <c r="I10" i="71"/>
  <c r="R10" i="71" s="1"/>
  <c r="G10" i="71"/>
  <c r="P10" i="71" s="1"/>
  <c r="R9" i="71"/>
  <c r="I9" i="71"/>
  <c r="G9" i="71"/>
  <c r="P9" i="71" s="1"/>
  <c r="G8" i="71"/>
  <c r="P8" i="71" s="1"/>
  <c r="I7" i="71"/>
  <c r="R7" i="71" s="1"/>
  <c r="W29" i="70"/>
  <c r="V29" i="70"/>
  <c r="U29" i="70"/>
  <c r="T29" i="70"/>
  <c r="R29" i="70"/>
  <c r="Q29" i="70"/>
  <c r="K29" i="70"/>
  <c r="I29" i="70"/>
  <c r="H29" i="70"/>
  <c r="G29" i="70"/>
  <c r="B29" i="70"/>
  <c r="P29" i="70" s="1"/>
  <c r="W28" i="70"/>
  <c r="V28" i="70"/>
  <c r="U28" i="70"/>
  <c r="T28" i="70"/>
  <c r="R28" i="70"/>
  <c r="Q28" i="70"/>
  <c r="K28" i="70"/>
  <c r="I28" i="70"/>
  <c r="H28" i="70"/>
  <c r="B28" i="70"/>
  <c r="P28" i="70" s="1"/>
  <c r="W27" i="70"/>
  <c r="V27" i="70"/>
  <c r="U27" i="70"/>
  <c r="T27" i="70"/>
  <c r="R27" i="70"/>
  <c r="Q27" i="70"/>
  <c r="K27" i="70"/>
  <c r="I27" i="70"/>
  <c r="H27" i="70"/>
  <c r="G27" i="70"/>
  <c r="B27" i="70"/>
  <c r="P27" i="70" s="1"/>
  <c r="W26" i="70"/>
  <c r="V26" i="70"/>
  <c r="U26" i="70"/>
  <c r="T26" i="70"/>
  <c r="R26" i="70"/>
  <c r="Q26" i="70"/>
  <c r="K26" i="70"/>
  <c r="I26" i="70"/>
  <c r="H26" i="70"/>
  <c r="B26" i="70"/>
  <c r="P26" i="70" s="1"/>
  <c r="W25" i="70"/>
  <c r="V25" i="70"/>
  <c r="U25" i="70"/>
  <c r="T25" i="70"/>
  <c r="R25" i="70"/>
  <c r="Q25" i="70"/>
  <c r="K25" i="70"/>
  <c r="I25" i="70"/>
  <c r="H25" i="70"/>
  <c r="G25" i="70"/>
  <c r="B25" i="70"/>
  <c r="P25" i="70" s="1"/>
  <c r="W24" i="70"/>
  <c r="V24" i="70"/>
  <c r="U24" i="70"/>
  <c r="T24" i="70"/>
  <c r="R24" i="70"/>
  <c r="Q24" i="70"/>
  <c r="K24" i="70"/>
  <c r="I24" i="70"/>
  <c r="H24" i="70"/>
  <c r="B24" i="70"/>
  <c r="P24" i="70" s="1"/>
  <c r="W23" i="70"/>
  <c r="V23" i="70"/>
  <c r="U23" i="70"/>
  <c r="T23" i="70"/>
  <c r="R23" i="70"/>
  <c r="Q23" i="70"/>
  <c r="K23" i="70"/>
  <c r="I23" i="70"/>
  <c r="H23" i="70"/>
  <c r="G23" i="70"/>
  <c r="B23" i="70"/>
  <c r="P23" i="70" s="1"/>
  <c r="W22" i="70"/>
  <c r="V22" i="70"/>
  <c r="U22" i="70"/>
  <c r="T22" i="70"/>
  <c r="R22" i="70"/>
  <c r="Q22" i="70"/>
  <c r="K22" i="70"/>
  <c r="I22" i="70"/>
  <c r="H22" i="70"/>
  <c r="B22" i="70"/>
  <c r="P22" i="70" s="1"/>
  <c r="W21" i="70"/>
  <c r="V21" i="70"/>
  <c r="U21" i="70"/>
  <c r="T21" i="70"/>
  <c r="R21" i="70"/>
  <c r="Q21" i="70"/>
  <c r="K21" i="70"/>
  <c r="I21" i="70"/>
  <c r="H21" i="70"/>
  <c r="G21" i="70"/>
  <c r="B21" i="70"/>
  <c r="P21" i="70" s="1"/>
  <c r="W20" i="70"/>
  <c r="V20" i="70"/>
  <c r="U20" i="70"/>
  <c r="T20" i="70"/>
  <c r="R20" i="70"/>
  <c r="Q20" i="70"/>
  <c r="K20" i="70"/>
  <c r="I20" i="70"/>
  <c r="H20" i="70"/>
  <c r="B20" i="70"/>
  <c r="P20" i="70" s="1"/>
  <c r="W19" i="70"/>
  <c r="V19" i="70"/>
  <c r="U19" i="70"/>
  <c r="T19" i="70"/>
  <c r="R19" i="70"/>
  <c r="Q19" i="70"/>
  <c r="K19" i="70"/>
  <c r="I19" i="70"/>
  <c r="H19" i="70"/>
  <c r="G19" i="70"/>
  <c r="B19" i="70"/>
  <c r="P19" i="70" s="1"/>
  <c r="W18" i="70"/>
  <c r="V18" i="70"/>
  <c r="U18" i="70"/>
  <c r="T18" i="70"/>
  <c r="R18" i="70"/>
  <c r="Q18" i="70"/>
  <c r="K18" i="70"/>
  <c r="I18" i="70"/>
  <c r="H18" i="70"/>
  <c r="B18" i="70"/>
  <c r="P18" i="70" s="1"/>
  <c r="W17" i="70"/>
  <c r="V17" i="70"/>
  <c r="U17" i="70"/>
  <c r="T17" i="70"/>
  <c r="R17" i="70"/>
  <c r="Q17" i="70"/>
  <c r="K17" i="70"/>
  <c r="I17" i="70"/>
  <c r="H17" i="70"/>
  <c r="G17" i="70"/>
  <c r="B17" i="70"/>
  <c r="P17" i="70" s="1"/>
  <c r="W16" i="70"/>
  <c r="V16" i="70"/>
  <c r="U16" i="70"/>
  <c r="T16" i="70"/>
  <c r="R16" i="70"/>
  <c r="Q16" i="70"/>
  <c r="K16" i="70"/>
  <c r="I16" i="70"/>
  <c r="H16" i="70"/>
  <c r="B16" i="70"/>
  <c r="P16" i="70" s="1"/>
  <c r="W15" i="70"/>
  <c r="V15" i="70"/>
  <c r="U15" i="70"/>
  <c r="T15" i="70"/>
  <c r="R15" i="70"/>
  <c r="Q15" i="70"/>
  <c r="K15" i="70"/>
  <c r="I15" i="70"/>
  <c r="H15" i="70"/>
  <c r="G15" i="70"/>
  <c r="B15" i="70"/>
  <c r="P15" i="70" s="1"/>
  <c r="W14" i="70"/>
  <c r="V14" i="70"/>
  <c r="U14" i="70"/>
  <c r="T14" i="70"/>
  <c r="R14" i="70"/>
  <c r="Q14" i="70"/>
  <c r="K14" i="70"/>
  <c r="I14" i="70"/>
  <c r="H14" i="70"/>
  <c r="B14" i="70"/>
  <c r="P14" i="70" s="1"/>
  <c r="P11" i="70"/>
  <c r="K11" i="70"/>
  <c r="T11" i="70" s="1"/>
  <c r="R10" i="70"/>
  <c r="I10" i="70"/>
  <c r="G10" i="70"/>
  <c r="P10" i="70" s="1"/>
  <c r="I9" i="70"/>
  <c r="L13" i="70" s="1"/>
  <c r="G9" i="70"/>
  <c r="P9" i="70" s="1"/>
  <c r="P8" i="70"/>
  <c r="G8" i="70"/>
  <c r="I7" i="70"/>
  <c r="R7" i="70" s="1"/>
  <c r="W29" i="69"/>
  <c r="V29" i="69"/>
  <c r="U29" i="69"/>
  <c r="T29" i="69"/>
  <c r="R29" i="69"/>
  <c r="Q29" i="69"/>
  <c r="K29" i="69"/>
  <c r="I29" i="69"/>
  <c r="H29" i="69"/>
  <c r="B29" i="69"/>
  <c r="G29" i="69" s="1"/>
  <c r="W28" i="69"/>
  <c r="V28" i="69"/>
  <c r="U28" i="69"/>
  <c r="T28" i="69"/>
  <c r="R28" i="69"/>
  <c r="Q28" i="69"/>
  <c r="K28" i="69"/>
  <c r="I28" i="69"/>
  <c r="H28" i="69"/>
  <c r="B28" i="69"/>
  <c r="P28" i="69" s="1"/>
  <c r="W27" i="69"/>
  <c r="V27" i="69"/>
  <c r="U27" i="69"/>
  <c r="T27" i="69"/>
  <c r="R27" i="69"/>
  <c r="Q27" i="69"/>
  <c r="K27" i="69"/>
  <c r="I27" i="69"/>
  <c r="H27" i="69"/>
  <c r="B27" i="69"/>
  <c r="G27" i="69" s="1"/>
  <c r="W26" i="69"/>
  <c r="V26" i="69"/>
  <c r="U26" i="69"/>
  <c r="T26" i="69"/>
  <c r="R26" i="69"/>
  <c r="Q26" i="69"/>
  <c r="K26" i="69"/>
  <c r="I26" i="69"/>
  <c r="H26" i="69"/>
  <c r="B26" i="69"/>
  <c r="P26" i="69" s="1"/>
  <c r="W25" i="69"/>
  <c r="V25" i="69"/>
  <c r="U25" i="69"/>
  <c r="T25" i="69"/>
  <c r="R25" i="69"/>
  <c r="Q25" i="69"/>
  <c r="K25" i="69"/>
  <c r="I25" i="69"/>
  <c r="H25" i="69"/>
  <c r="B25" i="69"/>
  <c r="G25" i="69" s="1"/>
  <c r="W24" i="69"/>
  <c r="V24" i="69"/>
  <c r="U24" i="69"/>
  <c r="T24" i="69"/>
  <c r="R24" i="69"/>
  <c r="Q24" i="69"/>
  <c r="K24" i="69"/>
  <c r="I24" i="69"/>
  <c r="H24" i="69"/>
  <c r="B24" i="69"/>
  <c r="P24" i="69" s="1"/>
  <c r="W23" i="69"/>
  <c r="V23" i="69"/>
  <c r="U23" i="69"/>
  <c r="T23" i="69"/>
  <c r="R23" i="69"/>
  <c r="Q23" i="69"/>
  <c r="K23" i="69"/>
  <c r="I23" i="69"/>
  <c r="H23" i="69"/>
  <c r="B23" i="69"/>
  <c r="G23" i="69" s="1"/>
  <c r="W22" i="69"/>
  <c r="V22" i="69"/>
  <c r="U22" i="69"/>
  <c r="T22" i="69"/>
  <c r="R22" i="69"/>
  <c r="Q22" i="69"/>
  <c r="K22" i="69"/>
  <c r="I22" i="69"/>
  <c r="H22" i="69"/>
  <c r="B22" i="69"/>
  <c r="P22" i="69" s="1"/>
  <c r="W21" i="69"/>
  <c r="V21" i="69"/>
  <c r="U21" i="69"/>
  <c r="T21" i="69"/>
  <c r="R21" i="69"/>
  <c r="Q21" i="69"/>
  <c r="K21" i="69"/>
  <c r="I21" i="69"/>
  <c r="H21" i="69"/>
  <c r="B21" i="69"/>
  <c r="G21" i="69" s="1"/>
  <c r="W20" i="69"/>
  <c r="V20" i="69"/>
  <c r="U20" i="69"/>
  <c r="T20" i="69"/>
  <c r="R20" i="69"/>
  <c r="Q20" i="69"/>
  <c r="K20" i="69"/>
  <c r="I20" i="69"/>
  <c r="H20" i="69"/>
  <c r="B20" i="69"/>
  <c r="P20" i="69" s="1"/>
  <c r="W19" i="69"/>
  <c r="V19" i="69"/>
  <c r="U19" i="69"/>
  <c r="T19" i="69"/>
  <c r="R19" i="69"/>
  <c r="Q19" i="69"/>
  <c r="K19" i="69"/>
  <c r="I19" i="69"/>
  <c r="H19" i="69"/>
  <c r="G19" i="69"/>
  <c r="B19" i="69"/>
  <c r="P19" i="69" s="1"/>
  <c r="W18" i="69"/>
  <c r="V18" i="69"/>
  <c r="U18" i="69"/>
  <c r="T18" i="69"/>
  <c r="R18" i="69"/>
  <c r="Q18" i="69"/>
  <c r="K18" i="69"/>
  <c r="I18" i="69"/>
  <c r="H18" i="69"/>
  <c r="B18" i="69"/>
  <c r="P18" i="69" s="1"/>
  <c r="W17" i="69"/>
  <c r="V17" i="69"/>
  <c r="U17" i="69"/>
  <c r="T17" i="69"/>
  <c r="R17" i="69"/>
  <c r="Q17" i="69"/>
  <c r="K17" i="69"/>
  <c r="I17" i="69"/>
  <c r="H17" i="69"/>
  <c r="B17" i="69"/>
  <c r="G17" i="69" s="1"/>
  <c r="W16" i="69"/>
  <c r="V16" i="69"/>
  <c r="U16" i="69"/>
  <c r="T16" i="69"/>
  <c r="R16" i="69"/>
  <c r="Q16" i="69"/>
  <c r="K16" i="69"/>
  <c r="I16" i="69"/>
  <c r="H16" i="69"/>
  <c r="B16" i="69"/>
  <c r="P16" i="69" s="1"/>
  <c r="W15" i="69"/>
  <c r="V15" i="69"/>
  <c r="U15" i="69"/>
  <c r="T15" i="69"/>
  <c r="R15" i="69"/>
  <c r="Q15" i="69"/>
  <c r="K15" i="69"/>
  <c r="I15" i="69"/>
  <c r="H15" i="69"/>
  <c r="G15" i="69"/>
  <c r="B15" i="69"/>
  <c r="P15" i="69" s="1"/>
  <c r="W14" i="69"/>
  <c r="V14" i="69"/>
  <c r="U14" i="69"/>
  <c r="T14" i="69"/>
  <c r="R14" i="69"/>
  <c r="Q14" i="69"/>
  <c r="K14" i="69"/>
  <c r="I14" i="69"/>
  <c r="H14" i="69"/>
  <c r="B14" i="69"/>
  <c r="P14" i="69" s="1"/>
  <c r="P11" i="69"/>
  <c r="K11" i="69"/>
  <c r="T11" i="69" s="1"/>
  <c r="I10" i="69"/>
  <c r="R10" i="69" s="1"/>
  <c r="G10" i="69"/>
  <c r="P10" i="69" s="1"/>
  <c r="I9" i="69"/>
  <c r="L13" i="69" s="1"/>
  <c r="G9" i="69"/>
  <c r="P9" i="69" s="1"/>
  <c r="G8" i="69"/>
  <c r="P8" i="69" s="1"/>
  <c r="I7" i="69"/>
  <c r="R7" i="69" s="1"/>
  <c r="W29" i="68"/>
  <c r="V29" i="68"/>
  <c r="U29" i="68"/>
  <c r="T29" i="68"/>
  <c r="R29" i="68"/>
  <c r="Q29" i="68"/>
  <c r="K29" i="68"/>
  <c r="I29" i="68"/>
  <c r="H29" i="68"/>
  <c r="B29" i="68"/>
  <c r="G29" i="68" s="1"/>
  <c r="W28" i="68"/>
  <c r="V28" i="68"/>
  <c r="U28" i="68"/>
  <c r="T28" i="68"/>
  <c r="R28" i="68"/>
  <c r="Q28" i="68"/>
  <c r="K28" i="68"/>
  <c r="I28" i="68"/>
  <c r="H28" i="68"/>
  <c r="B28" i="68"/>
  <c r="P28" i="68" s="1"/>
  <c r="W27" i="68"/>
  <c r="V27" i="68"/>
  <c r="U27" i="68"/>
  <c r="T27" i="68"/>
  <c r="R27" i="68"/>
  <c r="Q27" i="68"/>
  <c r="K27" i="68"/>
  <c r="I27" i="68"/>
  <c r="H27" i="68"/>
  <c r="B27" i="68"/>
  <c r="G27" i="68" s="1"/>
  <c r="W26" i="68"/>
  <c r="V26" i="68"/>
  <c r="U26" i="68"/>
  <c r="T26" i="68"/>
  <c r="R26" i="68"/>
  <c r="Q26" i="68"/>
  <c r="K26" i="68"/>
  <c r="I26" i="68"/>
  <c r="H26" i="68"/>
  <c r="B26" i="68"/>
  <c r="P26" i="68" s="1"/>
  <c r="W25" i="68"/>
  <c r="V25" i="68"/>
  <c r="U25" i="68"/>
  <c r="T25" i="68"/>
  <c r="R25" i="68"/>
  <c r="Q25" i="68"/>
  <c r="K25" i="68"/>
  <c r="I25" i="68"/>
  <c r="H25" i="68"/>
  <c r="B25" i="68"/>
  <c r="G25" i="68" s="1"/>
  <c r="W24" i="68"/>
  <c r="V24" i="68"/>
  <c r="U24" i="68"/>
  <c r="T24" i="68"/>
  <c r="R24" i="68"/>
  <c r="Q24" i="68"/>
  <c r="K24" i="68"/>
  <c r="I24" i="68"/>
  <c r="H24" i="68"/>
  <c r="B24" i="68"/>
  <c r="P24" i="68" s="1"/>
  <c r="W23" i="68"/>
  <c r="V23" i="68"/>
  <c r="U23" i="68"/>
  <c r="T23" i="68"/>
  <c r="R23" i="68"/>
  <c r="Q23" i="68"/>
  <c r="K23" i="68"/>
  <c r="I23" i="68"/>
  <c r="H23" i="68"/>
  <c r="B23" i="68"/>
  <c r="G23" i="68" s="1"/>
  <c r="W22" i="68"/>
  <c r="V22" i="68"/>
  <c r="U22" i="68"/>
  <c r="T22" i="68"/>
  <c r="R22" i="68"/>
  <c r="Q22" i="68"/>
  <c r="K22" i="68"/>
  <c r="I22" i="68"/>
  <c r="H22" i="68"/>
  <c r="B22" i="68"/>
  <c r="P22" i="68" s="1"/>
  <c r="W21" i="68"/>
  <c r="V21" i="68"/>
  <c r="U21" i="68"/>
  <c r="T21" i="68"/>
  <c r="R21" i="68"/>
  <c r="Q21" i="68"/>
  <c r="K21" i="68"/>
  <c r="I21" i="68"/>
  <c r="H21" i="68"/>
  <c r="B21" i="68"/>
  <c r="G21" i="68" s="1"/>
  <c r="W20" i="68"/>
  <c r="V20" i="68"/>
  <c r="U20" i="68"/>
  <c r="T20" i="68"/>
  <c r="R20" i="68"/>
  <c r="Q20" i="68"/>
  <c r="K20" i="68"/>
  <c r="I20" i="68"/>
  <c r="H20" i="68"/>
  <c r="B20" i="68"/>
  <c r="P20" i="68" s="1"/>
  <c r="W19" i="68"/>
  <c r="V19" i="68"/>
  <c r="U19" i="68"/>
  <c r="T19" i="68"/>
  <c r="R19" i="68"/>
  <c r="Q19" i="68"/>
  <c r="K19" i="68"/>
  <c r="I19" i="68"/>
  <c r="H19" i="68"/>
  <c r="B19" i="68"/>
  <c r="G19" i="68" s="1"/>
  <c r="W18" i="68"/>
  <c r="V18" i="68"/>
  <c r="U18" i="68"/>
  <c r="T18" i="68"/>
  <c r="R18" i="68"/>
  <c r="Q18" i="68"/>
  <c r="K18" i="68"/>
  <c r="I18" i="68"/>
  <c r="H18" i="68"/>
  <c r="B18" i="68"/>
  <c r="P18" i="68" s="1"/>
  <c r="W17" i="68"/>
  <c r="V17" i="68"/>
  <c r="U17" i="68"/>
  <c r="T17" i="68"/>
  <c r="R17" i="68"/>
  <c r="Q17" i="68"/>
  <c r="K17" i="68"/>
  <c r="I17" i="68"/>
  <c r="H17" i="68"/>
  <c r="B17" i="68"/>
  <c r="G17" i="68" s="1"/>
  <c r="W16" i="68"/>
  <c r="V16" i="68"/>
  <c r="U16" i="68"/>
  <c r="T16" i="68"/>
  <c r="R16" i="68"/>
  <c r="Q16" i="68"/>
  <c r="K16" i="68"/>
  <c r="I16" i="68"/>
  <c r="H16" i="68"/>
  <c r="B16" i="68"/>
  <c r="P16" i="68" s="1"/>
  <c r="W15" i="68"/>
  <c r="V15" i="68"/>
  <c r="U15" i="68"/>
  <c r="T15" i="68"/>
  <c r="R15" i="68"/>
  <c r="Q15" i="68"/>
  <c r="K15" i="68"/>
  <c r="I15" i="68"/>
  <c r="H15" i="68"/>
  <c r="B15" i="68"/>
  <c r="G15" i="68" s="1"/>
  <c r="W14" i="68"/>
  <c r="V14" i="68"/>
  <c r="U14" i="68"/>
  <c r="T14" i="68"/>
  <c r="R14" i="68"/>
  <c r="Q14" i="68"/>
  <c r="K14" i="68"/>
  <c r="I14" i="68"/>
  <c r="H14" i="68"/>
  <c r="B14" i="68"/>
  <c r="P14" i="68" s="1"/>
  <c r="L13" i="68"/>
  <c r="P11" i="68"/>
  <c r="K11" i="68"/>
  <c r="T11" i="68" s="1"/>
  <c r="R10" i="68"/>
  <c r="I10" i="68"/>
  <c r="G10" i="68"/>
  <c r="P10" i="68" s="1"/>
  <c r="R9" i="68"/>
  <c r="I9" i="68"/>
  <c r="G9" i="68"/>
  <c r="P9" i="68" s="1"/>
  <c r="P8" i="68"/>
  <c r="G8" i="68"/>
  <c r="I7" i="68"/>
  <c r="R7" i="68" s="1"/>
  <c r="W29" i="67"/>
  <c r="V29" i="67"/>
  <c r="U29" i="67"/>
  <c r="T29" i="67"/>
  <c r="R29" i="67"/>
  <c r="Q29" i="67"/>
  <c r="K29" i="67"/>
  <c r="I29" i="67"/>
  <c r="H29" i="67"/>
  <c r="G29" i="67"/>
  <c r="B29" i="67"/>
  <c r="P29" i="67" s="1"/>
  <c r="W28" i="67"/>
  <c r="V28" i="67"/>
  <c r="U28" i="67"/>
  <c r="T28" i="67"/>
  <c r="R28" i="67"/>
  <c r="Q28" i="67"/>
  <c r="K28" i="67"/>
  <c r="I28" i="67"/>
  <c r="H28" i="67"/>
  <c r="B28" i="67"/>
  <c r="P28" i="67" s="1"/>
  <c r="W27" i="67"/>
  <c r="V27" i="67"/>
  <c r="U27" i="67"/>
  <c r="T27" i="67"/>
  <c r="R27" i="67"/>
  <c r="Q27" i="67"/>
  <c r="K27" i="67"/>
  <c r="I27" i="67"/>
  <c r="H27" i="67"/>
  <c r="G27" i="67"/>
  <c r="B27" i="67"/>
  <c r="P27" i="67" s="1"/>
  <c r="W26" i="67"/>
  <c r="V26" i="67"/>
  <c r="U26" i="67"/>
  <c r="T26" i="67"/>
  <c r="R26" i="67"/>
  <c r="Q26" i="67"/>
  <c r="K26" i="67"/>
  <c r="I26" i="67"/>
  <c r="H26" i="67"/>
  <c r="B26" i="67"/>
  <c r="P26" i="67" s="1"/>
  <c r="W25" i="67"/>
  <c r="V25" i="67"/>
  <c r="U25" i="67"/>
  <c r="T25" i="67"/>
  <c r="R25" i="67"/>
  <c r="Q25" i="67"/>
  <c r="K25" i="67"/>
  <c r="I25" i="67"/>
  <c r="H25" i="67"/>
  <c r="G25" i="67"/>
  <c r="B25" i="67"/>
  <c r="P25" i="67" s="1"/>
  <c r="W24" i="67"/>
  <c r="V24" i="67"/>
  <c r="U24" i="67"/>
  <c r="T24" i="67"/>
  <c r="R24" i="67"/>
  <c r="Q24" i="67"/>
  <c r="K24" i="67"/>
  <c r="I24" i="67"/>
  <c r="H24" i="67"/>
  <c r="B24" i="67"/>
  <c r="P24" i="67" s="1"/>
  <c r="W23" i="67"/>
  <c r="V23" i="67"/>
  <c r="U23" i="67"/>
  <c r="T23" i="67"/>
  <c r="R23" i="67"/>
  <c r="Q23" i="67"/>
  <c r="K23" i="67"/>
  <c r="I23" i="67"/>
  <c r="H23" i="67"/>
  <c r="G23" i="67"/>
  <c r="B23" i="67"/>
  <c r="P23" i="67" s="1"/>
  <c r="W22" i="67"/>
  <c r="V22" i="67"/>
  <c r="U22" i="67"/>
  <c r="T22" i="67"/>
  <c r="R22" i="67"/>
  <c r="Q22" i="67"/>
  <c r="K22" i="67"/>
  <c r="I22" i="67"/>
  <c r="H22" i="67"/>
  <c r="B22" i="67"/>
  <c r="P22" i="67" s="1"/>
  <c r="W21" i="67"/>
  <c r="V21" i="67"/>
  <c r="U21" i="67"/>
  <c r="T21" i="67"/>
  <c r="R21" i="67"/>
  <c r="Q21" i="67"/>
  <c r="K21" i="67"/>
  <c r="I21" i="67"/>
  <c r="H21" i="67"/>
  <c r="G21" i="67"/>
  <c r="B21" i="67"/>
  <c r="P21" i="67" s="1"/>
  <c r="W20" i="67"/>
  <c r="V20" i="67"/>
  <c r="U20" i="67"/>
  <c r="T20" i="67"/>
  <c r="R20" i="67"/>
  <c r="Q20" i="67"/>
  <c r="K20" i="67"/>
  <c r="I20" i="67"/>
  <c r="H20" i="67"/>
  <c r="B20" i="67"/>
  <c r="P20" i="67" s="1"/>
  <c r="W19" i="67"/>
  <c r="V19" i="67"/>
  <c r="U19" i="67"/>
  <c r="T19" i="67"/>
  <c r="R19" i="67"/>
  <c r="Q19" i="67"/>
  <c r="K19" i="67"/>
  <c r="I19" i="67"/>
  <c r="H19" i="67"/>
  <c r="G19" i="67"/>
  <c r="B19" i="67"/>
  <c r="P19" i="67" s="1"/>
  <c r="W18" i="67"/>
  <c r="V18" i="67"/>
  <c r="U18" i="67"/>
  <c r="T18" i="67"/>
  <c r="R18" i="67"/>
  <c r="Q18" i="67"/>
  <c r="K18" i="67"/>
  <c r="I18" i="67"/>
  <c r="H18" i="67"/>
  <c r="B18" i="67"/>
  <c r="P18" i="67" s="1"/>
  <c r="W17" i="67"/>
  <c r="V17" i="67"/>
  <c r="U17" i="67"/>
  <c r="T17" i="67"/>
  <c r="R17" i="67"/>
  <c r="Q17" i="67"/>
  <c r="K17" i="67"/>
  <c r="I17" i="67"/>
  <c r="H17" i="67"/>
  <c r="G17" i="67"/>
  <c r="B17" i="67"/>
  <c r="P17" i="67" s="1"/>
  <c r="W16" i="67"/>
  <c r="V16" i="67"/>
  <c r="U16" i="67"/>
  <c r="T16" i="67"/>
  <c r="R16" i="67"/>
  <c r="Q16" i="67"/>
  <c r="K16" i="67"/>
  <c r="I16" i="67"/>
  <c r="H16" i="67"/>
  <c r="B16" i="67"/>
  <c r="P16" i="67" s="1"/>
  <c r="W15" i="67"/>
  <c r="V15" i="67"/>
  <c r="U15" i="67"/>
  <c r="T15" i="67"/>
  <c r="R15" i="67"/>
  <c r="Q15" i="67"/>
  <c r="K15" i="67"/>
  <c r="I15" i="67"/>
  <c r="H15" i="67"/>
  <c r="G15" i="67"/>
  <c r="B15" i="67"/>
  <c r="P15" i="67" s="1"/>
  <c r="W14" i="67"/>
  <c r="V14" i="67"/>
  <c r="U14" i="67"/>
  <c r="T14" i="67"/>
  <c r="R14" i="67"/>
  <c r="Q14" i="67"/>
  <c r="K14" i="67"/>
  <c r="I14" i="67"/>
  <c r="H14" i="67"/>
  <c r="B14" i="67"/>
  <c r="P14" i="67" s="1"/>
  <c r="T11" i="67"/>
  <c r="P11" i="67"/>
  <c r="K11" i="67"/>
  <c r="I10" i="67"/>
  <c r="R10" i="67" s="1"/>
  <c r="G10" i="67"/>
  <c r="P10" i="67" s="1"/>
  <c r="P9" i="67"/>
  <c r="I9" i="67"/>
  <c r="L13" i="67" s="1"/>
  <c r="G9" i="67"/>
  <c r="G8" i="67"/>
  <c r="P8" i="67" s="1"/>
  <c r="I7" i="67"/>
  <c r="R7" i="67" s="1"/>
  <c r="W29" i="66"/>
  <c r="V29" i="66"/>
  <c r="U29" i="66"/>
  <c r="T29" i="66"/>
  <c r="R29" i="66"/>
  <c r="Q29" i="66"/>
  <c r="K29" i="66"/>
  <c r="I29" i="66"/>
  <c r="H29" i="66"/>
  <c r="G29" i="66"/>
  <c r="B29" i="66"/>
  <c r="P29" i="66" s="1"/>
  <c r="W28" i="66"/>
  <c r="V28" i="66"/>
  <c r="U28" i="66"/>
  <c r="T28" i="66"/>
  <c r="R28" i="66"/>
  <c r="Q28" i="66"/>
  <c r="K28" i="66"/>
  <c r="I28" i="66"/>
  <c r="H28" i="66"/>
  <c r="B28" i="66"/>
  <c r="P28" i="66" s="1"/>
  <c r="W27" i="66"/>
  <c r="V27" i="66"/>
  <c r="U27" i="66"/>
  <c r="T27" i="66"/>
  <c r="R27" i="66"/>
  <c r="Q27" i="66"/>
  <c r="K27" i="66"/>
  <c r="I27" i="66"/>
  <c r="H27" i="66"/>
  <c r="G27" i="66"/>
  <c r="B27" i="66"/>
  <c r="P27" i="66" s="1"/>
  <c r="W26" i="66"/>
  <c r="V26" i="66"/>
  <c r="U26" i="66"/>
  <c r="T26" i="66"/>
  <c r="R26" i="66"/>
  <c r="Q26" i="66"/>
  <c r="K26" i="66"/>
  <c r="I26" i="66"/>
  <c r="H26" i="66"/>
  <c r="B26" i="66"/>
  <c r="P26" i="66" s="1"/>
  <c r="W25" i="66"/>
  <c r="V25" i="66"/>
  <c r="U25" i="66"/>
  <c r="T25" i="66"/>
  <c r="R25" i="66"/>
  <c r="Q25" i="66"/>
  <c r="K25" i="66"/>
  <c r="I25" i="66"/>
  <c r="H25" i="66"/>
  <c r="G25" i="66"/>
  <c r="B25" i="66"/>
  <c r="P25" i="66" s="1"/>
  <c r="W24" i="66"/>
  <c r="V24" i="66"/>
  <c r="U24" i="66"/>
  <c r="T24" i="66"/>
  <c r="R24" i="66"/>
  <c r="Q24" i="66"/>
  <c r="K24" i="66"/>
  <c r="I24" i="66"/>
  <c r="H24" i="66"/>
  <c r="B24" i="66"/>
  <c r="P24" i="66" s="1"/>
  <c r="W23" i="66"/>
  <c r="V23" i="66"/>
  <c r="U23" i="66"/>
  <c r="T23" i="66"/>
  <c r="R23" i="66"/>
  <c r="Q23" i="66"/>
  <c r="P23" i="66"/>
  <c r="K23" i="66"/>
  <c r="I23" i="66"/>
  <c r="H23" i="66"/>
  <c r="G23" i="66"/>
  <c r="B23" i="66"/>
  <c r="W22" i="66"/>
  <c r="V22" i="66"/>
  <c r="U22" i="66"/>
  <c r="T22" i="66"/>
  <c r="R22" i="66"/>
  <c r="Q22" i="66"/>
  <c r="K22" i="66"/>
  <c r="I22" i="66"/>
  <c r="H22" i="66"/>
  <c r="B22" i="66"/>
  <c r="P22" i="66" s="1"/>
  <c r="W21" i="66"/>
  <c r="V21" i="66"/>
  <c r="U21" i="66"/>
  <c r="T21" i="66"/>
  <c r="R21" i="66"/>
  <c r="Q21" i="66"/>
  <c r="K21" i="66"/>
  <c r="I21" i="66"/>
  <c r="H21" i="66"/>
  <c r="G21" i="66"/>
  <c r="B21" i="66"/>
  <c r="P21" i="66" s="1"/>
  <c r="W20" i="66"/>
  <c r="V20" i="66"/>
  <c r="U20" i="66"/>
  <c r="T20" i="66"/>
  <c r="R20" i="66"/>
  <c r="Q20" i="66"/>
  <c r="K20" i="66"/>
  <c r="I20" i="66"/>
  <c r="H20" i="66"/>
  <c r="B20" i="66"/>
  <c r="P20" i="66" s="1"/>
  <c r="W19" i="66"/>
  <c r="V19" i="66"/>
  <c r="U19" i="66"/>
  <c r="T19" i="66"/>
  <c r="R19" i="66"/>
  <c r="Q19" i="66"/>
  <c r="K19" i="66"/>
  <c r="I19" i="66"/>
  <c r="H19" i="66"/>
  <c r="G19" i="66"/>
  <c r="B19" i="66"/>
  <c r="P19" i="66" s="1"/>
  <c r="W18" i="66"/>
  <c r="V18" i="66"/>
  <c r="U18" i="66"/>
  <c r="T18" i="66"/>
  <c r="R18" i="66"/>
  <c r="Q18" i="66"/>
  <c r="K18" i="66"/>
  <c r="I18" i="66"/>
  <c r="H18" i="66"/>
  <c r="B18" i="66"/>
  <c r="P18" i="66" s="1"/>
  <c r="W17" i="66"/>
  <c r="V17" i="66"/>
  <c r="U17" i="66"/>
  <c r="T17" i="66"/>
  <c r="R17" i="66"/>
  <c r="Q17" i="66"/>
  <c r="K17" i="66"/>
  <c r="I17" i="66"/>
  <c r="H17" i="66"/>
  <c r="G17" i="66"/>
  <c r="B17" i="66"/>
  <c r="P17" i="66" s="1"/>
  <c r="W16" i="66"/>
  <c r="V16" i="66"/>
  <c r="U16" i="66"/>
  <c r="T16" i="66"/>
  <c r="R16" i="66"/>
  <c r="Q16" i="66"/>
  <c r="K16" i="66"/>
  <c r="I16" i="66"/>
  <c r="H16" i="66"/>
  <c r="B16" i="66"/>
  <c r="P16" i="66" s="1"/>
  <c r="W15" i="66"/>
  <c r="V15" i="66"/>
  <c r="U15" i="66"/>
  <c r="T15" i="66"/>
  <c r="R15" i="66"/>
  <c r="Q15" i="66"/>
  <c r="K15" i="66"/>
  <c r="I15" i="66"/>
  <c r="H15" i="66"/>
  <c r="G15" i="66"/>
  <c r="B15" i="66"/>
  <c r="P15" i="66" s="1"/>
  <c r="W14" i="66"/>
  <c r="V14" i="66"/>
  <c r="U14" i="66"/>
  <c r="T14" i="66"/>
  <c r="R14" i="66"/>
  <c r="Q14" i="66"/>
  <c r="K14" i="66"/>
  <c r="I14" i="66"/>
  <c r="H14" i="66"/>
  <c r="B14" i="66"/>
  <c r="P14" i="66" s="1"/>
  <c r="P11" i="66"/>
  <c r="K11" i="66"/>
  <c r="T11" i="66" s="1"/>
  <c r="I10" i="66"/>
  <c r="R10" i="66" s="1"/>
  <c r="G10" i="66"/>
  <c r="P10" i="66" s="1"/>
  <c r="I9" i="66"/>
  <c r="L13" i="66" s="1"/>
  <c r="G9" i="66"/>
  <c r="P9" i="66" s="1"/>
  <c r="G8" i="66"/>
  <c r="P8" i="66" s="1"/>
  <c r="I7" i="66"/>
  <c r="R7" i="66" s="1"/>
  <c r="W29" i="65"/>
  <c r="V29" i="65"/>
  <c r="U29" i="65"/>
  <c r="T29" i="65"/>
  <c r="R29" i="65"/>
  <c r="Q29" i="65"/>
  <c r="P29" i="65"/>
  <c r="K29" i="65"/>
  <c r="I29" i="65"/>
  <c r="H29" i="65"/>
  <c r="B29" i="65"/>
  <c r="G29" i="65" s="1"/>
  <c r="W28" i="65"/>
  <c r="V28" i="65"/>
  <c r="U28" i="65"/>
  <c r="T28" i="65"/>
  <c r="R28" i="65"/>
  <c r="Q28" i="65"/>
  <c r="K28" i="65"/>
  <c r="I28" i="65"/>
  <c r="H28" i="65"/>
  <c r="B28" i="65"/>
  <c r="P28" i="65" s="1"/>
  <c r="W27" i="65"/>
  <c r="V27" i="65"/>
  <c r="U27" i="65"/>
  <c r="T27" i="65"/>
  <c r="R27" i="65"/>
  <c r="Q27" i="65"/>
  <c r="P27" i="65"/>
  <c r="K27" i="65"/>
  <c r="I27" i="65"/>
  <c r="H27" i="65"/>
  <c r="G27" i="65"/>
  <c r="B27" i="65"/>
  <c r="W26" i="65"/>
  <c r="V26" i="65"/>
  <c r="U26" i="65"/>
  <c r="T26" i="65"/>
  <c r="R26" i="65"/>
  <c r="Q26" i="65"/>
  <c r="K26" i="65"/>
  <c r="I26" i="65"/>
  <c r="H26" i="65"/>
  <c r="B26" i="65"/>
  <c r="G26" i="65" s="1"/>
  <c r="W25" i="65"/>
  <c r="V25" i="65"/>
  <c r="U25" i="65"/>
  <c r="T25" i="65"/>
  <c r="R25" i="65"/>
  <c r="Q25" i="65"/>
  <c r="P25" i="65"/>
  <c r="K25" i="65"/>
  <c r="I25" i="65"/>
  <c r="H25" i="65"/>
  <c r="G25" i="65"/>
  <c r="B25" i="65"/>
  <c r="W24" i="65"/>
  <c r="V24" i="65"/>
  <c r="U24" i="65"/>
  <c r="T24" i="65"/>
  <c r="R24" i="65"/>
  <c r="Q24" i="65"/>
  <c r="K24" i="65"/>
  <c r="I24" i="65"/>
  <c r="H24" i="65"/>
  <c r="B24" i="65"/>
  <c r="P24" i="65" s="1"/>
  <c r="W23" i="65"/>
  <c r="V23" i="65"/>
  <c r="U23" i="65"/>
  <c r="T23" i="65"/>
  <c r="R23" i="65"/>
  <c r="Q23" i="65"/>
  <c r="P23" i="65"/>
  <c r="K23" i="65"/>
  <c r="I23" i="65"/>
  <c r="H23" i="65"/>
  <c r="G23" i="65"/>
  <c r="B23" i="65"/>
  <c r="W22" i="65"/>
  <c r="V22" i="65"/>
  <c r="U22" i="65"/>
  <c r="T22" i="65"/>
  <c r="R22" i="65"/>
  <c r="Q22" i="65"/>
  <c r="K22" i="65"/>
  <c r="I22" i="65"/>
  <c r="H22" i="65"/>
  <c r="B22" i="65"/>
  <c r="P22" i="65" s="1"/>
  <c r="W21" i="65"/>
  <c r="V21" i="65"/>
  <c r="U21" i="65"/>
  <c r="T21" i="65"/>
  <c r="R21" i="65"/>
  <c r="Q21" i="65"/>
  <c r="P21" i="65"/>
  <c r="K21" i="65"/>
  <c r="I21" i="65"/>
  <c r="H21" i="65"/>
  <c r="G21" i="65"/>
  <c r="B21" i="65"/>
  <c r="W20" i="65"/>
  <c r="V20" i="65"/>
  <c r="U20" i="65"/>
  <c r="T20" i="65"/>
  <c r="R20" i="65"/>
  <c r="Q20" i="65"/>
  <c r="K20" i="65"/>
  <c r="I20" i="65"/>
  <c r="H20" i="65"/>
  <c r="B20" i="65"/>
  <c r="G20" i="65" s="1"/>
  <c r="W19" i="65"/>
  <c r="V19" i="65"/>
  <c r="U19" i="65"/>
  <c r="T19" i="65"/>
  <c r="R19" i="65"/>
  <c r="Q19" i="65"/>
  <c r="P19" i="65"/>
  <c r="K19" i="65"/>
  <c r="I19" i="65"/>
  <c r="H19" i="65"/>
  <c r="G19" i="65"/>
  <c r="B19" i="65"/>
  <c r="W18" i="65"/>
  <c r="V18" i="65"/>
  <c r="U18" i="65"/>
  <c r="T18" i="65"/>
  <c r="R18" i="65"/>
  <c r="Q18" i="65"/>
  <c r="K18" i="65"/>
  <c r="I18" i="65"/>
  <c r="H18" i="65"/>
  <c r="B18" i="65"/>
  <c r="P18" i="65" s="1"/>
  <c r="W17" i="65"/>
  <c r="V17" i="65"/>
  <c r="U17" i="65"/>
  <c r="T17" i="65"/>
  <c r="R17" i="65"/>
  <c r="Q17" i="65"/>
  <c r="P17" i="65"/>
  <c r="K17" i="65"/>
  <c r="I17" i="65"/>
  <c r="H17" i="65"/>
  <c r="G17" i="65"/>
  <c r="B17" i="65"/>
  <c r="W16" i="65"/>
  <c r="V16" i="65"/>
  <c r="U16" i="65"/>
  <c r="T16" i="65"/>
  <c r="R16" i="65"/>
  <c r="Q16" i="65"/>
  <c r="K16" i="65"/>
  <c r="I16" i="65"/>
  <c r="H16" i="65"/>
  <c r="B16" i="65"/>
  <c r="P16" i="65" s="1"/>
  <c r="W15" i="65"/>
  <c r="V15" i="65"/>
  <c r="U15" i="65"/>
  <c r="T15" i="65"/>
  <c r="R15" i="65"/>
  <c r="Q15" i="65"/>
  <c r="P15" i="65"/>
  <c r="K15" i="65"/>
  <c r="I15" i="65"/>
  <c r="H15" i="65"/>
  <c r="G15" i="65"/>
  <c r="B15" i="65"/>
  <c r="W14" i="65"/>
  <c r="V14" i="65"/>
  <c r="U14" i="65"/>
  <c r="T14" i="65"/>
  <c r="R14" i="65"/>
  <c r="Q14" i="65"/>
  <c r="K14" i="65"/>
  <c r="I14" i="65"/>
  <c r="H14" i="65"/>
  <c r="B14" i="65"/>
  <c r="P14" i="65" s="1"/>
  <c r="P11" i="65"/>
  <c r="K11" i="65"/>
  <c r="T11" i="65" s="1"/>
  <c r="I10" i="65"/>
  <c r="R10" i="65" s="1"/>
  <c r="G10" i="65"/>
  <c r="P10" i="65" s="1"/>
  <c r="I9" i="65"/>
  <c r="L13" i="65" s="1"/>
  <c r="G9" i="65"/>
  <c r="P9" i="65" s="1"/>
  <c r="G8" i="65"/>
  <c r="P8" i="65" s="1"/>
  <c r="I7" i="65"/>
  <c r="R7" i="65" s="1"/>
  <c r="W29" i="64"/>
  <c r="V29" i="64"/>
  <c r="U29" i="64"/>
  <c r="T29" i="64"/>
  <c r="R29" i="64"/>
  <c r="Q29" i="64"/>
  <c r="K29" i="64"/>
  <c r="I29" i="64"/>
  <c r="H29" i="64"/>
  <c r="B29" i="64"/>
  <c r="G29" i="64" s="1"/>
  <c r="W28" i="64"/>
  <c r="V28" i="64"/>
  <c r="U28" i="64"/>
  <c r="T28" i="64"/>
  <c r="R28" i="64"/>
  <c r="Q28" i="64"/>
  <c r="K28" i="64"/>
  <c r="I28" i="64"/>
  <c r="H28" i="64"/>
  <c r="B28" i="64"/>
  <c r="P28" i="64" s="1"/>
  <c r="W27" i="64"/>
  <c r="V27" i="64"/>
  <c r="U27" i="64"/>
  <c r="T27" i="64"/>
  <c r="R27" i="64"/>
  <c r="Q27" i="64"/>
  <c r="K27" i="64"/>
  <c r="I27" i="64"/>
  <c r="H27" i="64"/>
  <c r="B27" i="64"/>
  <c r="G27" i="64" s="1"/>
  <c r="W26" i="64"/>
  <c r="V26" i="64"/>
  <c r="U26" i="64"/>
  <c r="T26" i="64"/>
  <c r="R26" i="64"/>
  <c r="Q26" i="64"/>
  <c r="K26" i="64"/>
  <c r="I26" i="64"/>
  <c r="H26" i="64"/>
  <c r="B26" i="64"/>
  <c r="P26" i="64" s="1"/>
  <c r="W25" i="64"/>
  <c r="V25" i="64"/>
  <c r="U25" i="64"/>
  <c r="T25" i="64"/>
  <c r="R25" i="64"/>
  <c r="Q25" i="64"/>
  <c r="K25" i="64"/>
  <c r="I25" i="64"/>
  <c r="H25" i="64"/>
  <c r="B25" i="64"/>
  <c r="G25" i="64" s="1"/>
  <c r="W24" i="64"/>
  <c r="V24" i="64"/>
  <c r="U24" i="64"/>
  <c r="T24" i="64"/>
  <c r="R24" i="64"/>
  <c r="Q24" i="64"/>
  <c r="K24" i="64"/>
  <c r="I24" i="64"/>
  <c r="H24" i="64"/>
  <c r="B24" i="64"/>
  <c r="P24" i="64" s="1"/>
  <c r="W23" i="64"/>
  <c r="V23" i="64"/>
  <c r="U23" i="64"/>
  <c r="T23" i="64"/>
  <c r="R23" i="64"/>
  <c r="Q23" i="64"/>
  <c r="K23" i="64"/>
  <c r="I23" i="64"/>
  <c r="H23" i="64"/>
  <c r="B23" i="64"/>
  <c r="G23" i="64" s="1"/>
  <c r="W22" i="64"/>
  <c r="V22" i="64"/>
  <c r="U22" i="64"/>
  <c r="T22" i="64"/>
  <c r="R22" i="64"/>
  <c r="Q22" i="64"/>
  <c r="K22" i="64"/>
  <c r="I22" i="64"/>
  <c r="H22" i="64"/>
  <c r="B22" i="64"/>
  <c r="P22" i="64" s="1"/>
  <c r="W21" i="64"/>
  <c r="V21" i="64"/>
  <c r="U21" i="64"/>
  <c r="T21" i="64"/>
  <c r="R21" i="64"/>
  <c r="Q21" i="64"/>
  <c r="K21" i="64"/>
  <c r="I21" i="64"/>
  <c r="H21" i="64"/>
  <c r="B21" i="64"/>
  <c r="G21" i="64" s="1"/>
  <c r="W20" i="64"/>
  <c r="V20" i="64"/>
  <c r="U20" i="64"/>
  <c r="T20" i="64"/>
  <c r="R20" i="64"/>
  <c r="Q20" i="64"/>
  <c r="K20" i="64"/>
  <c r="I20" i="64"/>
  <c r="H20" i="64"/>
  <c r="B20" i="64"/>
  <c r="P20" i="64" s="1"/>
  <c r="W19" i="64"/>
  <c r="V19" i="64"/>
  <c r="U19" i="64"/>
  <c r="T19" i="64"/>
  <c r="R19" i="64"/>
  <c r="Q19" i="64"/>
  <c r="K19" i="64"/>
  <c r="I19" i="64"/>
  <c r="H19" i="64"/>
  <c r="B19" i="64"/>
  <c r="G19" i="64" s="1"/>
  <c r="W18" i="64"/>
  <c r="V18" i="64"/>
  <c r="U18" i="64"/>
  <c r="T18" i="64"/>
  <c r="R18" i="64"/>
  <c r="Q18" i="64"/>
  <c r="K18" i="64"/>
  <c r="I18" i="64"/>
  <c r="H18" i="64"/>
  <c r="B18" i="64"/>
  <c r="P18" i="64" s="1"/>
  <c r="W17" i="64"/>
  <c r="V17" i="64"/>
  <c r="U17" i="64"/>
  <c r="T17" i="64"/>
  <c r="R17" i="64"/>
  <c r="Q17" i="64"/>
  <c r="K17" i="64"/>
  <c r="I17" i="64"/>
  <c r="H17" i="64"/>
  <c r="G17" i="64"/>
  <c r="B17" i="64"/>
  <c r="P17" i="64" s="1"/>
  <c r="W16" i="64"/>
  <c r="V16" i="64"/>
  <c r="U16" i="64"/>
  <c r="T16" i="64"/>
  <c r="R16" i="64"/>
  <c r="Q16" i="64"/>
  <c r="K16" i="64"/>
  <c r="I16" i="64"/>
  <c r="H16" i="64"/>
  <c r="B16" i="64"/>
  <c r="P16" i="64" s="1"/>
  <c r="W15" i="64"/>
  <c r="V15" i="64"/>
  <c r="U15" i="64"/>
  <c r="T15" i="64"/>
  <c r="R15" i="64"/>
  <c r="Q15" i="64"/>
  <c r="K15" i="64"/>
  <c r="I15" i="64"/>
  <c r="H15" i="64"/>
  <c r="G15" i="64"/>
  <c r="B15" i="64"/>
  <c r="P15" i="64" s="1"/>
  <c r="W14" i="64"/>
  <c r="V14" i="64"/>
  <c r="U14" i="64"/>
  <c r="T14" i="64"/>
  <c r="R14" i="64"/>
  <c r="Q14" i="64"/>
  <c r="K14" i="64"/>
  <c r="I14" i="64"/>
  <c r="H14" i="64"/>
  <c r="B14" i="64"/>
  <c r="P14" i="64" s="1"/>
  <c r="P11" i="64"/>
  <c r="K11" i="64"/>
  <c r="T11" i="64" s="1"/>
  <c r="R10" i="64"/>
  <c r="I10" i="64"/>
  <c r="G10" i="64"/>
  <c r="P10" i="64" s="1"/>
  <c r="I9" i="64"/>
  <c r="L13" i="64" s="1"/>
  <c r="G9" i="64"/>
  <c r="P9" i="64" s="1"/>
  <c r="G8" i="64"/>
  <c r="P8" i="64" s="1"/>
  <c r="I7" i="64"/>
  <c r="R7" i="64" s="1"/>
  <c r="W29" i="63"/>
  <c r="V29" i="63"/>
  <c r="U29" i="63"/>
  <c r="T29" i="63"/>
  <c r="R29" i="63"/>
  <c r="Q29" i="63"/>
  <c r="K29" i="63"/>
  <c r="I29" i="63"/>
  <c r="H29" i="63"/>
  <c r="B29" i="63"/>
  <c r="G29" i="63" s="1"/>
  <c r="W28" i="63"/>
  <c r="V28" i="63"/>
  <c r="U28" i="63"/>
  <c r="T28" i="63"/>
  <c r="R28" i="63"/>
  <c r="Q28" i="63"/>
  <c r="K28" i="63"/>
  <c r="I28" i="63"/>
  <c r="H28" i="63"/>
  <c r="B28" i="63"/>
  <c r="P28" i="63" s="1"/>
  <c r="W27" i="63"/>
  <c r="V27" i="63"/>
  <c r="U27" i="63"/>
  <c r="T27" i="63"/>
  <c r="R27" i="63"/>
  <c r="Q27" i="63"/>
  <c r="K27" i="63"/>
  <c r="I27" i="63"/>
  <c r="H27" i="63"/>
  <c r="G27" i="63"/>
  <c r="B27" i="63"/>
  <c r="P27" i="63" s="1"/>
  <c r="W26" i="63"/>
  <c r="V26" i="63"/>
  <c r="U26" i="63"/>
  <c r="T26" i="63"/>
  <c r="R26" i="63"/>
  <c r="Q26" i="63"/>
  <c r="K26" i="63"/>
  <c r="I26" i="63"/>
  <c r="H26" i="63"/>
  <c r="B26" i="63"/>
  <c r="P26" i="63" s="1"/>
  <c r="W25" i="63"/>
  <c r="V25" i="63"/>
  <c r="U25" i="63"/>
  <c r="T25" i="63"/>
  <c r="R25" i="63"/>
  <c r="Q25" i="63"/>
  <c r="K25" i="63"/>
  <c r="I25" i="63"/>
  <c r="H25" i="63"/>
  <c r="G25" i="63"/>
  <c r="B25" i="63"/>
  <c r="P25" i="63" s="1"/>
  <c r="W24" i="63"/>
  <c r="V24" i="63"/>
  <c r="U24" i="63"/>
  <c r="T24" i="63"/>
  <c r="R24" i="63"/>
  <c r="Q24" i="63"/>
  <c r="K24" i="63"/>
  <c r="I24" i="63"/>
  <c r="H24" i="63"/>
  <c r="B24" i="63"/>
  <c r="P24" i="63" s="1"/>
  <c r="W23" i="63"/>
  <c r="V23" i="63"/>
  <c r="U23" i="63"/>
  <c r="T23" i="63"/>
  <c r="R23" i="63"/>
  <c r="Q23" i="63"/>
  <c r="K23" i="63"/>
  <c r="I23" i="63"/>
  <c r="H23" i="63"/>
  <c r="G23" i="63"/>
  <c r="B23" i="63"/>
  <c r="P23" i="63" s="1"/>
  <c r="W22" i="63"/>
  <c r="V22" i="63"/>
  <c r="U22" i="63"/>
  <c r="T22" i="63"/>
  <c r="R22" i="63"/>
  <c r="Q22" i="63"/>
  <c r="K22" i="63"/>
  <c r="I22" i="63"/>
  <c r="H22" i="63"/>
  <c r="B22" i="63"/>
  <c r="P22" i="63" s="1"/>
  <c r="W21" i="63"/>
  <c r="V21" i="63"/>
  <c r="U21" i="63"/>
  <c r="T21" i="63"/>
  <c r="R21" i="63"/>
  <c r="Q21" i="63"/>
  <c r="K21" i="63"/>
  <c r="I21" i="63"/>
  <c r="H21" i="63"/>
  <c r="G21" i="63"/>
  <c r="B21" i="63"/>
  <c r="P21" i="63" s="1"/>
  <c r="W20" i="63"/>
  <c r="V20" i="63"/>
  <c r="U20" i="63"/>
  <c r="T20" i="63"/>
  <c r="R20" i="63"/>
  <c r="Q20" i="63"/>
  <c r="K20" i="63"/>
  <c r="I20" i="63"/>
  <c r="H20" i="63"/>
  <c r="B20" i="63"/>
  <c r="P20" i="63" s="1"/>
  <c r="W19" i="63"/>
  <c r="V19" i="63"/>
  <c r="U19" i="63"/>
  <c r="T19" i="63"/>
  <c r="R19" i="63"/>
  <c r="Q19" i="63"/>
  <c r="P19" i="63"/>
  <c r="K19" i="63"/>
  <c r="I19" i="63"/>
  <c r="H19" i="63"/>
  <c r="G19" i="63"/>
  <c r="B19" i="63"/>
  <c r="W18" i="63"/>
  <c r="V18" i="63"/>
  <c r="U18" i="63"/>
  <c r="T18" i="63"/>
  <c r="R18" i="63"/>
  <c r="Q18" i="63"/>
  <c r="K18" i="63"/>
  <c r="I18" i="63"/>
  <c r="H18" i="63"/>
  <c r="B18" i="63"/>
  <c r="P18" i="63" s="1"/>
  <c r="W17" i="63"/>
  <c r="V17" i="63"/>
  <c r="U17" i="63"/>
  <c r="T17" i="63"/>
  <c r="R17" i="63"/>
  <c r="Q17" i="63"/>
  <c r="P17" i="63"/>
  <c r="K17" i="63"/>
  <c r="I17" i="63"/>
  <c r="H17" i="63"/>
  <c r="G17" i="63"/>
  <c r="B17" i="63"/>
  <c r="W16" i="63"/>
  <c r="V16" i="63"/>
  <c r="U16" i="63"/>
  <c r="T16" i="63"/>
  <c r="R16" i="63"/>
  <c r="Q16" i="63"/>
  <c r="K16" i="63"/>
  <c r="I16" i="63"/>
  <c r="H16" i="63"/>
  <c r="B16" i="63"/>
  <c r="P16" i="63" s="1"/>
  <c r="W15" i="63"/>
  <c r="V15" i="63"/>
  <c r="U15" i="63"/>
  <c r="T15" i="63"/>
  <c r="R15" i="63"/>
  <c r="Q15" i="63"/>
  <c r="P15" i="63"/>
  <c r="K15" i="63"/>
  <c r="I15" i="63"/>
  <c r="H15" i="63"/>
  <c r="G15" i="63"/>
  <c r="B15" i="63"/>
  <c r="W14" i="63"/>
  <c r="V14" i="63"/>
  <c r="U14" i="63"/>
  <c r="T14" i="63"/>
  <c r="R14" i="63"/>
  <c r="Q14" i="63"/>
  <c r="K14" i="63"/>
  <c r="I14" i="63"/>
  <c r="H14" i="63"/>
  <c r="B14" i="63"/>
  <c r="P14" i="63" s="1"/>
  <c r="P11" i="63"/>
  <c r="K11" i="63"/>
  <c r="T11" i="63" s="1"/>
  <c r="I10" i="63"/>
  <c r="R10" i="63" s="1"/>
  <c r="G10" i="63"/>
  <c r="P10" i="63" s="1"/>
  <c r="I9" i="63"/>
  <c r="L13" i="63" s="1"/>
  <c r="G9" i="63"/>
  <c r="P9" i="63" s="1"/>
  <c r="G8" i="63"/>
  <c r="P8" i="63" s="1"/>
  <c r="I7" i="63"/>
  <c r="R7" i="63" s="1"/>
  <c r="W29" i="62"/>
  <c r="V29" i="62"/>
  <c r="U29" i="62"/>
  <c r="T29" i="62"/>
  <c r="R29" i="62"/>
  <c r="Q29" i="62"/>
  <c r="K29" i="62"/>
  <c r="I29" i="62"/>
  <c r="H29" i="62"/>
  <c r="B29" i="62"/>
  <c r="G29" i="62" s="1"/>
  <c r="W28" i="62"/>
  <c r="V28" i="62"/>
  <c r="U28" i="62"/>
  <c r="T28" i="62"/>
  <c r="R28" i="62"/>
  <c r="Q28" i="62"/>
  <c r="K28" i="62"/>
  <c r="I28" i="62"/>
  <c r="H28" i="62"/>
  <c r="B28" i="62"/>
  <c r="P28" i="62" s="1"/>
  <c r="W27" i="62"/>
  <c r="V27" i="62"/>
  <c r="U27" i="62"/>
  <c r="T27" i="62"/>
  <c r="R27" i="62"/>
  <c r="Q27" i="62"/>
  <c r="K27" i="62"/>
  <c r="I27" i="62"/>
  <c r="H27" i="62"/>
  <c r="G27" i="62"/>
  <c r="B27" i="62"/>
  <c r="P27" i="62" s="1"/>
  <c r="W26" i="62"/>
  <c r="V26" i="62"/>
  <c r="U26" i="62"/>
  <c r="T26" i="62"/>
  <c r="R26" i="62"/>
  <c r="Q26" i="62"/>
  <c r="K26" i="62"/>
  <c r="I26" i="62"/>
  <c r="H26" i="62"/>
  <c r="B26" i="62"/>
  <c r="P26" i="62" s="1"/>
  <c r="W25" i="62"/>
  <c r="V25" i="62"/>
  <c r="U25" i="62"/>
  <c r="T25" i="62"/>
  <c r="R25" i="62"/>
  <c r="Q25" i="62"/>
  <c r="K25" i="62"/>
  <c r="I25" i="62"/>
  <c r="H25" i="62"/>
  <c r="G25" i="62"/>
  <c r="B25" i="62"/>
  <c r="P25" i="62" s="1"/>
  <c r="W24" i="62"/>
  <c r="V24" i="62"/>
  <c r="U24" i="62"/>
  <c r="T24" i="62"/>
  <c r="R24" i="62"/>
  <c r="Q24" i="62"/>
  <c r="K24" i="62"/>
  <c r="I24" i="62"/>
  <c r="H24" i="62"/>
  <c r="B24" i="62"/>
  <c r="P24" i="62" s="1"/>
  <c r="W23" i="62"/>
  <c r="V23" i="62"/>
  <c r="U23" i="62"/>
  <c r="T23" i="62"/>
  <c r="R23" i="62"/>
  <c r="Q23" i="62"/>
  <c r="K23" i="62"/>
  <c r="I23" i="62"/>
  <c r="H23" i="62"/>
  <c r="G23" i="62"/>
  <c r="B23" i="62"/>
  <c r="P23" i="62" s="1"/>
  <c r="W22" i="62"/>
  <c r="V22" i="62"/>
  <c r="U22" i="62"/>
  <c r="T22" i="62"/>
  <c r="R22" i="62"/>
  <c r="Q22" i="62"/>
  <c r="K22" i="62"/>
  <c r="I22" i="62"/>
  <c r="H22" i="62"/>
  <c r="B22" i="62"/>
  <c r="P22" i="62" s="1"/>
  <c r="W21" i="62"/>
  <c r="V21" i="62"/>
  <c r="U21" i="62"/>
  <c r="T21" i="62"/>
  <c r="R21" i="62"/>
  <c r="Q21" i="62"/>
  <c r="K21" i="62"/>
  <c r="I21" i="62"/>
  <c r="H21" i="62"/>
  <c r="G21" i="62"/>
  <c r="B21" i="62"/>
  <c r="P21" i="62" s="1"/>
  <c r="W20" i="62"/>
  <c r="V20" i="62"/>
  <c r="U20" i="62"/>
  <c r="T20" i="62"/>
  <c r="R20" i="62"/>
  <c r="Q20" i="62"/>
  <c r="K20" i="62"/>
  <c r="I20" i="62"/>
  <c r="H20" i="62"/>
  <c r="B20" i="62"/>
  <c r="P20" i="62" s="1"/>
  <c r="W19" i="62"/>
  <c r="V19" i="62"/>
  <c r="U19" i="62"/>
  <c r="T19" i="62"/>
  <c r="R19" i="62"/>
  <c r="Q19" i="62"/>
  <c r="K19" i="62"/>
  <c r="I19" i="62"/>
  <c r="H19" i="62"/>
  <c r="G19" i="62"/>
  <c r="B19" i="62"/>
  <c r="P19" i="62" s="1"/>
  <c r="W18" i="62"/>
  <c r="V18" i="62"/>
  <c r="U18" i="62"/>
  <c r="T18" i="62"/>
  <c r="R18" i="62"/>
  <c r="Q18" i="62"/>
  <c r="K18" i="62"/>
  <c r="I18" i="62"/>
  <c r="H18" i="62"/>
  <c r="B18" i="62"/>
  <c r="P18" i="62" s="1"/>
  <c r="W17" i="62"/>
  <c r="V17" i="62"/>
  <c r="U17" i="62"/>
  <c r="T17" i="62"/>
  <c r="R17" i="62"/>
  <c r="Q17" i="62"/>
  <c r="K17" i="62"/>
  <c r="I17" i="62"/>
  <c r="H17" i="62"/>
  <c r="G17" i="62"/>
  <c r="B17" i="62"/>
  <c r="P17" i="62" s="1"/>
  <c r="W16" i="62"/>
  <c r="V16" i="62"/>
  <c r="U16" i="62"/>
  <c r="T16" i="62"/>
  <c r="R16" i="62"/>
  <c r="Q16" i="62"/>
  <c r="K16" i="62"/>
  <c r="I16" i="62"/>
  <c r="H16" i="62"/>
  <c r="B16" i="62"/>
  <c r="P16" i="62" s="1"/>
  <c r="W15" i="62"/>
  <c r="V15" i="62"/>
  <c r="U15" i="62"/>
  <c r="T15" i="62"/>
  <c r="R15" i="62"/>
  <c r="Q15" i="62"/>
  <c r="K15" i="62"/>
  <c r="I15" i="62"/>
  <c r="H15" i="62"/>
  <c r="G15" i="62"/>
  <c r="B15" i="62"/>
  <c r="P15" i="62" s="1"/>
  <c r="W14" i="62"/>
  <c r="V14" i="62"/>
  <c r="U14" i="62"/>
  <c r="T14" i="62"/>
  <c r="R14" i="62"/>
  <c r="Q14" i="62"/>
  <c r="K14" i="62"/>
  <c r="I14" i="62"/>
  <c r="H14" i="62"/>
  <c r="B14" i="62"/>
  <c r="P14" i="62" s="1"/>
  <c r="P11" i="62"/>
  <c r="K11" i="62"/>
  <c r="T11" i="62" s="1"/>
  <c r="I10" i="62"/>
  <c r="R10" i="62" s="1"/>
  <c r="G10" i="62"/>
  <c r="P10" i="62" s="1"/>
  <c r="I9" i="62"/>
  <c r="L13" i="62" s="1"/>
  <c r="G9" i="62"/>
  <c r="P9" i="62" s="1"/>
  <c r="G8" i="62"/>
  <c r="P8" i="62" s="1"/>
  <c r="I7" i="62"/>
  <c r="R7" i="62" s="1"/>
  <c r="W29" i="61"/>
  <c r="V29" i="61"/>
  <c r="U29" i="61"/>
  <c r="T29" i="61"/>
  <c r="R29" i="61"/>
  <c r="Q29" i="61"/>
  <c r="P29" i="61"/>
  <c r="K29" i="61"/>
  <c r="I29" i="61"/>
  <c r="H29" i="61"/>
  <c r="B29" i="61"/>
  <c r="G29" i="61" s="1"/>
  <c r="W28" i="61"/>
  <c r="V28" i="61"/>
  <c r="U28" i="61"/>
  <c r="T28" i="61"/>
  <c r="R28" i="61"/>
  <c r="Q28" i="61"/>
  <c r="K28" i="61"/>
  <c r="I28" i="61"/>
  <c r="H28" i="61"/>
  <c r="B28" i="61"/>
  <c r="P28" i="61" s="1"/>
  <c r="W27" i="61"/>
  <c r="V27" i="61"/>
  <c r="U27" i="61"/>
  <c r="T27" i="61"/>
  <c r="R27" i="61"/>
  <c r="Q27" i="61"/>
  <c r="P27" i="61"/>
  <c r="K27" i="61"/>
  <c r="I27" i="61"/>
  <c r="H27" i="61"/>
  <c r="G27" i="61"/>
  <c r="B27" i="61"/>
  <c r="W26" i="61"/>
  <c r="V26" i="61"/>
  <c r="U26" i="61"/>
  <c r="T26" i="61"/>
  <c r="R26" i="61"/>
  <c r="Q26" i="61"/>
  <c r="K26" i="61"/>
  <c r="I26" i="61"/>
  <c r="H26" i="61"/>
  <c r="B26" i="61"/>
  <c r="P26" i="61" s="1"/>
  <c r="W25" i="61"/>
  <c r="V25" i="61"/>
  <c r="U25" i="61"/>
  <c r="T25" i="61"/>
  <c r="R25" i="61"/>
  <c r="Q25" i="61"/>
  <c r="P25" i="61"/>
  <c r="K25" i="61"/>
  <c r="I25" i="61"/>
  <c r="H25" i="61"/>
  <c r="G25" i="61"/>
  <c r="B25" i="61"/>
  <c r="W24" i="61"/>
  <c r="V24" i="61"/>
  <c r="U24" i="61"/>
  <c r="T24" i="61"/>
  <c r="R24" i="61"/>
  <c r="Q24" i="61"/>
  <c r="K24" i="61"/>
  <c r="I24" i="61"/>
  <c r="H24" i="61"/>
  <c r="B24" i="61"/>
  <c r="P24" i="61" s="1"/>
  <c r="W23" i="61"/>
  <c r="V23" i="61"/>
  <c r="U23" i="61"/>
  <c r="T23" i="61"/>
  <c r="R23" i="61"/>
  <c r="Q23" i="61"/>
  <c r="P23" i="61"/>
  <c r="K23" i="61"/>
  <c r="I23" i="61"/>
  <c r="H23" i="61"/>
  <c r="G23" i="61"/>
  <c r="B23" i="61"/>
  <c r="W22" i="61"/>
  <c r="V22" i="61"/>
  <c r="U22" i="61"/>
  <c r="T22" i="61"/>
  <c r="R22" i="61"/>
  <c r="Q22" i="61"/>
  <c r="K22" i="61"/>
  <c r="I22" i="61"/>
  <c r="H22" i="61"/>
  <c r="B22" i="61"/>
  <c r="P22" i="61" s="1"/>
  <c r="W21" i="61"/>
  <c r="V21" i="61"/>
  <c r="U21" i="61"/>
  <c r="T21" i="61"/>
  <c r="R21" i="61"/>
  <c r="Q21" i="61"/>
  <c r="P21" i="61"/>
  <c r="K21" i="61"/>
  <c r="I21" i="61"/>
  <c r="H21" i="61"/>
  <c r="G21" i="61"/>
  <c r="B21" i="61"/>
  <c r="W20" i="61"/>
  <c r="V20" i="61"/>
  <c r="U20" i="61"/>
  <c r="T20" i="61"/>
  <c r="R20" i="61"/>
  <c r="Q20" i="61"/>
  <c r="K20" i="61"/>
  <c r="I20" i="61"/>
  <c r="H20" i="61"/>
  <c r="B20" i="61"/>
  <c r="P20" i="61" s="1"/>
  <c r="W19" i="61"/>
  <c r="V19" i="61"/>
  <c r="U19" i="61"/>
  <c r="T19" i="61"/>
  <c r="R19" i="61"/>
  <c r="Q19" i="61"/>
  <c r="P19" i="61"/>
  <c r="K19" i="61"/>
  <c r="I19" i="61"/>
  <c r="H19" i="61"/>
  <c r="G19" i="61"/>
  <c r="B19" i="61"/>
  <c r="W18" i="61"/>
  <c r="V18" i="61"/>
  <c r="U18" i="61"/>
  <c r="T18" i="61"/>
  <c r="R18" i="61"/>
  <c r="Q18" i="61"/>
  <c r="K18" i="61"/>
  <c r="I18" i="61"/>
  <c r="H18" i="61"/>
  <c r="B18" i="61"/>
  <c r="P18" i="61" s="1"/>
  <c r="W17" i="61"/>
  <c r="V17" i="61"/>
  <c r="U17" i="61"/>
  <c r="T17" i="61"/>
  <c r="R17" i="61"/>
  <c r="Q17" i="61"/>
  <c r="P17" i="61"/>
  <c r="K17" i="61"/>
  <c r="I17" i="61"/>
  <c r="H17" i="61"/>
  <c r="G17" i="61"/>
  <c r="B17" i="61"/>
  <c r="W16" i="61"/>
  <c r="V16" i="61"/>
  <c r="U16" i="61"/>
  <c r="T16" i="61"/>
  <c r="R16" i="61"/>
  <c r="Q16" i="61"/>
  <c r="K16" i="61"/>
  <c r="I16" i="61"/>
  <c r="H16" i="61"/>
  <c r="B16" i="61"/>
  <c r="P16" i="61" s="1"/>
  <c r="W15" i="61"/>
  <c r="V15" i="61"/>
  <c r="U15" i="61"/>
  <c r="T15" i="61"/>
  <c r="R15" i="61"/>
  <c r="Q15" i="61"/>
  <c r="P15" i="61"/>
  <c r="K15" i="61"/>
  <c r="I15" i="61"/>
  <c r="H15" i="61"/>
  <c r="G15" i="61"/>
  <c r="B15" i="61"/>
  <c r="W14" i="61"/>
  <c r="V14" i="61"/>
  <c r="U14" i="61"/>
  <c r="T14" i="61"/>
  <c r="R14" i="61"/>
  <c r="Q14" i="61"/>
  <c r="K14" i="61"/>
  <c r="I14" i="61"/>
  <c r="H14" i="61"/>
  <c r="B14" i="61"/>
  <c r="P14" i="61" s="1"/>
  <c r="P11" i="61"/>
  <c r="K11" i="61"/>
  <c r="T11" i="61" s="1"/>
  <c r="I10" i="61"/>
  <c r="R10" i="61" s="1"/>
  <c r="G10" i="61"/>
  <c r="P10" i="61" s="1"/>
  <c r="I9" i="61"/>
  <c r="L13" i="61" s="1"/>
  <c r="G9" i="61"/>
  <c r="P9" i="61" s="1"/>
  <c r="G8" i="61"/>
  <c r="P8" i="61" s="1"/>
  <c r="I7" i="61"/>
  <c r="R7" i="61" s="1"/>
  <c r="W29" i="81"/>
  <c r="V29" i="81"/>
  <c r="U29" i="81"/>
  <c r="T29" i="81"/>
  <c r="R29" i="81"/>
  <c r="Q29" i="81"/>
  <c r="K29" i="81"/>
  <c r="I29" i="81"/>
  <c r="H29" i="81"/>
  <c r="G29" i="81"/>
  <c r="B29" i="81"/>
  <c r="P29" i="81" s="1"/>
  <c r="W28" i="81"/>
  <c r="V28" i="81"/>
  <c r="U28" i="81"/>
  <c r="T28" i="81"/>
  <c r="R28" i="81"/>
  <c r="Q28" i="81"/>
  <c r="K28" i="81"/>
  <c r="I28" i="81"/>
  <c r="H28" i="81"/>
  <c r="B28" i="81"/>
  <c r="P28" i="81" s="1"/>
  <c r="W27" i="81"/>
  <c r="V27" i="81"/>
  <c r="U27" i="81"/>
  <c r="T27" i="81"/>
  <c r="R27" i="81"/>
  <c r="Q27" i="81"/>
  <c r="K27" i="81"/>
  <c r="I27" i="81"/>
  <c r="H27" i="81"/>
  <c r="G27" i="81"/>
  <c r="B27" i="81"/>
  <c r="P27" i="81" s="1"/>
  <c r="W26" i="81"/>
  <c r="V26" i="81"/>
  <c r="U26" i="81"/>
  <c r="T26" i="81"/>
  <c r="R26" i="81"/>
  <c r="Q26" i="81"/>
  <c r="P26" i="81"/>
  <c r="K26" i="81"/>
  <c r="I26" i="81"/>
  <c r="H26" i="81"/>
  <c r="B26" i="81"/>
  <c r="G26" i="81" s="1"/>
  <c r="W25" i="81"/>
  <c r="V25" i="81"/>
  <c r="U25" i="81"/>
  <c r="T25" i="81"/>
  <c r="R25" i="81"/>
  <c r="Q25" i="81"/>
  <c r="K25" i="81"/>
  <c r="I25" i="81"/>
  <c r="H25" i="81"/>
  <c r="G25" i="81"/>
  <c r="B25" i="81"/>
  <c r="P25" i="81" s="1"/>
  <c r="W24" i="81"/>
  <c r="V24" i="81"/>
  <c r="U24" i="81"/>
  <c r="T24" i="81"/>
  <c r="R24" i="81"/>
  <c r="Q24" i="81"/>
  <c r="P24" i="81"/>
  <c r="K24" i="81"/>
  <c r="I24" i="81"/>
  <c r="H24" i="81"/>
  <c r="B24" i="81"/>
  <c r="G24" i="81" s="1"/>
  <c r="W23" i="81"/>
  <c r="V23" i="81"/>
  <c r="U23" i="81"/>
  <c r="T23" i="81"/>
  <c r="R23" i="81"/>
  <c r="Q23" i="81"/>
  <c r="K23" i="81"/>
  <c r="I23" i="81"/>
  <c r="H23" i="81"/>
  <c r="G23" i="81"/>
  <c r="B23" i="81"/>
  <c r="P23" i="81" s="1"/>
  <c r="W22" i="81"/>
  <c r="V22" i="81"/>
  <c r="U22" i="81"/>
  <c r="T22" i="81"/>
  <c r="R22" i="81"/>
  <c r="Q22" i="81"/>
  <c r="P22" i="81"/>
  <c r="K22" i="81"/>
  <c r="I22" i="81"/>
  <c r="H22" i="81"/>
  <c r="B22" i="81"/>
  <c r="G22" i="81" s="1"/>
  <c r="W21" i="81"/>
  <c r="V21" i="81"/>
  <c r="U21" i="81"/>
  <c r="T21" i="81"/>
  <c r="R21" i="81"/>
  <c r="Q21" i="81"/>
  <c r="K21" i="81"/>
  <c r="I21" i="81"/>
  <c r="H21" i="81"/>
  <c r="G21" i="81"/>
  <c r="B21" i="81"/>
  <c r="P21" i="81" s="1"/>
  <c r="W20" i="81"/>
  <c r="V20" i="81"/>
  <c r="U20" i="81"/>
  <c r="T20" i="81"/>
  <c r="R20" i="81"/>
  <c r="Q20" i="81"/>
  <c r="P20" i="81"/>
  <c r="K20" i="81"/>
  <c r="I20" i="81"/>
  <c r="H20" i="81"/>
  <c r="B20" i="81"/>
  <c r="G20" i="81" s="1"/>
  <c r="W19" i="81"/>
  <c r="V19" i="81"/>
  <c r="U19" i="81"/>
  <c r="T19" i="81"/>
  <c r="R19" i="81"/>
  <c r="Q19" i="81"/>
  <c r="K19" i="81"/>
  <c r="I19" i="81"/>
  <c r="H19" i="81"/>
  <c r="G19" i="81"/>
  <c r="B19" i="81"/>
  <c r="P19" i="81" s="1"/>
  <c r="W18" i="81"/>
  <c r="V18" i="81"/>
  <c r="U18" i="81"/>
  <c r="T18" i="81"/>
  <c r="R18" i="81"/>
  <c r="Q18" i="81"/>
  <c r="P18" i="81"/>
  <c r="K18" i="81"/>
  <c r="I18" i="81"/>
  <c r="H18" i="81"/>
  <c r="B18" i="81"/>
  <c r="G18" i="81" s="1"/>
  <c r="W17" i="81"/>
  <c r="V17" i="81"/>
  <c r="U17" i="81"/>
  <c r="T17" i="81"/>
  <c r="R17" i="81"/>
  <c r="Q17" i="81"/>
  <c r="K17" i="81"/>
  <c r="I17" i="81"/>
  <c r="H17" i="81"/>
  <c r="G17" i="81"/>
  <c r="B17" i="81"/>
  <c r="P17" i="81" s="1"/>
  <c r="W16" i="81"/>
  <c r="V16" i="81"/>
  <c r="U16" i="81"/>
  <c r="T16" i="81"/>
  <c r="R16" i="81"/>
  <c r="Q16" i="81"/>
  <c r="P16" i="81"/>
  <c r="K16" i="81"/>
  <c r="I16" i="81"/>
  <c r="H16" i="81"/>
  <c r="B16" i="81"/>
  <c r="G16" i="81" s="1"/>
  <c r="W15" i="81"/>
  <c r="V15" i="81"/>
  <c r="U15" i="81"/>
  <c r="T15" i="81"/>
  <c r="R15" i="81"/>
  <c r="Q15" i="81"/>
  <c r="K15" i="81"/>
  <c r="I15" i="81"/>
  <c r="H15" i="81"/>
  <c r="G15" i="81"/>
  <c r="B15" i="81"/>
  <c r="P15" i="81" s="1"/>
  <c r="W14" i="81"/>
  <c r="V14" i="81"/>
  <c r="U14" i="81"/>
  <c r="T14" i="81"/>
  <c r="R14" i="81"/>
  <c r="Q14" i="81"/>
  <c r="P14" i="81"/>
  <c r="K14" i="81"/>
  <c r="I14" i="81"/>
  <c r="H14" i="81"/>
  <c r="B14" i="81"/>
  <c r="G14" i="81" s="1"/>
  <c r="L13" i="81"/>
  <c r="P11" i="81"/>
  <c r="K11" i="81"/>
  <c r="T11" i="81" s="1"/>
  <c r="I10" i="81"/>
  <c r="R10" i="81" s="1"/>
  <c r="G10" i="81"/>
  <c r="P10" i="81" s="1"/>
  <c r="R9" i="81"/>
  <c r="I9" i="81"/>
  <c r="G9" i="81"/>
  <c r="P9" i="81" s="1"/>
  <c r="P8" i="81"/>
  <c r="G8" i="81"/>
  <c r="I7" i="81"/>
  <c r="R7" i="81" s="1"/>
  <c r="W29" i="48"/>
  <c r="V29" i="48"/>
  <c r="U29" i="48"/>
  <c r="T29" i="48"/>
  <c r="R29" i="48"/>
  <c r="Q29" i="48"/>
  <c r="K29" i="48"/>
  <c r="I29" i="48"/>
  <c r="H29" i="48"/>
  <c r="B29" i="48"/>
  <c r="G29" i="48" s="1"/>
  <c r="W28" i="48"/>
  <c r="V28" i="48"/>
  <c r="U28" i="48"/>
  <c r="T28" i="48"/>
  <c r="R28" i="48"/>
  <c r="Q28" i="48"/>
  <c r="K28" i="48"/>
  <c r="I28" i="48"/>
  <c r="H28" i="48"/>
  <c r="B28" i="48"/>
  <c r="P28" i="48" s="1"/>
  <c r="W27" i="48"/>
  <c r="V27" i="48"/>
  <c r="U27" i="48"/>
  <c r="T27" i="48"/>
  <c r="R27" i="48"/>
  <c r="Q27" i="48"/>
  <c r="K27" i="48"/>
  <c r="I27" i="48"/>
  <c r="H27" i="48"/>
  <c r="G27" i="48"/>
  <c r="B27" i="48"/>
  <c r="P27" i="48" s="1"/>
  <c r="W26" i="48"/>
  <c r="V26" i="48"/>
  <c r="U26" i="48"/>
  <c r="T26" i="48"/>
  <c r="R26" i="48"/>
  <c r="Q26" i="48"/>
  <c r="K26" i="48"/>
  <c r="I26" i="48"/>
  <c r="H26" i="48"/>
  <c r="B26" i="48"/>
  <c r="P26" i="48" s="1"/>
  <c r="W25" i="48"/>
  <c r="V25" i="48"/>
  <c r="U25" i="48"/>
  <c r="T25" i="48"/>
  <c r="R25" i="48"/>
  <c r="Q25" i="48"/>
  <c r="K25" i="48"/>
  <c r="I25" i="48"/>
  <c r="H25" i="48"/>
  <c r="G25" i="48"/>
  <c r="B25" i="48"/>
  <c r="P25" i="48" s="1"/>
  <c r="W24" i="48"/>
  <c r="V24" i="48"/>
  <c r="U24" i="48"/>
  <c r="T24" i="48"/>
  <c r="R24" i="48"/>
  <c r="Q24" i="48"/>
  <c r="K24" i="48"/>
  <c r="I24" i="48"/>
  <c r="H24" i="48"/>
  <c r="B24" i="48"/>
  <c r="P24" i="48" s="1"/>
  <c r="W23" i="48"/>
  <c r="V23" i="48"/>
  <c r="U23" i="48"/>
  <c r="T23" i="48"/>
  <c r="R23" i="48"/>
  <c r="Q23" i="48"/>
  <c r="K23" i="48"/>
  <c r="I23" i="48"/>
  <c r="H23" i="48"/>
  <c r="G23" i="48"/>
  <c r="B23" i="48"/>
  <c r="P23" i="48" s="1"/>
  <c r="W22" i="48"/>
  <c r="V22" i="48"/>
  <c r="U22" i="48"/>
  <c r="T22" i="48"/>
  <c r="R22" i="48"/>
  <c r="Q22" i="48"/>
  <c r="K22" i="48"/>
  <c r="I22" i="48"/>
  <c r="H22" i="48"/>
  <c r="B22" i="48"/>
  <c r="P22" i="48" s="1"/>
  <c r="W21" i="48"/>
  <c r="V21" i="48"/>
  <c r="U21" i="48"/>
  <c r="T21" i="48"/>
  <c r="R21" i="48"/>
  <c r="Q21" i="48"/>
  <c r="K21" i="48"/>
  <c r="I21" i="48"/>
  <c r="H21" i="48"/>
  <c r="G21" i="48"/>
  <c r="B21" i="48"/>
  <c r="P21" i="48" s="1"/>
  <c r="W20" i="48"/>
  <c r="V20" i="48"/>
  <c r="U20" i="48"/>
  <c r="T20" i="48"/>
  <c r="R20" i="48"/>
  <c r="Q20" i="48"/>
  <c r="K20" i="48"/>
  <c r="I20" i="48"/>
  <c r="H20" i="48"/>
  <c r="B20" i="48"/>
  <c r="P20" i="48" s="1"/>
  <c r="W19" i="48"/>
  <c r="V19" i="48"/>
  <c r="U19" i="48"/>
  <c r="T19" i="48"/>
  <c r="R19" i="48"/>
  <c r="Q19" i="48"/>
  <c r="K19" i="48"/>
  <c r="I19" i="48"/>
  <c r="H19" i="48"/>
  <c r="G19" i="48"/>
  <c r="B19" i="48"/>
  <c r="P19" i="48" s="1"/>
  <c r="W18" i="48"/>
  <c r="V18" i="48"/>
  <c r="U18" i="48"/>
  <c r="T18" i="48"/>
  <c r="R18" i="48"/>
  <c r="Q18" i="48"/>
  <c r="K18" i="48"/>
  <c r="I18" i="48"/>
  <c r="H18" i="48"/>
  <c r="B18" i="48"/>
  <c r="P18" i="48" s="1"/>
  <c r="W17" i="48"/>
  <c r="V17" i="48"/>
  <c r="U17" i="48"/>
  <c r="T17" i="48"/>
  <c r="R17" i="48"/>
  <c r="Q17" i="48"/>
  <c r="K17" i="48"/>
  <c r="I17" i="48"/>
  <c r="H17" i="48"/>
  <c r="G17" i="48"/>
  <c r="B17" i="48"/>
  <c r="P17" i="48" s="1"/>
  <c r="W16" i="48"/>
  <c r="V16" i="48"/>
  <c r="U16" i="48"/>
  <c r="T16" i="48"/>
  <c r="R16" i="48"/>
  <c r="Q16" i="48"/>
  <c r="K16" i="48"/>
  <c r="I16" i="48"/>
  <c r="H16" i="48"/>
  <c r="B16" i="48"/>
  <c r="P16" i="48" s="1"/>
  <c r="W15" i="48"/>
  <c r="V15" i="48"/>
  <c r="U15" i="48"/>
  <c r="T15" i="48"/>
  <c r="R15" i="48"/>
  <c r="Q15" i="48"/>
  <c r="K15" i="48"/>
  <c r="I15" i="48"/>
  <c r="H15" i="48"/>
  <c r="G15" i="48"/>
  <c r="B15" i="48"/>
  <c r="P15" i="48" s="1"/>
  <c r="W14" i="48"/>
  <c r="V14" i="48"/>
  <c r="U14" i="48"/>
  <c r="T14" i="48"/>
  <c r="R14" i="48"/>
  <c r="Q14" i="48"/>
  <c r="K14" i="48"/>
  <c r="I14" i="48"/>
  <c r="H14" i="48"/>
  <c r="B14" i="48"/>
  <c r="P14" i="48" s="1"/>
  <c r="P11" i="48"/>
  <c r="K11" i="48"/>
  <c r="T11" i="48" s="1"/>
  <c r="I10" i="48"/>
  <c r="R10" i="48" s="1"/>
  <c r="G10" i="48"/>
  <c r="P10" i="48" s="1"/>
  <c r="I9" i="48"/>
  <c r="L13" i="48" s="1"/>
  <c r="G9" i="48"/>
  <c r="P9" i="48" s="1"/>
  <c r="G8" i="48"/>
  <c r="P8" i="48" s="1"/>
  <c r="I7" i="48"/>
  <c r="R7" i="48" s="1"/>
  <c r="W29" i="47"/>
  <c r="V29" i="47"/>
  <c r="U29" i="47"/>
  <c r="T29" i="47"/>
  <c r="R29" i="47"/>
  <c r="Q29" i="47"/>
  <c r="P29" i="47"/>
  <c r="K29" i="47"/>
  <c r="I29" i="47"/>
  <c r="H29" i="47"/>
  <c r="G29" i="47"/>
  <c r="B29" i="47"/>
  <c r="W28" i="47"/>
  <c r="V28" i="47"/>
  <c r="U28" i="47"/>
  <c r="T28" i="47"/>
  <c r="R28" i="47"/>
  <c r="Q28" i="47"/>
  <c r="P28" i="47"/>
  <c r="K28" i="47"/>
  <c r="I28" i="47"/>
  <c r="H28" i="47"/>
  <c r="G28" i="47"/>
  <c r="B28" i="47"/>
  <c r="W27" i="47"/>
  <c r="V27" i="47"/>
  <c r="U27" i="47"/>
  <c r="T27" i="47"/>
  <c r="R27" i="47"/>
  <c r="Q27" i="47"/>
  <c r="P27" i="47"/>
  <c r="K27" i="47"/>
  <c r="I27" i="47"/>
  <c r="H27" i="47"/>
  <c r="G27" i="47"/>
  <c r="B27" i="47"/>
  <c r="W26" i="47"/>
  <c r="V26" i="47"/>
  <c r="U26" i="47"/>
  <c r="T26" i="47"/>
  <c r="R26" i="47"/>
  <c r="Q26" i="47"/>
  <c r="P26" i="47"/>
  <c r="K26" i="47"/>
  <c r="I26" i="47"/>
  <c r="H26" i="47"/>
  <c r="G26" i="47"/>
  <c r="B26" i="47"/>
  <c r="W25" i="47"/>
  <c r="V25" i="47"/>
  <c r="U25" i="47"/>
  <c r="T25" i="47"/>
  <c r="R25" i="47"/>
  <c r="Q25" i="47"/>
  <c r="P25" i="47"/>
  <c r="K25" i="47"/>
  <c r="I25" i="47"/>
  <c r="H25" i="47"/>
  <c r="G25" i="47"/>
  <c r="B25" i="47"/>
  <c r="W24" i="47"/>
  <c r="V24" i="47"/>
  <c r="U24" i="47"/>
  <c r="T24" i="47"/>
  <c r="R24" i="47"/>
  <c r="Q24" i="47"/>
  <c r="P24" i="47"/>
  <c r="K24" i="47"/>
  <c r="I24" i="47"/>
  <c r="H24" i="47"/>
  <c r="G24" i="47"/>
  <c r="B24" i="47"/>
  <c r="W23" i="47"/>
  <c r="V23" i="47"/>
  <c r="U23" i="47"/>
  <c r="T23" i="47"/>
  <c r="R23" i="47"/>
  <c r="Q23" i="47"/>
  <c r="P23" i="47"/>
  <c r="K23" i="47"/>
  <c r="I23" i="47"/>
  <c r="H23" i="47"/>
  <c r="G23" i="47"/>
  <c r="B23" i="47"/>
  <c r="W22" i="47"/>
  <c r="V22" i="47"/>
  <c r="U22" i="47"/>
  <c r="T22" i="47"/>
  <c r="R22" i="47"/>
  <c r="Q22" i="47"/>
  <c r="P22" i="47"/>
  <c r="K22" i="47"/>
  <c r="I22" i="47"/>
  <c r="H22" i="47"/>
  <c r="G22" i="47"/>
  <c r="B22" i="47"/>
  <c r="W21" i="47"/>
  <c r="V21" i="47"/>
  <c r="U21" i="47"/>
  <c r="T21" i="47"/>
  <c r="R21" i="47"/>
  <c r="Q21" i="47"/>
  <c r="P21" i="47"/>
  <c r="K21" i="47"/>
  <c r="I21" i="47"/>
  <c r="H21" i="47"/>
  <c r="G21" i="47"/>
  <c r="B21" i="47"/>
  <c r="W20" i="47"/>
  <c r="V20" i="47"/>
  <c r="U20" i="47"/>
  <c r="T20" i="47"/>
  <c r="R20" i="47"/>
  <c r="Q20" i="47"/>
  <c r="P20" i="47"/>
  <c r="K20" i="47"/>
  <c r="I20" i="47"/>
  <c r="H20" i="47"/>
  <c r="G20" i="47"/>
  <c r="B20" i="47"/>
  <c r="W19" i="47"/>
  <c r="V19" i="47"/>
  <c r="U19" i="47"/>
  <c r="T19" i="47"/>
  <c r="R19" i="47"/>
  <c r="Q19" i="47"/>
  <c r="P19" i="47"/>
  <c r="K19" i="47"/>
  <c r="I19" i="47"/>
  <c r="H19" i="47"/>
  <c r="G19" i="47"/>
  <c r="B19" i="47"/>
  <c r="W18" i="47"/>
  <c r="V18" i="47"/>
  <c r="U18" i="47"/>
  <c r="T18" i="47"/>
  <c r="R18" i="47"/>
  <c r="Q18" i="47"/>
  <c r="P18" i="47"/>
  <c r="K18" i="47"/>
  <c r="I18" i="47"/>
  <c r="H18" i="47"/>
  <c r="G18" i="47"/>
  <c r="B18" i="47"/>
  <c r="W17" i="47"/>
  <c r="V17" i="47"/>
  <c r="U17" i="47"/>
  <c r="T17" i="47"/>
  <c r="R17" i="47"/>
  <c r="Q17" i="47"/>
  <c r="P17" i="47"/>
  <c r="K17" i="47"/>
  <c r="I17" i="47"/>
  <c r="H17" i="47"/>
  <c r="G17" i="47"/>
  <c r="B17" i="47"/>
  <c r="W16" i="47"/>
  <c r="V16" i="47"/>
  <c r="U16" i="47"/>
  <c r="T16" i="47"/>
  <c r="R16" i="47"/>
  <c r="Q16" i="47"/>
  <c r="P16" i="47"/>
  <c r="K16" i="47"/>
  <c r="I16" i="47"/>
  <c r="H16" i="47"/>
  <c r="G16" i="47"/>
  <c r="B16" i="47"/>
  <c r="W15" i="47"/>
  <c r="V15" i="47"/>
  <c r="U15" i="47"/>
  <c r="T15" i="47"/>
  <c r="R15" i="47"/>
  <c r="Q15" i="47"/>
  <c r="P15" i="47"/>
  <c r="K15" i="47"/>
  <c r="I15" i="47"/>
  <c r="H15" i="47"/>
  <c r="G15" i="47"/>
  <c r="B15" i="47"/>
  <c r="W14" i="47"/>
  <c r="V14" i="47"/>
  <c r="U14" i="47"/>
  <c r="T14" i="47"/>
  <c r="R14" i="47"/>
  <c r="Q14" i="47"/>
  <c r="P14" i="47"/>
  <c r="K14" i="47"/>
  <c r="I14" i="47"/>
  <c r="H14" i="47"/>
  <c r="G14" i="47"/>
  <c r="B14" i="47"/>
  <c r="P11" i="47"/>
  <c r="K11" i="47"/>
  <c r="T11" i="47" s="1"/>
  <c r="P10" i="47"/>
  <c r="I10" i="47"/>
  <c r="R10" i="47" s="1"/>
  <c r="G10" i="47"/>
  <c r="I9" i="47"/>
  <c r="L13" i="47" s="1"/>
  <c r="G9" i="47"/>
  <c r="P9" i="47" s="1"/>
  <c r="G8" i="47"/>
  <c r="P8" i="47" s="1"/>
  <c r="R7" i="47"/>
  <c r="I7" i="47"/>
  <c r="W29" i="46"/>
  <c r="V29" i="46"/>
  <c r="U29" i="46"/>
  <c r="T29" i="46"/>
  <c r="R29" i="46"/>
  <c r="Q29" i="46"/>
  <c r="K29" i="46"/>
  <c r="I29" i="46"/>
  <c r="H29" i="46"/>
  <c r="G29" i="46"/>
  <c r="B29" i="46"/>
  <c r="P29" i="46" s="1"/>
  <c r="W28" i="46"/>
  <c r="V28" i="46"/>
  <c r="U28" i="46"/>
  <c r="T28" i="46"/>
  <c r="R28" i="46"/>
  <c r="Q28" i="46"/>
  <c r="K28" i="46"/>
  <c r="I28" i="46"/>
  <c r="H28" i="46"/>
  <c r="B28" i="46"/>
  <c r="P28" i="46" s="1"/>
  <c r="W27" i="46"/>
  <c r="V27" i="46"/>
  <c r="U27" i="46"/>
  <c r="T27" i="46"/>
  <c r="R27" i="46"/>
  <c r="Q27" i="46"/>
  <c r="K27" i="46"/>
  <c r="I27" i="46"/>
  <c r="H27" i="46"/>
  <c r="G27" i="46"/>
  <c r="B27" i="46"/>
  <c r="P27" i="46" s="1"/>
  <c r="W26" i="46"/>
  <c r="V26" i="46"/>
  <c r="U26" i="46"/>
  <c r="T26" i="46"/>
  <c r="R26" i="46"/>
  <c r="Q26" i="46"/>
  <c r="K26" i="46"/>
  <c r="I26" i="46"/>
  <c r="H26" i="46"/>
  <c r="B26" i="46"/>
  <c r="P26" i="46" s="1"/>
  <c r="W25" i="46"/>
  <c r="V25" i="46"/>
  <c r="U25" i="46"/>
  <c r="T25" i="46"/>
  <c r="R25" i="46"/>
  <c r="Q25" i="46"/>
  <c r="K25" i="46"/>
  <c r="I25" i="46"/>
  <c r="H25" i="46"/>
  <c r="G25" i="46"/>
  <c r="B25" i="46"/>
  <c r="P25" i="46" s="1"/>
  <c r="W24" i="46"/>
  <c r="V24" i="46"/>
  <c r="U24" i="46"/>
  <c r="T24" i="46"/>
  <c r="R24" i="46"/>
  <c r="Q24" i="46"/>
  <c r="K24" i="46"/>
  <c r="I24" i="46"/>
  <c r="H24" i="46"/>
  <c r="B24" i="46"/>
  <c r="P24" i="46" s="1"/>
  <c r="W23" i="46"/>
  <c r="V23" i="46"/>
  <c r="U23" i="46"/>
  <c r="T23" i="46"/>
  <c r="R23" i="46"/>
  <c r="Q23" i="46"/>
  <c r="K23" i="46"/>
  <c r="I23" i="46"/>
  <c r="H23" i="46"/>
  <c r="G23" i="46"/>
  <c r="B23" i="46"/>
  <c r="P23" i="46" s="1"/>
  <c r="W22" i="46"/>
  <c r="V22" i="46"/>
  <c r="U22" i="46"/>
  <c r="T22" i="46"/>
  <c r="R22" i="46"/>
  <c r="Q22" i="46"/>
  <c r="K22" i="46"/>
  <c r="I22" i="46"/>
  <c r="H22" i="46"/>
  <c r="B22" i="46"/>
  <c r="P22" i="46" s="1"/>
  <c r="W21" i="46"/>
  <c r="V21" i="46"/>
  <c r="U21" i="46"/>
  <c r="T21" i="46"/>
  <c r="R21" i="46"/>
  <c r="Q21" i="46"/>
  <c r="K21" i="46"/>
  <c r="I21" i="46"/>
  <c r="H21" i="46"/>
  <c r="G21" i="46"/>
  <c r="B21" i="46"/>
  <c r="P21" i="46" s="1"/>
  <c r="W20" i="46"/>
  <c r="V20" i="46"/>
  <c r="U20" i="46"/>
  <c r="T20" i="46"/>
  <c r="R20" i="46"/>
  <c r="Q20" i="46"/>
  <c r="K20" i="46"/>
  <c r="I20" i="46"/>
  <c r="H20" i="46"/>
  <c r="B20" i="46"/>
  <c r="P20" i="46" s="1"/>
  <c r="W19" i="46"/>
  <c r="V19" i="46"/>
  <c r="U19" i="46"/>
  <c r="T19" i="46"/>
  <c r="R19" i="46"/>
  <c r="Q19" i="46"/>
  <c r="K19" i="46"/>
  <c r="I19" i="46"/>
  <c r="H19" i="46"/>
  <c r="G19" i="46"/>
  <c r="B19" i="46"/>
  <c r="P19" i="46" s="1"/>
  <c r="W18" i="46"/>
  <c r="V18" i="46"/>
  <c r="U18" i="46"/>
  <c r="T18" i="46"/>
  <c r="R18" i="46"/>
  <c r="Q18" i="46"/>
  <c r="K18" i="46"/>
  <c r="I18" i="46"/>
  <c r="H18" i="46"/>
  <c r="B18" i="46"/>
  <c r="P18" i="46" s="1"/>
  <c r="W17" i="46"/>
  <c r="V17" i="46"/>
  <c r="U17" i="46"/>
  <c r="T17" i="46"/>
  <c r="R17" i="46"/>
  <c r="Q17" i="46"/>
  <c r="K17" i="46"/>
  <c r="I17" i="46"/>
  <c r="H17" i="46"/>
  <c r="G17" i="46"/>
  <c r="B17" i="46"/>
  <c r="P17" i="46" s="1"/>
  <c r="W16" i="46"/>
  <c r="V16" i="46"/>
  <c r="U16" i="46"/>
  <c r="T16" i="46"/>
  <c r="R16" i="46"/>
  <c r="Q16" i="46"/>
  <c r="K16" i="46"/>
  <c r="I16" i="46"/>
  <c r="H16" i="46"/>
  <c r="B16" i="46"/>
  <c r="P16" i="46" s="1"/>
  <c r="W15" i="46"/>
  <c r="V15" i="46"/>
  <c r="U15" i="46"/>
  <c r="T15" i="46"/>
  <c r="R15" i="46"/>
  <c r="Q15" i="46"/>
  <c r="K15" i="46"/>
  <c r="I15" i="46"/>
  <c r="H15" i="46"/>
  <c r="G15" i="46"/>
  <c r="B15" i="46"/>
  <c r="P15" i="46" s="1"/>
  <c r="W14" i="46"/>
  <c r="V14" i="46"/>
  <c r="U14" i="46"/>
  <c r="T14" i="46"/>
  <c r="R14" i="46"/>
  <c r="Q14" i="46"/>
  <c r="K14" i="46"/>
  <c r="I14" i="46"/>
  <c r="H14" i="46"/>
  <c r="B14" i="46"/>
  <c r="P14" i="46" s="1"/>
  <c r="T11" i="46"/>
  <c r="P11" i="46"/>
  <c r="K11" i="46"/>
  <c r="R10" i="46"/>
  <c r="I10" i="46"/>
  <c r="G10" i="46"/>
  <c r="P10" i="46" s="1"/>
  <c r="I9" i="46"/>
  <c r="L13" i="46" s="1"/>
  <c r="G9" i="46"/>
  <c r="P9" i="46" s="1"/>
  <c r="G8" i="46"/>
  <c r="P8" i="46" s="1"/>
  <c r="I7" i="46"/>
  <c r="R7" i="46" s="1"/>
  <c r="W29" i="45"/>
  <c r="V29" i="45"/>
  <c r="U29" i="45"/>
  <c r="T29" i="45"/>
  <c r="R29" i="45"/>
  <c r="Q29" i="45"/>
  <c r="K29" i="45"/>
  <c r="I29" i="45"/>
  <c r="H29" i="45"/>
  <c r="G29" i="45"/>
  <c r="B29" i="45"/>
  <c r="P29" i="45" s="1"/>
  <c r="W28" i="45"/>
  <c r="V28" i="45"/>
  <c r="U28" i="45"/>
  <c r="T28" i="45"/>
  <c r="R28" i="45"/>
  <c r="Q28" i="45"/>
  <c r="K28" i="45"/>
  <c r="I28" i="45"/>
  <c r="H28" i="45"/>
  <c r="B28" i="45"/>
  <c r="P28" i="45" s="1"/>
  <c r="W27" i="45"/>
  <c r="V27" i="45"/>
  <c r="U27" i="45"/>
  <c r="T27" i="45"/>
  <c r="R27" i="45"/>
  <c r="Q27" i="45"/>
  <c r="K27" i="45"/>
  <c r="I27" i="45"/>
  <c r="H27" i="45"/>
  <c r="G27" i="45"/>
  <c r="B27" i="45"/>
  <c r="P27" i="45" s="1"/>
  <c r="W26" i="45"/>
  <c r="V26" i="45"/>
  <c r="U26" i="45"/>
  <c r="T26" i="45"/>
  <c r="R26" i="45"/>
  <c r="Q26" i="45"/>
  <c r="K26" i="45"/>
  <c r="I26" i="45"/>
  <c r="H26" i="45"/>
  <c r="B26" i="45"/>
  <c r="P26" i="45" s="1"/>
  <c r="W25" i="45"/>
  <c r="V25" i="45"/>
  <c r="U25" i="45"/>
  <c r="T25" i="45"/>
  <c r="R25" i="45"/>
  <c r="Q25" i="45"/>
  <c r="K25" i="45"/>
  <c r="I25" i="45"/>
  <c r="H25" i="45"/>
  <c r="G25" i="45"/>
  <c r="B25" i="45"/>
  <c r="P25" i="45" s="1"/>
  <c r="W24" i="45"/>
  <c r="V24" i="45"/>
  <c r="U24" i="45"/>
  <c r="T24" i="45"/>
  <c r="R24" i="45"/>
  <c r="Q24" i="45"/>
  <c r="K24" i="45"/>
  <c r="I24" i="45"/>
  <c r="H24" i="45"/>
  <c r="B24" i="45"/>
  <c r="P24" i="45" s="1"/>
  <c r="W23" i="45"/>
  <c r="V23" i="45"/>
  <c r="U23" i="45"/>
  <c r="T23" i="45"/>
  <c r="R23" i="45"/>
  <c r="Q23" i="45"/>
  <c r="K23" i="45"/>
  <c r="I23" i="45"/>
  <c r="H23" i="45"/>
  <c r="G23" i="45"/>
  <c r="B23" i="45"/>
  <c r="P23" i="45" s="1"/>
  <c r="W22" i="45"/>
  <c r="V22" i="45"/>
  <c r="U22" i="45"/>
  <c r="T22" i="45"/>
  <c r="R22" i="45"/>
  <c r="Q22" i="45"/>
  <c r="K22" i="45"/>
  <c r="I22" i="45"/>
  <c r="H22" i="45"/>
  <c r="B22" i="45"/>
  <c r="P22" i="45" s="1"/>
  <c r="W21" i="45"/>
  <c r="V21" i="45"/>
  <c r="U21" i="45"/>
  <c r="T21" i="45"/>
  <c r="R21" i="45"/>
  <c r="Q21" i="45"/>
  <c r="K21" i="45"/>
  <c r="I21" i="45"/>
  <c r="H21" i="45"/>
  <c r="G21" i="45"/>
  <c r="B21" i="45"/>
  <c r="P21" i="45" s="1"/>
  <c r="W20" i="45"/>
  <c r="V20" i="45"/>
  <c r="U20" i="45"/>
  <c r="T20" i="45"/>
  <c r="R20" i="45"/>
  <c r="Q20" i="45"/>
  <c r="K20" i="45"/>
  <c r="I20" i="45"/>
  <c r="H20" i="45"/>
  <c r="B20" i="45"/>
  <c r="P20" i="45" s="1"/>
  <c r="W19" i="45"/>
  <c r="V19" i="45"/>
  <c r="U19" i="45"/>
  <c r="T19" i="45"/>
  <c r="R19" i="45"/>
  <c r="Q19" i="45"/>
  <c r="K19" i="45"/>
  <c r="I19" i="45"/>
  <c r="H19" i="45"/>
  <c r="G19" i="45"/>
  <c r="B19" i="45"/>
  <c r="P19" i="45" s="1"/>
  <c r="W18" i="45"/>
  <c r="V18" i="45"/>
  <c r="U18" i="45"/>
  <c r="T18" i="45"/>
  <c r="R18" i="45"/>
  <c r="Q18" i="45"/>
  <c r="K18" i="45"/>
  <c r="I18" i="45"/>
  <c r="H18" i="45"/>
  <c r="B18" i="45"/>
  <c r="P18" i="45" s="1"/>
  <c r="W17" i="45"/>
  <c r="V17" i="45"/>
  <c r="U17" i="45"/>
  <c r="T17" i="45"/>
  <c r="R17" i="45"/>
  <c r="Q17" i="45"/>
  <c r="K17" i="45"/>
  <c r="I17" i="45"/>
  <c r="H17" i="45"/>
  <c r="G17" i="45"/>
  <c r="B17" i="45"/>
  <c r="P17" i="45" s="1"/>
  <c r="W16" i="45"/>
  <c r="V16" i="45"/>
  <c r="U16" i="45"/>
  <c r="T16" i="45"/>
  <c r="R16" i="45"/>
  <c r="Q16" i="45"/>
  <c r="K16" i="45"/>
  <c r="I16" i="45"/>
  <c r="H16" i="45"/>
  <c r="B16" i="45"/>
  <c r="P16" i="45" s="1"/>
  <c r="W15" i="45"/>
  <c r="V15" i="45"/>
  <c r="U15" i="45"/>
  <c r="T15" i="45"/>
  <c r="R15" i="45"/>
  <c r="Q15" i="45"/>
  <c r="P15" i="45"/>
  <c r="K15" i="45"/>
  <c r="I15" i="45"/>
  <c r="H15" i="45"/>
  <c r="G15" i="45"/>
  <c r="B15" i="45"/>
  <c r="W14" i="45"/>
  <c r="V14" i="45"/>
  <c r="U14" i="45"/>
  <c r="T14" i="45"/>
  <c r="R14" i="45"/>
  <c r="Q14" i="45"/>
  <c r="K14" i="45"/>
  <c r="I14" i="45"/>
  <c r="H14" i="45"/>
  <c r="B14" i="45"/>
  <c r="P14" i="45" s="1"/>
  <c r="P11" i="45"/>
  <c r="K11" i="45"/>
  <c r="T11" i="45" s="1"/>
  <c r="I10" i="45"/>
  <c r="R10" i="45" s="1"/>
  <c r="G10" i="45"/>
  <c r="P10" i="45" s="1"/>
  <c r="I9" i="45"/>
  <c r="L13" i="45" s="1"/>
  <c r="G9" i="45"/>
  <c r="P9" i="45" s="1"/>
  <c r="G8" i="45"/>
  <c r="P8" i="45" s="1"/>
  <c r="I7" i="45"/>
  <c r="R7" i="45" s="1"/>
  <c r="W29" i="44"/>
  <c r="V29" i="44"/>
  <c r="U29" i="44"/>
  <c r="T29" i="44"/>
  <c r="R29" i="44"/>
  <c r="Q29" i="44"/>
  <c r="K29" i="44"/>
  <c r="I29" i="44"/>
  <c r="H29" i="44"/>
  <c r="G29" i="44"/>
  <c r="B29" i="44"/>
  <c r="P29" i="44" s="1"/>
  <c r="W28" i="44"/>
  <c r="V28" i="44"/>
  <c r="U28" i="44"/>
  <c r="T28" i="44"/>
  <c r="R28" i="44"/>
  <c r="Q28" i="44"/>
  <c r="K28" i="44"/>
  <c r="I28" i="44"/>
  <c r="H28" i="44"/>
  <c r="B28" i="44"/>
  <c r="P28" i="44" s="1"/>
  <c r="W27" i="44"/>
  <c r="V27" i="44"/>
  <c r="U27" i="44"/>
  <c r="T27" i="44"/>
  <c r="R27" i="44"/>
  <c r="Q27" i="44"/>
  <c r="P27" i="44"/>
  <c r="K27" i="44"/>
  <c r="I27" i="44"/>
  <c r="H27" i="44"/>
  <c r="G27" i="44"/>
  <c r="B27" i="44"/>
  <c r="W26" i="44"/>
  <c r="V26" i="44"/>
  <c r="U26" i="44"/>
  <c r="T26" i="44"/>
  <c r="R26" i="44"/>
  <c r="Q26" i="44"/>
  <c r="K26" i="44"/>
  <c r="I26" i="44"/>
  <c r="H26" i="44"/>
  <c r="B26" i="44"/>
  <c r="P26" i="44" s="1"/>
  <c r="W25" i="44"/>
  <c r="V25" i="44"/>
  <c r="U25" i="44"/>
  <c r="T25" i="44"/>
  <c r="R25" i="44"/>
  <c r="Q25" i="44"/>
  <c r="P25" i="44"/>
  <c r="K25" i="44"/>
  <c r="I25" i="44"/>
  <c r="H25" i="44"/>
  <c r="G25" i="44"/>
  <c r="B25" i="44"/>
  <c r="W24" i="44"/>
  <c r="V24" i="44"/>
  <c r="U24" i="44"/>
  <c r="T24" i="44"/>
  <c r="R24" i="44"/>
  <c r="Q24" i="44"/>
  <c r="K24" i="44"/>
  <c r="I24" i="44"/>
  <c r="H24" i="44"/>
  <c r="B24" i="44"/>
  <c r="P24" i="44" s="1"/>
  <c r="W23" i="44"/>
  <c r="V23" i="44"/>
  <c r="U23" i="44"/>
  <c r="T23" i="44"/>
  <c r="R23" i="44"/>
  <c r="Q23" i="44"/>
  <c r="P23" i="44"/>
  <c r="K23" i="44"/>
  <c r="I23" i="44"/>
  <c r="H23" i="44"/>
  <c r="G23" i="44"/>
  <c r="B23" i="44"/>
  <c r="W22" i="44"/>
  <c r="V22" i="44"/>
  <c r="U22" i="44"/>
  <c r="T22" i="44"/>
  <c r="R22" i="44"/>
  <c r="Q22" i="44"/>
  <c r="K22" i="44"/>
  <c r="I22" i="44"/>
  <c r="H22" i="44"/>
  <c r="B22" i="44"/>
  <c r="P22" i="44" s="1"/>
  <c r="W21" i="44"/>
  <c r="V21" i="44"/>
  <c r="U21" i="44"/>
  <c r="T21" i="44"/>
  <c r="R21" i="44"/>
  <c r="Q21" i="44"/>
  <c r="P21" i="44"/>
  <c r="K21" i="44"/>
  <c r="I21" i="44"/>
  <c r="H21" i="44"/>
  <c r="G21" i="44"/>
  <c r="B21" i="44"/>
  <c r="W20" i="44"/>
  <c r="V20" i="44"/>
  <c r="U20" i="44"/>
  <c r="T20" i="44"/>
  <c r="R20" i="44"/>
  <c r="Q20" i="44"/>
  <c r="K20" i="44"/>
  <c r="I20" i="44"/>
  <c r="H20" i="44"/>
  <c r="B20" i="44"/>
  <c r="P20" i="44" s="1"/>
  <c r="W19" i="44"/>
  <c r="V19" i="44"/>
  <c r="U19" i="44"/>
  <c r="T19" i="44"/>
  <c r="R19" i="44"/>
  <c r="Q19" i="44"/>
  <c r="P19" i="44"/>
  <c r="K19" i="44"/>
  <c r="I19" i="44"/>
  <c r="H19" i="44"/>
  <c r="G19" i="44"/>
  <c r="B19" i="44"/>
  <c r="W18" i="44"/>
  <c r="V18" i="44"/>
  <c r="U18" i="44"/>
  <c r="T18" i="44"/>
  <c r="R18" i="44"/>
  <c r="Q18" i="44"/>
  <c r="K18" i="44"/>
  <c r="I18" i="44"/>
  <c r="H18" i="44"/>
  <c r="B18" i="44"/>
  <c r="P18" i="44" s="1"/>
  <c r="W17" i="44"/>
  <c r="V17" i="44"/>
  <c r="U17" i="44"/>
  <c r="T17" i="44"/>
  <c r="R17" i="44"/>
  <c r="Q17" i="44"/>
  <c r="P17" i="44"/>
  <c r="K17" i="44"/>
  <c r="I17" i="44"/>
  <c r="H17" i="44"/>
  <c r="G17" i="44"/>
  <c r="B17" i="44"/>
  <c r="W16" i="44"/>
  <c r="V16" i="44"/>
  <c r="U16" i="44"/>
  <c r="T16" i="44"/>
  <c r="R16" i="44"/>
  <c r="Q16" i="44"/>
  <c r="K16" i="44"/>
  <c r="I16" i="44"/>
  <c r="H16" i="44"/>
  <c r="B16" i="44"/>
  <c r="P16" i="44" s="1"/>
  <c r="W15" i="44"/>
  <c r="V15" i="44"/>
  <c r="U15" i="44"/>
  <c r="T15" i="44"/>
  <c r="R15" i="44"/>
  <c r="Q15" i="44"/>
  <c r="K15" i="44"/>
  <c r="I15" i="44"/>
  <c r="H15" i="44"/>
  <c r="G15" i="44"/>
  <c r="B15" i="44"/>
  <c r="P15" i="44" s="1"/>
  <c r="W14" i="44"/>
  <c r="V14" i="44"/>
  <c r="U14" i="44"/>
  <c r="T14" i="44"/>
  <c r="R14" i="44"/>
  <c r="Q14" i="44"/>
  <c r="K14" i="44"/>
  <c r="I14" i="44"/>
  <c r="H14" i="44"/>
  <c r="B14" i="44"/>
  <c r="P14" i="44" s="1"/>
  <c r="T11" i="44"/>
  <c r="P11" i="44"/>
  <c r="K11" i="44"/>
  <c r="I10" i="44"/>
  <c r="R10" i="44" s="1"/>
  <c r="G10" i="44"/>
  <c r="P10" i="44" s="1"/>
  <c r="P9" i="44"/>
  <c r="I9" i="44"/>
  <c r="L13" i="44" s="1"/>
  <c r="G9" i="44"/>
  <c r="G8" i="44"/>
  <c r="P8" i="44" s="1"/>
  <c r="I7" i="44"/>
  <c r="R7" i="44" s="1"/>
  <c r="W29" i="43"/>
  <c r="V29" i="43"/>
  <c r="U29" i="43"/>
  <c r="T29" i="43"/>
  <c r="R29" i="43"/>
  <c r="Q29" i="43"/>
  <c r="K29" i="43"/>
  <c r="I29" i="43"/>
  <c r="H29" i="43"/>
  <c r="B29" i="43"/>
  <c r="G29" i="43" s="1"/>
  <c r="W28" i="43"/>
  <c r="V28" i="43"/>
  <c r="U28" i="43"/>
  <c r="T28" i="43"/>
  <c r="R28" i="43"/>
  <c r="Q28" i="43"/>
  <c r="K28" i="43"/>
  <c r="I28" i="43"/>
  <c r="H28" i="43"/>
  <c r="B28" i="43"/>
  <c r="P28" i="43" s="1"/>
  <c r="W27" i="43"/>
  <c r="V27" i="43"/>
  <c r="U27" i="43"/>
  <c r="T27" i="43"/>
  <c r="R27" i="43"/>
  <c r="Q27" i="43"/>
  <c r="K27" i="43"/>
  <c r="I27" i="43"/>
  <c r="H27" i="43"/>
  <c r="G27" i="43"/>
  <c r="B27" i="43"/>
  <c r="P27" i="43" s="1"/>
  <c r="W26" i="43"/>
  <c r="V26" i="43"/>
  <c r="U26" i="43"/>
  <c r="T26" i="43"/>
  <c r="R26" i="43"/>
  <c r="Q26" i="43"/>
  <c r="K26" i="43"/>
  <c r="I26" i="43"/>
  <c r="H26" i="43"/>
  <c r="B26" i="43"/>
  <c r="P26" i="43" s="1"/>
  <c r="W25" i="43"/>
  <c r="V25" i="43"/>
  <c r="U25" i="43"/>
  <c r="T25" i="43"/>
  <c r="R25" i="43"/>
  <c r="Q25" i="43"/>
  <c r="K25" i="43"/>
  <c r="I25" i="43"/>
  <c r="H25" i="43"/>
  <c r="G25" i="43"/>
  <c r="B25" i="43"/>
  <c r="P25" i="43" s="1"/>
  <c r="W24" i="43"/>
  <c r="V24" i="43"/>
  <c r="U24" i="43"/>
  <c r="T24" i="43"/>
  <c r="R24" i="43"/>
  <c r="Q24" i="43"/>
  <c r="K24" i="43"/>
  <c r="I24" i="43"/>
  <c r="H24" i="43"/>
  <c r="B24" i="43"/>
  <c r="P24" i="43" s="1"/>
  <c r="W23" i="43"/>
  <c r="V23" i="43"/>
  <c r="U23" i="43"/>
  <c r="T23" i="43"/>
  <c r="R23" i="43"/>
  <c r="Q23" i="43"/>
  <c r="K23" i="43"/>
  <c r="I23" i="43"/>
  <c r="H23" i="43"/>
  <c r="G23" i="43"/>
  <c r="B23" i="43"/>
  <c r="P23" i="43" s="1"/>
  <c r="W22" i="43"/>
  <c r="V22" i="43"/>
  <c r="U22" i="43"/>
  <c r="T22" i="43"/>
  <c r="R22" i="43"/>
  <c r="Q22" i="43"/>
  <c r="K22" i="43"/>
  <c r="I22" i="43"/>
  <c r="H22" i="43"/>
  <c r="B22" i="43"/>
  <c r="P22" i="43" s="1"/>
  <c r="W21" i="43"/>
  <c r="V21" i="43"/>
  <c r="U21" i="43"/>
  <c r="T21" i="43"/>
  <c r="R21" i="43"/>
  <c r="Q21" i="43"/>
  <c r="K21" i="43"/>
  <c r="I21" i="43"/>
  <c r="H21" i="43"/>
  <c r="G21" i="43"/>
  <c r="B21" i="43"/>
  <c r="P21" i="43" s="1"/>
  <c r="W20" i="43"/>
  <c r="V20" i="43"/>
  <c r="U20" i="43"/>
  <c r="T20" i="43"/>
  <c r="R20" i="43"/>
  <c r="Q20" i="43"/>
  <c r="K20" i="43"/>
  <c r="I20" i="43"/>
  <c r="H20" i="43"/>
  <c r="B20" i="43"/>
  <c r="P20" i="43" s="1"/>
  <c r="W19" i="43"/>
  <c r="V19" i="43"/>
  <c r="U19" i="43"/>
  <c r="T19" i="43"/>
  <c r="R19" i="43"/>
  <c r="Q19" i="43"/>
  <c r="K19" i="43"/>
  <c r="I19" i="43"/>
  <c r="H19" i="43"/>
  <c r="G19" i="43"/>
  <c r="B19" i="43"/>
  <c r="P19" i="43" s="1"/>
  <c r="W18" i="43"/>
  <c r="V18" i="43"/>
  <c r="U18" i="43"/>
  <c r="T18" i="43"/>
  <c r="R18" i="43"/>
  <c r="Q18" i="43"/>
  <c r="K18" i="43"/>
  <c r="I18" i="43"/>
  <c r="H18" i="43"/>
  <c r="B18" i="43"/>
  <c r="P18" i="43" s="1"/>
  <c r="W17" i="43"/>
  <c r="V17" i="43"/>
  <c r="U17" i="43"/>
  <c r="T17" i="43"/>
  <c r="R17" i="43"/>
  <c r="Q17" i="43"/>
  <c r="K17" i="43"/>
  <c r="I17" i="43"/>
  <c r="H17" i="43"/>
  <c r="G17" i="43"/>
  <c r="B17" i="43"/>
  <c r="P17" i="43" s="1"/>
  <c r="W16" i="43"/>
  <c r="V16" i="43"/>
  <c r="U16" i="43"/>
  <c r="T16" i="43"/>
  <c r="R16" i="43"/>
  <c r="Q16" i="43"/>
  <c r="K16" i="43"/>
  <c r="I16" i="43"/>
  <c r="H16" i="43"/>
  <c r="B16" i="43"/>
  <c r="P16" i="43" s="1"/>
  <c r="W15" i="43"/>
  <c r="V15" i="43"/>
  <c r="U15" i="43"/>
  <c r="T15" i="43"/>
  <c r="R15" i="43"/>
  <c r="Q15" i="43"/>
  <c r="K15" i="43"/>
  <c r="I15" i="43"/>
  <c r="H15" i="43"/>
  <c r="G15" i="43"/>
  <c r="B15" i="43"/>
  <c r="P15" i="43" s="1"/>
  <c r="W14" i="43"/>
  <c r="V14" i="43"/>
  <c r="U14" i="43"/>
  <c r="T14" i="43"/>
  <c r="R14" i="43"/>
  <c r="Q14" i="43"/>
  <c r="K14" i="43"/>
  <c r="I14" i="43"/>
  <c r="H14" i="43"/>
  <c r="B14" i="43"/>
  <c r="P14" i="43" s="1"/>
  <c r="L13" i="43"/>
  <c r="P11" i="43"/>
  <c r="K11" i="43"/>
  <c r="T11" i="43" s="1"/>
  <c r="R10" i="43"/>
  <c r="P10" i="43"/>
  <c r="I10" i="43"/>
  <c r="G10" i="43"/>
  <c r="R9" i="43"/>
  <c r="I9" i="43"/>
  <c r="G9" i="43"/>
  <c r="P9" i="43" s="1"/>
  <c r="G8" i="43"/>
  <c r="P8" i="43" s="1"/>
  <c r="I7" i="43"/>
  <c r="R7" i="43" s="1"/>
  <c r="W29" i="41"/>
  <c r="V29" i="41"/>
  <c r="U29" i="41"/>
  <c r="T29" i="41"/>
  <c r="R29" i="41"/>
  <c r="Q29" i="41"/>
  <c r="K29" i="41"/>
  <c r="I29" i="41"/>
  <c r="H29" i="41"/>
  <c r="B29" i="41"/>
  <c r="G29" i="41" s="1"/>
  <c r="W28" i="41"/>
  <c r="V28" i="41"/>
  <c r="U28" i="41"/>
  <c r="T28" i="41"/>
  <c r="R28" i="41"/>
  <c r="Q28" i="41"/>
  <c r="K28" i="41"/>
  <c r="I28" i="41"/>
  <c r="H28" i="41"/>
  <c r="B28" i="41"/>
  <c r="P28" i="41" s="1"/>
  <c r="W27" i="41"/>
  <c r="V27" i="41"/>
  <c r="U27" i="41"/>
  <c r="T27" i="41"/>
  <c r="R27" i="41"/>
  <c r="Q27" i="41"/>
  <c r="K27" i="41"/>
  <c r="I27" i="41"/>
  <c r="H27" i="41"/>
  <c r="G27" i="41"/>
  <c r="B27" i="41"/>
  <c r="P27" i="41" s="1"/>
  <c r="W26" i="41"/>
  <c r="V26" i="41"/>
  <c r="U26" i="41"/>
  <c r="T26" i="41"/>
  <c r="R26" i="41"/>
  <c r="Q26" i="41"/>
  <c r="K26" i="41"/>
  <c r="I26" i="41"/>
  <c r="H26" i="41"/>
  <c r="B26" i="41"/>
  <c r="P26" i="41" s="1"/>
  <c r="W25" i="41"/>
  <c r="V25" i="41"/>
  <c r="U25" i="41"/>
  <c r="T25" i="41"/>
  <c r="R25" i="41"/>
  <c r="Q25" i="41"/>
  <c r="K25" i="41"/>
  <c r="I25" i="41"/>
  <c r="H25" i="41"/>
  <c r="G25" i="41"/>
  <c r="B25" i="41"/>
  <c r="P25" i="41" s="1"/>
  <c r="W24" i="41"/>
  <c r="V24" i="41"/>
  <c r="U24" i="41"/>
  <c r="T24" i="41"/>
  <c r="R24" i="41"/>
  <c r="Q24" i="41"/>
  <c r="K24" i="41"/>
  <c r="I24" i="41"/>
  <c r="H24" i="41"/>
  <c r="B24" i="41"/>
  <c r="P24" i="41" s="1"/>
  <c r="W23" i="41"/>
  <c r="V23" i="41"/>
  <c r="U23" i="41"/>
  <c r="T23" i="41"/>
  <c r="R23" i="41"/>
  <c r="Q23" i="41"/>
  <c r="K23" i="41"/>
  <c r="I23" i="41"/>
  <c r="H23" i="41"/>
  <c r="G23" i="41"/>
  <c r="B23" i="41"/>
  <c r="P23" i="41" s="1"/>
  <c r="W22" i="41"/>
  <c r="V22" i="41"/>
  <c r="U22" i="41"/>
  <c r="T22" i="41"/>
  <c r="R22" i="41"/>
  <c r="Q22" i="41"/>
  <c r="K22" i="41"/>
  <c r="I22" i="41"/>
  <c r="H22" i="41"/>
  <c r="B22" i="41"/>
  <c r="P22" i="41" s="1"/>
  <c r="W21" i="41"/>
  <c r="V21" i="41"/>
  <c r="U21" i="41"/>
  <c r="T21" i="41"/>
  <c r="R21" i="41"/>
  <c r="Q21" i="41"/>
  <c r="K21" i="41"/>
  <c r="I21" i="41"/>
  <c r="H21" i="41"/>
  <c r="G21" i="41"/>
  <c r="B21" i="41"/>
  <c r="P21" i="41" s="1"/>
  <c r="W20" i="41"/>
  <c r="V20" i="41"/>
  <c r="U20" i="41"/>
  <c r="T20" i="41"/>
  <c r="R20" i="41"/>
  <c r="Q20" i="41"/>
  <c r="K20" i="41"/>
  <c r="I20" i="41"/>
  <c r="H20" i="41"/>
  <c r="B20" i="41"/>
  <c r="P20" i="41" s="1"/>
  <c r="W19" i="41"/>
  <c r="V19" i="41"/>
  <c r="U19" i="41"/>
  <c r="T19" i="41"/>
  <c r="R19" i="41"/>
  <c r="Q19" i="41"/>
  <c r="K19" i="41"/>
  <c r="I19" i="41"/>
  <c r="H19" i="41"/>
  <c r="G19" i="41"/>
  <c r="B19" i="41"/>
  <c r="P19" i="41" s="1"/>
  <c r="W18" i="41"/>
  <c r="V18" i="41"/>
  <c r="U18" i="41"/>
  <c r="T18" i="41"/>
  <c r="R18" i="41"/>
  <c r="Q18" i="41"/>
  <c r="K18" i="41"/>
  <c r="I18" i="41"/>
  <c r="H18" i="41"/>
  <c r="B18" i="41"/>
  <c r="P18" i="41" s="1"/>
  <c r="W17" i="41"/>
  <c r="V17" i="41"/>
  <c r="U17" i="41"/>
  <c r="T17" i="41"/>
  <c r="R17" i="41"/>
  <c r="Q17" i="41"/>
  <c r="K17" i="41"/>
  <c r="I17" i="41"/>
  <c r="H17" i="41"/>
  <c r="B17" i="41"/>
  <c r="G17" i="41" s="1"/>
  <c r="W16" i="41"/>
  <c r="V16" i="41"/>
  <c r="U16" i="41"/>
  <c r="T16" i="41"/>
  <c r="R16" i="41"/>
  <c r="Q16" i="41"/>
  <c r="K16" i="41"/>
  <c r="I16" i="41"/>
  <c r="H16" i="41"/>
  <c r="B16" i="41"/>
  <c r="P16" i="41" s="1"/>
  <c r="W15" i="41"/>
  <c r="V15" i="41"/>
  <c r="U15" i="41"/>
  <c r="T15" i="41"/>
  <c r="R15" i="41"/>
  <c r="Q15" i="41"/>
  <c r="K15" i="41"/>
  <c r="I15" i="41"/>
  <c r="H15" i="41"/>
  <c r="B15" i="41"/>
  <c r="G15" i="41" s="1"/>
  <c r="W14" i="41"/>
  <c r="V14" i="41"/>
  <c r="U14" i="41"/>
  <c r="T14" i="41"/>
  <c r="R14" i="41"/>
  <c r="Q14" i="41"/>
  <c r="K14" i="41"/>
  <c r="I14" i="41"/>
  <c r="H14" i="41"/>
  <c r="B14" i="41"/>
  <c r="P14" i="41" s="1"/>
  <c r="P11" i="41"/>
  <c r="K11" i="41"/>
  <c r="T11" i="41" s="1"/>
  <c r="R10" i="41"/>
  <c r="I10" i="41"/>
  <c r="G10" i="41"/>
  <c r="P10" i="41" s="1"/>
  <c r="I9" i="41"/>
  <c r="L13" i="41" s="1"/>
  <c r="G9" i="41"/>
  <c r="P9" i="41" s="1"/>
  <c r="P8" i="41"/>
  <c r="G8" i="41"/>
  <c r="I7" i="41"/>
  <c r="R7" i="41" s="1"/>
  <c r="W29" i="40"/>
  <c r="V29" i="40"/>
  <c r="U29" i="40"/>
  <c r="T29" i="40"/>
  <c r="R29" i="40"/>
  <c r="Q29" i="40"/>
  <c r="P29" i="40"/>
  <c r="K29" i="40"/>
  <c r="I29" i="40"/>
  <c r="H29" i="40"/>
  <c r="B29" i="40"/>
  <c r="G29" i="40" s="1"/>
  <c r="W28" i="40"/>
  <c r="V28" i="40"/>
  <c r="U28" i="40"/>
  <c r="T28" i="40"/>
  <c r="R28" i="40"/>
  <c r="Q28" i="40"/>
  <c r="K28" i="40"/>
  <c r="I28" i="40"/>
  <c r="H28" i="40"/>
  <c r="B28" i="40"/>
  <c r="P28" i="40" s="1"/>
  <c r="W27" i="40"/>
  <c r="V27" i="40"/>
  <c r="U27" i="40"/>
  <c r="T27" i="40"/>
  <c r="R27" i="40"/>
  <c r="Q27" i="40"/>
  <c r="P27" i="40"/>
  <c r="K27" i="40"/>
  <c r="I27" i="40"/>
  <c r="H27" i="40"/>
  <c r="G27" i="40"/>
  <c r="B27" i="40"/>
  <c r="W26" i="40"/>
  <c r="V26" i="40"/>
  <c r="U26" i="40"/>
  <c r="T26" i="40"/>
  <c r="R26" i="40"/>
  <c r="Q26" i="40"/>
  <c r="K26" i="40"/>
  <c r="I26" i="40"/>
  <c r="H26" i="40"/>
  <c r="B26" i="40"/>
  <c r="P26" i="40" s="1"/>
  <c r="W25" i="40"/>
  <c r="V25" i="40"/>
  <c r="U25" i="40"/>
  <c r="T25" i="40"/>
  <c r="R25" i="40"/>
  <c r="Q25" i="40"/>
  <c r="P25" i="40"/>
  <c r="K25" i="40"/>
  <c r="I25" i="40"/>
  <c r="H25" i="40"/>
  <c r="G25" i="40"/>
  <c r="B25" i="40"/>
  <c r="W24" i="40"/>
  <c r="V24" i="40"/>
  <c r="U24" i="40"/>
  <c r="T24" i="40"/>
  <c r="R24" i="40"/>
  <c r="Q24" i="40"/>
  <c r="K24" i="40"/>
  <c r="I24" i="40"/>
  <c r="H24" i="40"/>
  <c r="B24" i="40"/>
  <c r="P24" i="40" s="1"/>
  <c r="W23" i="40"/>
  <c r="V23" i="40"/>
  <c r="U23" i="40"/>
  <c r="T23" i="40"/>
  <c r="R23" i="40"/>
  <c r="Q23" i="40"/>
  <c r="P23" i="40"/>
  <c r="K23" i="40"/>
  <c r="I23" i="40"/>
  <c r="H23" i="40"/>
  <c r="G23" i="40"/>
  <c r="B23" i="40"/>
  <c r="W22" i="40"/>
  <c r="V22" i="40"/>
  <c r="U22" i="40"/>
  <c r="T22" i="40"/>
  <c r="R22" i="40"/>
  <c r="Q22" i="40"/>
  <c r="K22" i="40"/>
  <c r="I22" i="40"/>
  <c r="H22" i="40"/>
  <c r="B22" i="40"/>
  <c r="P22" i="40" s="1"/>
  <c r="W21" i="40"/>
  <c r="V21" i="40"/>
  <c r="U21" i="40"/>
  <c r="T21" i="40"/>
  <c r="R21" i="40"/>
  <c r="Q21" i="40"/>
  <c r="P21" i="40"/>
  <c r="K21" i="40"/>
  <c r="I21" i="40"/>
  <c r="H21" i="40"/>
  <c r="G21" i="40"/>
  <c r="B21" i="40"/>
  <c r="W20" i="40"/>
  <c r="V20" i="40"/>
  <c r="U20" i="40"/>
  <c r="T20" i="40"/>
  <c r="R20" i="40"/>
  <c r="Q20" i="40"/>
  <c r="K20" i="40"/>
  <c r="I20" i="40"/>
  <c r="H20" i="40"/>
  <c r="B20" i="40"/>
  <c r="P20" i="40" s="1"/>
  <c r="W19" i="40"/>
  <c r="V19" i="40"/>
  <c r="U19" i="40"/>
  <c r="T19" i="40"/>
  <c r="R19" i="40"/>
  <c r="Q19" i="40"/>
  <c r="P19" i="40"/>
  <c r="K19" i="40"/>
  <c r="I19" i="40"/>
  <c r="H19" i="40"/>
  <c r="G19" i="40"/>
  <c r="B19" i="40"/>
  <c r="W18" i="40"/>
  <c r="V18" i="40"/>
  <c r="U18" i="40"/>
  <c r="T18" i="40"/>
  <c r="R18" i="40"/>
  <c r="Q18" i="40"/>
  <c r="K18" i="40"/>
  <c r="I18" i="40"/>
  <c r="H18" i="40"/>
  <c r="B18" i="40"/>
  <c r="P18" i="40" s="1"/>
  <c r="W17" i="40"/>
  <c r="V17" i="40"/>
  <c r="U17" i="40"/>
  <c r="T17" i="40"/>
  <c r="R17" i="40"/>
  <c r="Q17" i="40"/>
  <c r="P17" i="40"/>
  <c r="K17" i="40"/>
  <c r="I17" i="40"/>
  <c r="H17" i="40"/>
  <c r="G17" i="40"/>
  <c r="B17" i="40"/>
  <c r="W16" i="40"/>
  <c r="V16" i="40"/>
  <c r="U16" i="40"/>
  <c r="T16" i="40"/>
  <c r="R16" i="40"/>
  <c r="Q16" i="40"/>
  <c r="K16" i="40"/>
  <c r="I16" i="40"/>
  <c r="H16" i="40"/>
  <c r="B16" i="40"/>
  <c r="P16" i="40" s="1"/>
  <c r="W15" i="40"/>
  <c r="V15" i="40"/>
  <c r="U15" i="40"/>
  <c r="T15" i="40"/>
  <c r="R15" i="40"/>
  <c r="Q15" i="40"/>
  <c r="P15" i="40"/>
  <c r="K15" i="40"/>
  <c r="I15" i="40"/>
  <c r="H15" i="40"/>
  <c r="G15" i="40"/>
  <c r="B15" i="40"/>
  <c r="W14" i="40"/>
  <c r="V14" i="40"/>
  <c r="U14" i="40"/>
  <c r="T14" i="40"/>
  <c r="R14" i="40"/>
  <c r="Q14" i="40"/>
  <c r="K14" i="40"/>
  <c r="I14" i="40"/>
  <c r="H14" i="40"/>
  <c r="B14" i="40"/>
  <c r="P14" i="40" s="1"/>
  <c r="P11" i="40"/>
  <c r="K11" i="40"/>
  <c r="T11" i="40" s="1"/>
  <c r="I10" i="40"/>
  <c r="R10" i="40" s="1"/>
  <c r="G10" i="40"/>
  <c r="P10" i="40" s="1"/>
  <c r="I9" i="40"/>
  <c r="L13" i="40" s="1"/>
  <c r="G9" i="40"/>
  <c r="P9" i="40" s="1"/>
  <c r="G8" i="40"/>
  <c r="P8" i="40" s="1"/>
  <c r="I7" i="40"/>
  <c r="R7" i="40" s="1"/>
  <c r="W29" i="39"/>
  <c r="V29" i="39"/>
  <c r="U29" i="39"/>
  <c r="T29" i="39"/>
  <c r="R29" i="39"/>
  <c r="Q29" i="39"/>
  <c r="K29" i="39"/>
  <c r="I29" i="39"/>
  <c r="H29" i="39"/>
  <c r="B29" i="39"/>
  <c r="G29" i="39" s="1"/>
  <c r="W28" i="39"/>
  <c r="V28" i="39"/>
  <c r="U28" i="39"/>
  <c r="T28" i="39"/>
  <c r="R28" i="39"/>
  <c r="Q28" i="39"/>
  <c r="K28" i="39"/>
  <c r="I28" i="39"/>
  <c r="H28" i="39"/>
  <c r="B28" i="39"/>
  <c r="P28" i="39" s="1"/>
  <c r="W27" i="39"/>
  <c r="V27" i="39"/>
  <c r="U27" i="39"/>
  <c r="T27" i="39"/>
  <c r="R27" i="39"/>
  <c r="Q27" i="39"/>
  <c r="K27" i="39"/>
  <c r="I27" i="39"/>
  <c r="H27" i="39"/>
  <c r="G27" i="39"/>
  <c r="B27" i="39"/>
  <c r="P27" i="39" s="1"/>
  <c r="W26" i="39"/>
  <c r="V26" i="39"/>
  <c r="U26" i="39"/>
  <c r="T26" i="39"/>
  <c r="R26" i="39"/>
  <c r="Q26" i="39"/>
  <c r="K26" i="39"/>
  <c r="I26" i="39"/>
  <c r="H26" i="39"/>
  <c r="B26" i="39"/>
  <c r="P26" i="39" s="1"/>
  <c r="W25" i="39"/>
  <c r="V25" i="39"/>
  <c r="U25" i="39"/>
  <c r="T25" i="39"/>
  <c r="R25" i="39"/>
  <c r="Q25" i="39"/>
  <c r="K25" i="39"/>
  <c r="I25" i="39"/>
  <c r="H25" i="39"/>
  <c r="G25" i="39"/>
  <c r="B25" i="39"/>
  <c r="P25" i="39" s="1"/>
  <c r="W24" i="39"/>
  <c r="V24" i="39"/>
  <c r="U24" i="39"/>
  <c r="T24" i="39"/>
  <c r="R24" i="39"/>
  <c r="Q24" i="39"/>
  <c r="K24" i="39"/>
  <c r="I24" i="39"/>
  <c r="H24" i="39"/>
  <c r="B24" i="39"/>
  <c r="P24" i="39" s="1"/>
  <c r="W23" i="39"/>
  <c r="V23" i="39"/>
  <c r="U23" i="39"/>
  <c r="T23" i="39"/>
  <c r="R23" i="39"/>
  <c r="Q23" i="39"/>
  <c r="K23" i="39"/>
  <c r="I23" i="39"/>
  <c r="H23" i="39"/>
  <c r="G23" i="39"/>
  <c r="B23" i="39"/>
  <c r="P23" i="39" s="1"/>
  <c r="W22" i="39"/>
  <c r="V22" i="39"/>
  <c r="U22" i="39"/>
  <c r="T22" i="39"/>
  <c r="R22" i="39"/>
  <c r="Q22" i="39"/>
  <c r="K22" i="39"/>
  <c r="I22" i="39"/>
  <c r="H22" i="39"/>
  <c r="B22" i="39"/>
  <c r="P22" i="39" s="1"/>
  <c r="W21" i="39"/>
  <c r="V21" i="39"/>
  <c r="U21" i="39"/>
  <c r="T21" i="39"/>
  <c r="R21" i="39"/>
  <c r="Q21" i="39"/>
  <c r="K21" i="39"/>
  <c r="I21" i="39"/>
  <c r="H21" i="39"/>
  <c r="G21" i="39"/>
  <c r="B21" i="39"/>
  <c r="P21" i="39" s="1"/>
  <c r="W20" i="39"/>
  <c r="V20" i="39"/>
  <c r="U20" i="39"/>
  <c r="T20" i="39"/>
  <c r="R20" i="39"/>
  <c r="Q20" i="39"/>
  <c r="K20" i="39"/>
  <c r="I20" i="39"/>
  <c r="H20" i="39"/>
  <c r="B20" i="39"/>
  <c r="P20" i="39" s="1"/>
  <c r="W19" i="39"/>
  <c r="V19" i="39"/>
  <c r="U19" i="39"/>
  <c r="T19" i="39"/>
  <c r="R19" i="39"/>
  <c r="Q19" i="39"/>
  <c r="K19" i="39"/>
  <c r="I19" i="39"/>
  <c r="H19" i="39"/>
  <c r="G19" i="39"/>
  <c r="B19" i="39"/>
  <c r="P19" i="39" s="1"/>
  <c r="W18" i="39"/>
  <c r="V18" i="39"/>
  <c r="U18" i="39"/>
  <c r="T18" i="39"/>
  <c r="R18" i="39"/>
  <c r="Q18" i="39"/>
  <c r="K18" i="39"/>
  <c r="I18" i="39"/>
  <c r="H18" i="39"/>
  <c r="B18" i="39"/>
  <c r="P18" i="39" s="1"/>
  <c r="W17" i="39"/>
  <c r="V17" i="39"/>
  <c r="U17" i="39"/>
  <c r="T17" i="39"/>
  <c r="R17" i="39"/>
  <c r="Q17" i="39"/>
  <c r="K17" i="39"/>
  <c r="I17" i="39"/>
  <c r="H17" i="39"/>
  <c r="G17" i="39"/>
  <c r="B17" i="39"/>
  <c r="P17" i="39" s="1"/>
  <c r="W16" i="39"/>
  <c r="V16" i="39"/>
  <c r="U16" i="39"/>
  <c r="T16" i="39"/>
  <c r="R16" i="39"/>
  <c r="Q16" i="39"/>
  <c r="K16" i="39"/>
  <c r="I16" i="39"/>
  <c r="H16" i="39"/>
  <c r="B16" i="39"/>
  <c r="P16" i="39" s="1"/>
  <c r="W15" i="39"/>
  <c r="V15" i="39"/>
  <c r="U15" i="39"/>
  <c r="T15" i="39"/>
  <c r="R15" i="39"/>
  <c r="Q15" i="39"/>
  <c r="P15" i="39"/>
  <c r="K15" i="39"/>
  <c r="I15" i="39"/>
  <c r="H15" i="39"/>
  <c r="G15" i="39"/>
  <c r="B15" i="39"/>
  <c r="W14" i="39"/>
  <c r="V14" i="39"/>
  <c r="U14" i="39"/>
  <c r="T14" i="39"/>
  <c r="R14" i="39"/>
  <c r="Q14" i="39"/>
  <c r="K14" i="39"/>
  <c r="I14" i="39"/>
  <c r="H14" i="39"/>
  <c r="B14" i="39"/>
  <c r="P14" i="39" s="1"/>
  <c r="L13" i="39"/>
  <c r="T11" i="39"/>
  <c r="P11" i="39"/>
  <c r="K11" i="39"/>
  <c r="I10" i="39"/>
  <c r="R10" i="39" s="1"/>
  <c r="G10" i="39"/>
  <c r="P10" i="39" s="1"/>
  <c r="R9" i="39"/>
  <c r="P9" i="39"/>
  <c r="I9" i="39"/>
  <c r="G9" i="39"/>
  <c r="G8" i="39"/>
  <c r="P8" i="39" s="1"/>
  <c r="I7" i="39"/>
  <c r="R7" i="39" s="1"/>
  <c r="W29" i="30"/>
  <c r="V29" i="30"/>
  <c r="U29" i="30"/>
  <c r="T29" i="30"/>
  <c r="R29" i="30"/>
  <c r="Q29" i="30"/>
  <c r="P29" i="30"/>
  <c r="K29" i="30"/>
  <c r="I29" i="30"/>
  <c r="H29" i="30"/>
  <c r="B29" i="30"/>
  <c r="G29" i="30" s="1"/>
  <c r="W28" i="30"/>
  <c r="V28" i="30"/>
  <c r="U28" i="30"/>
  <c r="T28" i="30"/>
  <c r="R28" i="30"/>
  <c r="Q28" i="30"/>
  <c r="K28" i="30"/>
  <c r="I28" i="30"/>
  <c r="H28" i="30"/>
  <c r="B28" i="30"/>
  <c r="G28" i="30" s="1"/>
  <c r="W27" i="30"/>
  <c r="V27" i="30"/>
  <c r="U27" i="30"/>
  <c r="T27" i="30"/>
  <c r="R27" i="30"/>
  <c r="Q27" i="30"/>
  <c r="P27" i="30"/>
  <c r="K27" i="30"/>
  <c r="I27" i="30"/>
  <c r="H27" i="30"/>
  <c r="B27" i="30"/>
  <c r="G27" i="30" s="1"/>
  <c r="W26" i="30"/>
  <c r="V26" i="30"/>
  <c r="U26" i="30"/>
  <c r="T26" i="30"/>
  <c r="R26" i="30"/>
  <c r="Q26" i="30"/>
  <c r="K26" i="30"/>
  <c r="I26" i="30"/>
  <c r="H26" i="30"/>
  <c r="B26" i="30"/>
  <c r="G26" i="30" s="1"/>
  <c r="W25" i="30"/>
  <c r="V25" i="30"/>
  <c r="U25" i="30"/>
  <c r="T25" i="30"/>
  <c r="R25" i="30"/>
  <c r="Q25" i="30"/>
  <c r="P25" i="30"/>
  <c r="K25" i="30"/>
  <c r="I25" i="30"/>
  <c r="H25" i="30"/>
  <c r="B25" i="30"/>
  <c r="G25" i="30" s="1"/>
  <c r="W24" i="30"/>
  <c r="V24" i="30"/>
  <c r="U24" i="30"/>
  <c r="T24" i="30"/>
  <c r="R24" i="30"/>
  <c r="Q24" i="30"/>
  <c r="K24" i="30"/>
  <c r="I24" i="30"/>
  <c r="H24" i="30"/>
  <c r="B24" i="30"/>
  <c r="G24" i="30" s="1"/>
  <c r="W23" i="30"/>
  <c r="V23" i="30"/>
  <c r="U23" i="30"/>
  <c r="T23" i="30"/>
  <c r="R23" i="30"/>
  <c r="Q23" i="30"/>
  <c r="P23" i="30"/>
  <c r="K23" i="30"/>
  <c r="I23" i="30"/>
  <c r="H23" i="30"/>
  <c r="B23" i="30"/>
  <c r="G23" i="30" s="1"/>
  <c r="W22" i="30"/>
  <c r="V22" i="30"/>
  <c r="U22" i="30"/>
  <c r="T22" i="30"/>
  <c r="R22" i="30"/>
  <c r="Q22" i="30"/>
  <c r="K22" i="30"/>
  <c r="I22" i="30"/>
  <c r="H22" i="30"/>
  <c r="B22" i="30"/>
  <c r="G22" i="30" s="1"/>
  <c r="W21" i="30"/>
  <c r="V21" i="30"/>
  <c r="U21" i="30"/>
  <c r="T21" i="30"/>
  <c r="R21" i="30"/>
  <c r="Q21" i="30"/>
  <c r="P21" i="30"/>
  <c r="K21" i="30"/>
  <c r="I21" i="30"/>
  <c r="H21" i="30"/>
  <c r="B21" i="30"/>
  <c r="G21" i="30" s="1"/>
  <c r="W20" i="30"/>
  <c r="V20" i="30"/>
  <c r="U20" i="30"/>
  <c r="T20" i="30"/>
  <c r="R20" i="30"/>
  <c r="Q20" i="30"/>
  <c r="K20" i="30"/>
  <c r="I20" i="30"/>
  <c r="H20" i="30"/>
  <c r="B20" i="30"/>
  <c r="P20" i="30" s="1"/>
  <c r="W19" i="30"/>
  <c r="V19" i="30"/>
  <c r="U19" i="30"/>
  <c r="T19" i="30"/>
  <c r="R19" i="30"/>
  <c r="Q19" i="30"/>
  <c r="P19" i="30"/>
  <c r="K19" i="30"/>
  <c r="I19" i="30"/>
  <c r="H19" i="30"/>
  <c r="B19" i="30"/>
  <c r="G19" i="30" s="1"/>
  <c r="W18" i="30"/>
  <c r="V18" i="30"/>
  <c r="U18" i="30"/>
  <c r="T18" i="30"/>
  <c r="R18" i="30"/>
  <c r="Q18" i="30"/>
  <c r="K18" i="30"/>
  <c r="I18" i="30"/>
  <c r="H18" i="30"/>
  <c r="B18" i="30"/>
  <c r="G18" i="30" s="1"/>
  <c r="W17" i="30"/>
  <c r="V17" i="30"/>
  <c r="U17" i="30"/>
  <c r="T17" i="30"/>
  <c r="R17" i="30"/>
  <c r="Q17" i="30"/>
  <c r="P17" i="30"/>
  <c r="K17" i="30"/>
  <c r="I17" i="30"/>
  <c r="H17" i="30"/>
  <c r="B17" i="30"/>
  <c r="G17" i="30" s="1"/>
  <c r="W16" i="30"/>
  <c r="V16" i="30"/>
  <c r="U16" i="30"/>
  <c r="T16" i="30"/>
  <c r="R16" i="30"/>
  <c r="Q16" i="30"/>
  <c r="K16" i="30"/>
  <c r="I16" i="30"/>
  <c r="H16" i="30"/>
  <c r="B16" i="30"/>
  <c r="P16" i="30" s="1"/>
  <c r="W15" i="30"/>
  <c r="V15" i="30"/>
  <c r="U15" i="30"/>
  <c r="T15" i="30"/>
  <c r="R15" i="30"/>
  <c r="Q15" i="30"/>
  <c r="P15" i="30"/>
  <c r="K15" i="30"/>
  <c r="I15" i="30"/>
  <c r="H15" i="30"/>
  <c r="B15" i="30"/>
  <c r="G15" i="30" s="1"/>
  <c r="W14" i="30"/>
  <c r="V14" i="30"/>
  <c r="U14" i="30"/>
  <c r="T14" i="30"/>
  <c r="R14" i="30"/>
  <c r="Q14" i="30"/>
  <c r="K14" i="30"/>
  <c r="I14" i="30"/>
  <c r="H14" i="30"/>
  <c r="B14" i="30"/>
  <c r="G14" i="30" s="1"/>
  <c r="L13" i="30"/>
  <c r="P11" i="30"/>
  <c r="K11" i="30"/>
  <c r="T11" i="30" s="1"/>
  <c r="I10" i="30"/>
  <c r="R10" i="30" s="1"/>
  <c r="G10" i="30"/>
  <c r="P10" i="30" s="1"/>
  <c r="R9" i="30"/>
  <c r="I9" i="30"/>
  <c r="G9" i="30"/>
  <c r="P9" i="30" s="1"/>
  <c r="P8" i="30"/>
  <c r="G8" i="30"/>
  <c r="I7" i="30"/>
  <c r="R7" i="30" s="1"/>
  <c r="W29" i="29"/>
  <c r="V29" i="29"/>
  <c r="U29" i="29"/>
  <c r="T29" i="29"/>
  <c r="R29" i="29"/>
  <c r="Q29" i="29"/>
  <c r="P29" i="29"/>
  <c r="K29" i="29"/>
  <c r="I29" i="29"/>
  <c r="H29" i="29"/>
  <c r="G29" i="29"/>
  <c r="B29" i="29"/>
  <c r="W28" i="29"/>
  <c r="V28" i="29"/>
  <c r="U28" i="29"/>
  <c r="T28" i="29"/>
  <c r="R28" i="29"/>
  <c r="Q28" i="29"/>
  <c r="K28" i="29"/>
  <c r="I28" i="29"/>
  <c r="H28" i="29"/>
  <c r="B28" i="29"/>
  <c r="P28" i="29" s="1"/>
  <c r="W27" i="29"/>
  <c r="V27" i="29"/>
  <c r="U27" i="29"/>
  <c r="T27" i="29"/>
  <c r="R27" i="29"/>
  <c r="Q27" i="29"/>
  <c r="P27" i="29"/>
  <c r="K27" i="29"/>
  <c r="I27" i="29"/>
  <c r="H27" i="29"/>
  <c r="G27" i="29"/>
  <c r="B27" i="29"/>
  <c r="W26" i="29"/>
  <c r="V26" i="29"/>
  <c r="U26" i="29"/>
  <c r="T26" i="29"/>
  <c r="R26" i="29"/>
  <c r="Q26" i="29"/>
  <c r="K26" i="29"/>
  <c r="I26" i="29"/>
  <c r="H26" i="29"/>
  <c r="B26" i="29"/>
  <c r="G26" i="29" s="1"/>
  <c r="W25" i="29"/>
  <c r="V25" i="29"/>
  <c r="U25" i="29"/>
  <c r="T25" i="29"/>
  <c r="R25" i="29"/>
  <c r="Q25" i="29"/>
  <c r="P25" i="29"/>
  <c r="K25" i="29"/>
  <c r="I25" i="29"/>
  <c r="H25" i="29"/>
  <c r="G25" i="29"/>
  <c r="B25" i="29"/>
  <c r="W24" i="29"/>
  <c r="V24" i="29"/>
  <c r="U24" i="29"/>
  <c r="T24" i="29"/>
  <c r="R24" i="29"/>
  <c r="Q24" i="29"/>
  <c r="K24" i="29"/>
  <c r="I24" i="29"/>
  <c r="H24" i="29"/>
  <c r="B24" i="29"/>
  <c r="P24" i="29" s="1"/>
  <c r="W23" i="29"/>
  <c r="V23" i="29"/>
  <c r="U23" i="29"/>
  <c r="T23" i="29"/>
  <c r="R23" i="29"/>
  <c r="Q23" i="29"/>
  <c r="P23" i="29"/>
  <c r="K23" i="29"/>
  <c r="I23" i="29"/>
  <c r="H23" i="29"/>
  <c r="G23" i="29"/>
  <c r="B23" i="29"/>
  <c r="W22" i="29"/>
  <c r="V22" i="29"/>
  <c r="U22" i="29"/>
  <c r="T22" i="29"/>
  <c r="R22" i="29"/>
  <c r="Q22" i="29"/>
  <c r="K22" i="29"/>
  <c r="I22" i="29"/>
  <c r="H22" i="29"/>
  <c r="B22" i="29"/>
  <c r="G22" i="29" s="1"/>
  <c r="W21" i="29"/>
  <c r="V21" i="29"/>
  <c r="U21" i="29"/>
  <c r="T21" i="29"/>
  <c r="R21" i="29"/>
  <c r="Q21" i="29"/>
  <c r="P21" i="29"/>
  <c r="K21" i="29"/>
  <c r="I21" i="29"/>
  <c r="H21" i="29"/>
  <c r="G21" i="29"/>
  <c r="B21" i="29"/>
  <c r="W20" i="29"/>
  <c r="V20" i="29"/>
  <c r="U20" i="29"/>
  <c r="T20" i="29"/>
  <c r="R20" i="29"/>
  <c r="Q20" i="29"/>
  <c r="K20" i="29"/>
  <c r="I20" i="29"/>
  <c r="H20" i="29"/>
  <c r="B20" i="29"/>
  <c r="G20" i="29" s="1"/>
  <c r="W19" i="29"/>
  <c r="V19" i="29"/>
  <c r="U19" i="29"/>
  <c r="T19" i="29"/>
  <c r="R19" i="29"/>
  <c r="Q19" i="29"/>
  <c r="P19" i="29"/>
  <c r="K19" i="29"/>
  <c r="I19" i="29"/>
  <c r="H19" i="29"/>
  <c r="G19" i="29"/>
  <c r="B19" i="29"/>
  <c r="W18" i="29"/>
  <c r="V18" i="29"/>
  <c r="U18" i="29"/>
  <c r="T18" i="29"/>
  <c r="R18" i="29"/>
  <c r="Q18" i="29"/>
  <c r="K18" i="29"/>
  <c r="I18" i="29"/>
  <c r="H18" i="29"/>
  <c r="B18" i="29"/>
  <c r="G18" i="29" s="1"/>
  <c r="W17" i="29"/>
  <c r="V17" i="29"/>
  <c r="U17" i="29"/>
  <c r="T17" i="29"/>
  <c r="R17" i="29"/>
  <c r="Q17" i="29"/>
  <c r="P17" i="29"/>
  <c r="K17" i="29"/>
  <c r="I17" i="29"/>
  <c r="H17" i="29"/>
  <c r="G17" i="29"/>
  <c r="B17" i="29"/>
  <c r="W16" i="29"/>
  <c r="V16" i="29"/>
  <c r="U16" i="29"/>
  <c r="T16" i="29"/>
  <c r="R16" i="29"/>
  <c r="Q16" i="29"/>
  <c r="K16" i="29"/>
  <c r="I16" i="29"/>
  <c r="H16" i="29"/>
  <c r="B16" i="29"/>
  <c r="P16" i="29" s="1"/>
  <c r="W15" i="29"/>
  <c r="V15" i="29"/>
  <c r="U15" i="29"/>
  <c r="T15" i="29"/>
  <c r="R15" i="29"/>
  <c r="Q15" i="29"/>
  <c r="P15" i="29"/>
  <c r="K15" i="29"/>
  <c r="I15" i="29"/>
  <c r="H15" i="29"/>
  <c r="G15" i="29"/>
  <c r="B15" i="29"/>
  <c r="W14" i="29"/>
  <c r="V14" i="29"/>
  <c r="U14" i="29"/>
  <c r="T14" i="29"/>
  <c r="R14" i="29"/>
  <c r="Q14" i="29"/>
  <c r="K14" i="29"/>
  <c r="I14" i="29"/>
  <c r="H14" i="29"/>
  <c r="B14" i="29"/>
  <c r="G14" i="29" s="1"/>
  <c r="P11" i="29"/>
  <c r="K11" i="29"/>
  <c r="T11" i="29" s="1"/>
  <c r="I10" i="29"/>
  <c r="R10" i="29" s="1"/>
  <c r="G10" i="29"/>
  <c r="P10" i="29" s="1"/>
  <c r="I9" i="29"/>
  <c r="L13" i="29" s="1"/>
  <c r="G9" i="29"/>
  <c r="P9" i="29" s="1"/>
  <c r="G8" i="29"/>
  <c r="P8" i="29" s="1"/>
  <c r="I7" i="29"/>
  <c r="R7" i="29" s="1"/>
  <c r="W29" i="28"/>
  <c r="V29" i="28"/>
  <c r="U29" i="28"/>
  <c r="T29" i="28"/>
  <c r="R29" i="28"/>
  <c r="Q29" i="28"/>
  <c r="P29" i="28"/>
  <c r="K29" i="28"/>
  <c r="I29" i="28"/>
  <c r="H29" i="28"/>
  <c r="G29" i="28"/>
  <c r="B29" i="28"/>
  <c r="W28" i="28"/>
  <c r="V28" i="28"/>
  <c r="U28" i="28"/>
  <c r="T28" i="28"/>
  <c r="R28" i="28"/>
  <c r="Q28" i="28"/>
  <c r="P28" i="28"/>
  <c r="K28" i="28"/>
  <c r="I28" i="28"/>
  <c r="H28" i="28"/>
  <c r="G28" i="28"/>
  <c r="B28" i="28"/>
  <c r="W27" i="28"/>
  <c r="V27" i="28"/>
  <c r="U27" i="28"/>
  <c r="T27" i="28"/>
  <c r="R27" i="28"/>
  <c r="Q27" i="28"/>
  <c r="P27" i="28"/>
  <c r="K27" i="28"/>
  <c r="I27" i="28"/>
  <c r="H27" i="28"/>
  <c r="G27" i="28"/>
  <c r="B27" i="28"/>
  <c r="W26" i="28"/>
  <c r="V26" i="28"/>
  <c r="U26" i="28"/>
  <c r="T26" i="28"/>
  <c r="R26" i="28"/>
  <c r="Q26" i="28"/>
  <c r="P26" i="28"/>
  <c r="K26" i="28"/>
  <c r="I26" i="28"/>
  <c r="H26" i="28"/>
  <c r="G26" i="28"/>
  <c r="B26" i="28"/>
  <c r="W25" i="28"/>
  <c r="V25" i="28"/>
  <c r="U25" i="28"/>
  <c r="T25" i="28"/>
  <c r="R25" i="28"/>
  <c r="Q25" i="28"/>
  <c r="P25" i="28"/>
  <c r="K25" i="28"/>
  <c r="I25" i="28"/>
  <c r="H25" i="28"/>
  <c r="G25" i="28"/>
  <c r="B25" i="28"/>
  <c r="W24" i="28"/>
  <c r="V24" i="28"/>
  <c r="U24" i="28"/>
  <c r="T24" i="28"/>
  <c r="R24" i="28"/>
  <c r="Q24" i="28"/>
  <c r="P24" i="28"/>
  <c r="K24" i="28"/>
  <c r="I24" i="28"/>
  <c r="H24" i="28"/>
  <c r="G24" i="28"/>
  <c r="B24" i="28"/>
  <c r="W23" i="28"/>
  <c r="V23" i="28"/>
  <c r="U23" i="28"/>
  <c r="T23" i="28"/>
  <c r="R23" i="28"/>
  <c r="Q23" i="28"/>
  <c r="P23" i="28"/>
  <c r="K23" i="28"/>
  <c r="I23" i="28"/>
  <c r="H23" i="28"/>
  <c r="G23" i="28"/>
  <c r="B23" i="28"/>
  <c r="W22" i="28"/>
  <c r="V22" i="28"/>
  <c r="U22" i="28"/>
  <c r="T22" i="28"/>
  <c r="R22" i="28"/>
  <c r="Q22" i="28"/>
  <c r="P22" i="28"/>
  <c r="K22" i="28"/>
  <c r="I22" i="28"/>
  <c r="H22" i="28"/>
  <c r="G22" i="28"/>
  <c r="B22" i="28"/>
  <c r="W21" i="28"/>
  <c r="V21" i="28"/>
  <c r="U21" i="28"/>
  <c r="T21" i="28"/>
  <c r="R21" i="28"/>
  <c r="Q21" i="28"/>
  <c r="P21" i="28"/>
  <c r="K21" i="28"/>
  <c r="I21" i="28"/>
  <c r="H21" i="28"/>
  <c r="G21" i="28"/>
  <c r="B21" i="28"/>
  <c r="W20" i="28"/>
  <c r="V20" i="28"/>
  <c r="U20" i="28"/>
  <c r="T20" i="28"/>
  <c r="R20" i="28"/>
  <c r="Q20" i="28"/>
  <c r="P20" i="28"/>
  <c r="K20" i="28"/>
  <c r="I20" i="28"/>
  <c r="H20" i="28"/>
  <c r="G20" i="28"/>
  <c r="B20" i="28"/>
  <c r="W19" i="28"/>
  <c r="V19" i="28"/>
  <c r="U19" i="28"/>
  <c r="T19" i="28"/>
  <c r="R19" i="28"/>
  <c r="Q19" i="28"/>
  <c r="P19" i="28"/>
  <c r="K19" i="28"/>
  <c r="I19" i="28"/>
  <c r="H19" i="28"/>
  <c r="G19" i="28"/>
  <c r="B19" i="28"/>
  <c r="W18" i="28"/>
  <c r="V18" i="28"/>
  <c r="U18" i="28"/>
  <c r="T18" i="28"/>
  <c r="R18" i="28"/>
  <c r="Q18" i="28"/>
  <c r="P18" i="28"/>
  <c r="K18" i="28"/>
  <c r="I18" i="28"/>
  <c r="H18" i="28"/>
  <c r="G18" i="28"/>
  <c r="B18" i="28"/>
  <c r="W17" i="28"/>
  <c r="V17" i="28"/>
  <c r="U17" i="28"/>
  <c r="T17" i="28"/>
  <c r="R17" i="28"/>
  <c r="Q17" i="28"/>
  <c r="P17" i="28"/>
  <c r="K17" i="28"/>
  <c r="I17" i="28"/>
  <c r="H17" i="28"/>
  <c r="G17" i="28"/>
  <c r="B17" i="28"/>
  <c r="W16" i="28"/>
  <c r="V16" i="28"/>
  <c r="U16" i="28"/>
  <c r="T16" i="28"/>
  <c r="R16" i="28"/>
  <c r="Q16" i="28"/>
  <c r="P16" i="28"/>
  <c r="K16" i="28"/>
  <c r="I16" i="28"/>
  <c r="H16" i="28"/>
  <c r="G16" i="28"/>
  <c r="B16" i="28"/>
  <c r="W15" i="28"/>
  <c r="V15" i="28"/>
  <c r="U15" i="28"/>
  <c r="T15" i="28"/>
  <c r="R15" i="28"/>
  <c r="Q15" i="28"/>
  <c r="P15" i="28"/>
  <c r="K15" i="28"/>
  <c r="I15" i="28"/>
  <c r="H15" i="28"/>
  <c r="G15" i="28"/>
  <c r="B15" i="28"/>
  <c r="W14" i="28"/>
  <c r="V14" i="28"/>
  <c r="U14" i="28"/>
  <c r="T14" i="28"/>
  <c r="R14" i="28"/>
  <c r="Q14" i="28"/>
  <c r="P14" i="28"/>
  <c r="K14" i="28"/>
  <c r="I14" i="28"/>
  <c r="H14" i="28"/>
  <c r="G14" i="28"/>
  <c r="B14" i="28"/>
  <c r="P11" i="28"/>
  <c r="K11" i="28"/>
  <c r="T11" i="28" s="1"/>
  <c r="P10" i="28"/>
  <c r="I10" i="28"/>
  <c r="R10" i="28" s="1"/>
  <c r="G10" i="28"/>
  <c r="I9" i="28"/>
  <c r="L13" i="28" s="1"/>
  <c r="G9" i="28"/>
  <c r="P9" i="28" s="1"/>
  <c r="G8" i="28"/>
  <c r="P8" i="28" s="1"/>
  <c r="R7" i="28"/>
  <c r="I7" i="28"/>
  <c r="W29" i="27"/>
  <c r="V29" i="27"/>
  <c r="U29" i="27"/>
  <c r="T29" i="27"/>
  <c r="R29" i="27"/>
  <c r="Q29" i="27"/>
  <c r="K29" i="27"/>
  <c r="I29" i="27"/>
  <c r="H29" i="27"/>
  <c r="B29" i="27"/>
  <c r="G29" i="27" s="1"/>
  <c r="W28" i="27"/>
  <c r="V28" i="27"/>
  <c r="U28" i="27"/>
  <c r="T28" i="27"/>
  <c r="R28" i="27"/>
  <c r="Q28" i="27"/>
  <c r="K28" i="27"/>
  <c r="I28" i="27"/>
  <c r="H28" i="27"/>
  <c r="B28" i="27"/>
  <c r="P28" i="27" s="1"/>
  <c r="W27" i="27"/>
  <c r="V27" i="27"/>
  <c r="U27" i="27"/>
  <c r="T27" i="27"/>
  <c r="R27" i="27"/>
  <c r="Q27" i="27"/>
  <c r="K27" i="27"/>
  <c r="I27" i="27"/>
  <c r="H27" i="27"/>
  <c r="B27" i="27"/>
  <c r="G27" i="27" s="1"/>
  <c r="W26" i="27"/>
  <c r="V26" i="27"/>
  <c r="U26" i="27"/>
  <c r="T26" i="27"/>
  <c r="R26" i="27"/>
  <c r="Q26" i="27"/>
  <c r="K26" i="27"/>
  <c r="I26" i="27"/>
  <c r="H26" i="27"/>
  <c r="B26" i="27"/>
  <c r="P26" i="27" s="1"/>
  <c r="W25" i="27"/>
  <c r="V25" i="27"/>
  <c r="U25" i="27"/>
  <c r="T25" i="27"/>
  <c r="R25" i="27"/>
  <c r="Q25" i="27"/>
  <c r="K25" i="27"/>
  <c r="I25" i="27"/>
  <c r="H25" i="27"/>
  <c r="B25" i="27"/>
  <c r="G25" i="27" s="1"/>
  <c r="W24" i="27"/>
  <c r="V24" i="27"/>
  <c r="U24" i="27"/>
  <c r="T24" i="27"/>
  <c r="R24" i="27"/>
  <c r="Q24" i="27"/>
  <c r="K24" i="27"/>
  <c r="I24" i="27"/>
  <c r="H24" i="27"/>
  <c r="B24" i="27"/>
  <c r="P24" i="27" s="1"/>
  <c r="W23" i="27"/>
  <c r="V23" i="27"/>
  <c r="U23" i="27"/>
  <c r="T23" i="27"/>
  <c r="R23" i="27"/>
  <c r="Q23" i="27"/>
  <c r="K23" i="27"/>
  <c r="I23" i="27"/>
  <c r="H23" i="27"/>
  <c r="B23" i="27"/>
  <c r="G23" i="27" s="1"/>
  <c r="W22" i="27"/>
  <c r="V22" i="27"/>
  <c r="U22" i="27"/>
  <c r="T22" i="27"/>
  <c r="R22" i="27"/>
  <c r="Q22" i="27"/>
  <c r="K22" i="27"/>
  <c r="I22" i="27"/>
  <c r="H22" i="27"/>
  <c r="B22" i="27"/>
  <c r="P22" i="27" s="1"/>
  <c r="W21" i="27"/>
  <c r="V21" i="27"/>
  <c r="U21" i="27"/>
  <c r="T21" i="27"/>
  <c r="R21" i="27"/>
  <c r="Q21" i="27"/>
  <c r="K21" i="27"/>
  <c r="I21" i="27"/>
  <c r="H21" i="27"/>
  <c r="B21" i="27"/>
  <c r="G21" i="27" s="1"/>
  <c r="W20" i="27"/>
  <c r="V20" i="27"/>
  <c r="U20" i="27"/>
  <c r="T20" i="27"/>
  <c r="R20" i="27"/>
  <c r="Q20" i="27"/>
  <c r="K20" i="27"/>
  <c r="I20" i="27"/>
  <c r="H20" i="27"/>
  <c r="B20" i="27"/>
  <c r="P20" i="27" s="1"/>
  <c r="W19" i="27"/>
  <c r="V19" i="27"/>
  <c r="U19" i="27"/>
  <c r="T19" i="27"/>
  <c r="R19" i="27"/>
  <c r="Q19" i="27"/>
  <c r="K19" i="27"/>
  <c r="I19" i="27"/>
  <c r="H19" i="27"/>
  <c r="G19" i="27"/>
  <c r="B19" i="27"/>
  <c r="P19" i="27" s="1"/>
  <c r="W18" i="27"/>
  <c r="V18" i="27"/>
  <c r="U18" i="27"/>
  <c r="T18" i="27"/>
  <c r="R18" i="27"/>
  <c r="Q18" i="27"/>
  <c r="K18" i="27"/>
  <c r="I18" i="27"/>
  <c r="H18" i="27"/>
  <c r="B18" i="27"/>
  <c r="P18" i="27" s="1"/>
  <c r="W17" i="27"/>
  <c r="V17" i="27"/>
  <c r="U17" i="27"/>
  <c r="T17" i="27"/>
  <c r="R17" i="27"/>
  <c r="Q17" i="27"/>
  <c r="K17" i="27"/>
  <c r="I17" i="27"/>
  <c r="H17" i="27"/>
  <c r="G17" i="27"/>
  <c r="B17" i="27"/>
  <c r="P17" i="27" s="1"/>
  <c r="W16" i="27"/>
  <c r="V16" i="27"/>
  <c r="U16" i="27"/>
  <c r="T16" i="27"/>
  <c r="R16" i="27"/>
  <c r="Q16" i="27"/>
  <c r="K16" i="27"/>
  <c r="I16" i="27"/>
  <c r="H16" i="27"/>
  <c r="B16" i="27"/>
  <c r="P16" i="27" s="1"/>
  <c r="W15" i="27"/>
  <c r="V15" i="27"/>
  <c r="U15" i="27"/>
  <c r="T15" i="27"/>
  <c r="R15" i="27"/>
  <c r="Q15" i="27"/>
  <c r="K15" i="27"/>
  <c r="I15" i="27"/>
  <c r="H15" i="27"/>
  <c r="G15" i="27"/>
  <c r="B15" i="27"/>
  <c r="P15" i="27" s="1"/>
  <c r="W14" i="27"/>
  <c r="V14" i="27"/>
  <c r="U14" i="27"/>
  <c r="T14" i="27"/>
  <c r="R14" i="27"/>
  <c r="Q14" i="27"/>
  <c r="K14" i="27"/>
  <c r="I14" i="27"/>
  <c r="H14" i="27"/>
  <c r="B14" i="27"/>
  <c r="P14" i="27" s="1"/>
  <c r="P11" i="27"/>
  <c r="K11" i="27"/>
  <c r="T11" i="27" s="1"/>
  <c r="R10" i="27"/>
  <c r="I10" i="27"/>
  <c r="G10" i="27"/>
  <c r="P10" i="27" s="1"/>
  <c r="I9" i="27"/>
  <c r="L13" i="27" s="1"/>
  <c r="G9" i="27"/>
  <c r="P9" i="27" s="1"/>
  <c r="G8" i="27"/>
  <c r="P8" i="27" s="1"/>
  <c r="I7" i="27"/>
  <c r="R7" i="27" s="1"/>
  <c r="W29" i="26"/>
  <c r="V29" i="26"/>
  <c r="U29" i="26"/>
  <c r="T29" i="26"/>
  <c r="R29" i="26"/>
  <c r="Q29" i="26"/>
  <c r="K29" i="26"/>
  <c r="I29" i="26"/>
  <c r="H29" i="26"/>
  <c r="B29" i="26"/>
  <c r="G29" i="26" s="1"/>
  <c r="W28" i="26"/>
  <c r="V28" i="26"/>
  <c r="U28" i="26"/>
  <c r="T28" i="26"/>
  <c r="R28" i="26"/>
  <c r="Q28" i="26"/>
  <c r="P28" i="26"/>
  <c r="K28" i="26"/>
  <c r="I28" i="26"/>
  <c r="H28" i="26"/>
  <c r="G28" i="26"/>
  <c r="B28" i="26"/>
  <c r="W27" i="26"/>
  <c r="V27" i="26"/>
  <c r="U27" i="26"/>
  <c r="T27" i="26"/>
  <c r="R27" i="26"/>
  <c r="Q27" i="26"/>
  <c r="P27" i="26"/>
  <c r="K27" i="26"/>
  <c r="I27" i="26"/>
  <c r="H27" i="26"/>
  <c r="G27" i="26"/>
  <c r="B27" i="26"/>
  <c r="W26" i="26"/>
  <c r="V26" i="26"/>
  <c r="U26" i="26"/>
  <c r="T26" i="26"/>
  <c r="R26" i="26"/>
  <c r="Q26" i="26"/>
  <c r="P26" i="26"/>
  <c r="K26" i="26"/>
  <c r="I26" i="26"/>
  <c r="H26" i="26"/>
  <c r="G26" i="26"/>
  <c r="B26" i="26"/>
  <c r="W25" i="26"/>
  <c r="V25" i="26"/>
  <c r="U25" i="26"/>
  <c r="T25" i="26"/>
  <c r="R25" i="26"/>
  <c r="Q25" i="26"/>
  <c r="P25" i="26"/>
  <c r="K25" i="26"/>
  <c r="I25" i="26"/>
  <c r="H25" i="26"/>
  <c r="G25" i="26"/>
  <c r="B25" i="26"/>
  <c r="W24" i="26"/>
  <c r="V24" i="26"/>
  <c r="U24" i="26"/>
  <c r="T24" i="26"/>
  <c r="R24" i="26"/>
  <c r="Q24" i="26"/>
  <c r="P24" i="26"/>
  <c r="K24" i="26"/>
  <c r="I24" i="26"/>
  <c r="H24" i="26"/>
  <c r="G24" i="26"/>
  <c r="B24" i="26"/>
  <c r="W23" i="26"/>
  <c r="V23" i="26"/>
  <c r="U23" i="26"/>
  <c r="T23" i="26"/>
  <c r="R23" i="26"/>
  <c r="Q23" i="26"/>
  <c r="P23" i="26"/>
  <c r="K23" i="26"/>
  <c r="I23" i="26"/>
  <c r="H23" i="26"/>
  <c r="B23" i="26"/>
  <c r="G23" i="26" s="1"/>
  <c r="W22" i="26"/>
  <c r="V22" i="26"/>
  <c r="U22" i="26"/>
  <c r="T22" i="26"/>
  <c r="R22" i="26"/>
  <c r="Q22" i="26"/>
  <c r="K22" i="26"/>
  <c r="I22" i="26"/>
  <c r="H22" i="26"/>
  <c r="G22" i="26"/>
  <c r="B22" i="26"/>
  <c r="P22" i="26" s="1"/>
  <c r="W21" i="26"/>
  <c r="V21" i="26"/>
  <c r="U21" i="26"/>
  <c r="T21" i="26"/>
  <c r="R21" i="26"/>
  <c r="Q21" i="26"/>
  <c r="K21" i="26"/>
  <c r="I21" i="26"/>
  <c r="H21" i="26"/>
  <c r="B21" i="26"/>
  <c r="G21" i="26" s="1"/>
  <c r="W20" i="26"/>
  <c r="V20" i="26"/>
  <c r="U20" i="26"/>
  <c r="T20" i="26"/>
  <c r="R20" i="26"/>
  <c r="Q20" i="26"/>
  <c r="K20" i="26"/>
  <c r="I20" i="26"/>
  <c r="H20" i="26"/>
  <c r="B20" i="26"/>
  <c r="P20" i="26" s="1"/>
  <c r="W19" i="26"/>
  <c r="V19" i="26"/>
  <c r="U19" i="26"/>
  <c r="T19" i="26"/>
  <c r="R19" i="26"/>
  <c r="Q19" i="26"/>
  <c r="K19" i="26"/>
  <c r="I19" i="26"/>
  <c r="H19" i="26"/>
  <c r="B19" i="26"/>
  <c r="G19" i="26" s="1"/>
  <c r="W18" i="26"/>
  <c r="V18" i="26"/>
  <c r="U18" i="26"/>
  <c r="T18" i="26"/>
  <c r="R18" i="26"/>
  <c r="Q18" i="26"/>
  <c r="K18" i="26"/>
  <c r="I18" i="26"/>
  <c r="H18" i="26"/>
  <c r="G18" i="26"/>
  <c r="B18" i="26"/>
  <c r="P18" i="26" s="1"/>
  <c r="W17" i="26"/>
  <c r="V17" i="26"/>
  <c r="U17" i="26"/>
  <c r="T17" i="26"/>
  <c r="R17" i="26"/>
  <c r="Q17" i="26"/>
  <c r="K17" i="26"/>
  <c r="I17" i="26"/>
  <c r="H17" i="26"/>
  <c r="B17" i="26"/>
  <c r="G17" i="26" s="1"/>
  <c r="W16" i="26"/>
  <c r="V16" i="26"/>
  <c r="U16" i="26"/>
  <c r="T16" i="26"/>
  <c r="R16" i="26"/>
  <c r="Q16" i="26"/>
  <c r="K16" i="26"/>
  <c r="I16" i="26"/>
  <c r="H16" i="26"/>
  <c r="G16" i="26"/>
  <c r="B16" i="26"/>
  <c r="P16" i="26" s="1"/>
  <c r="W15" i="26"/>
  <c r="V15" i="26"/>
  <c r="U15" i="26"/>
  <c r="T15" i="26"/>
  <c r="R15" i="26"/>
  <c r="Q15" i="26"/>
  <c r="P15" i="26"/>
  <c r="K15" i="26"/>
  <c r="I15" i="26"/>
  <c r="H15" i="26"/>
  <c r="G15" i="26"/>
  <c r="B15" i="26"/>
  <c r="W14" i="26"/>
  <c r="V14" i="26"/>
  <c r="U14" i="26"/>
  <c r="T14" i="26"/>
  <c r="R14" i="26"/>
  <c r="Q14" i="26"/>
  <c r="K14" i="26"/>
  <c r="I14" i="26"/>
  <c r="H14" i="26"/>
  <c r="B14" i="26"/>
  <c r="P14" i="26" s="1"/>
  <c r="P11" i="26"/>
  <c r="K11" i="26"/>
  <c r="T11" i="26" s="1"/>
  <c r="P10" i="26"/>
  <c r="I10" i="26"/>
  <c r="R10" i="26" s="1"/>
  <c r="G10" i="26"/>
  <c r="I9" i="26"/>
  <c r="L13" i="26" s="1"/>
  <c r="G9" i="26"/>
  <c r="P9" i="26" s="1"/>
  <c r="G8" i="26"/>
  <c r="P8" i="26" s="1"/>
  <c r="I7" i="26"/>
  <c r="R7" i="26" s="1"/>
  <c r="W29" i="25"/>
  <c r="V29" i="25"/>
  <c r="U29" i="25"/>
  <c r="T29" i="25"/>
  <c r="R29" i="25"/>
  <c r="Q29" i="25"/>
  <c r="K29" i="25"/>
  <c r="I29" i="25"/>
  <c r="H29" i="25"/>
  <c r="G29" i="25"/>
  <c r="B29" i="25"/>
  <c r="P29" i="25" s="1"/>
  <c r="W28" i="25"/>
  <c r="V28" i="25"/>
  <c r="U28" i="25"/>
  <c r="T28" i="25"/>
  <c r="R28" i="25"/>
  <c r="Q28" i="25"/>
  <c r="K28" i="25"/>
  <c r="I28" i="25"/>
  <c r="H28" i="25"/>
  <c r="B28" i="25"/>
  <c r="P28" i="25" s="1"/>
  <c r="W27" i="25"/>
  <c r="V27" i="25"/>
  <c r="U27" i="25"/>
  <c r="T27" i="25"/>
  <c r="R27" i="25"/>
  <c r="Q27" i="25"/>
  <c r="K27" i="25"/>
  <c r="I27" i="25"/>
  <c r="H27" i="25"/>
  <c r="G27" i="25"/>
  <c r="B27" i="25"/>
  <c r="P27" i="25" s="1"/>
  <c r="W26" i="25"/>
  <c r="V26" i="25"/>
  <c r="U26" i="25"/>
  <c r="T26" i="25"/>
  <c r="R26" i="25"/>
  <c r="Q26" i="25"/>
  <c r="K26" i="25"/>
  <c r="I26" i="25"/>
  <c r="H26" i="25"/>
  <c r="B26" i="25"/>
  <c r="P26" i="25" s="1"/>
  <c r="W25" i="25"/>
  <c r="V25" i="25"/>
  <c r="U25" i="25"/>
  <c r="T25" i="25"/>
  <c r="R25" i="25"/>
  <c r="Q25" i="25"/>
  <c r="K25" i="25"/>
  <c r="I25" i="25"/>
  <c r="H25" i="25"/>
  <c r="G25" i="25"/>
  <c r="B25" i="25"/>
  <c r="P25" i="25" s="1"/>
  <c r="W24" i="25"/>
  <c r="V24" i="25"/>
  <c r="U24" i="25"/>
  <c r="T24" i="25"/>
  <c r="R24" i="25"/>
  <c r="Q24" i="25"/>
  <c r="K24" i="25"/>
  <c r="I24" i="25"/>
  <c r="H24" i="25"/>
  <c r="B24" i="25"/>
  <c r="P24" i="25" s="1"/>
  <c r="W23" i="25"/>
  <c r="V23" i="25"/>
  <c r="U23" i="25"/>
  <c r="T23" i="25"/>
  <c r="R23" i="25"/>
  <c r="Q23" i="25"/>
  <c r="K23" i="25"/>
  <c r="I23" i="25"/>
  <c r="H23" i="25"/>
  <c r="G23" i="25"/>
  <c r="B23" i="25"/>
  <c r="P23" i="25" s="1"/>
  <c r="W22" i="25"/>
  <c r="V22" i="25"/>
  <c r="U22" i="25"/>
  <c r="T22" i="25"/>
  <c r="R22" i="25"/>
  <c r="Q22" i="25"/>
  <c r="K22" i="25"/>
  <c r="I22" i="25"/>
  <c r="H22" i="25"/>
  <c r="B22" i="25"/>
  <c r="P22" i="25" s="1"/>
  <c r="W21" i="25"/>
  <c r="V21" i="25"/>
  <c r="U21" i="25"/>
  <c r="T21" i="25"/>
  <c r="R21" i="25"/>
  <c r="Q21" i="25"/>
  <c r="K21" i="25"/>
  <c r="I21" i="25"/>
  <c r="H21" i="25"/>
  <c r="G21" i="25"/>
  <c r="B21" i="25"/>
  <c r="P21" i="25" s="1"/>
  <c r="W20" i="25"/>
  <c r="V20" i="25"/>
  <c r="U20" i="25"/>
  <c r="T20" i="25"/>
  <c r="R20" i="25"/>
  <c r="Q20" i="25"/>
  <c r="K20" i="25"/>
  <c r="I20" i="25"/>
  <c r="H20" i="25"/>
  <c r="B20" i="25"/>
  <c r="P20" i="25" s="1"/>
  <c r="W19" i="25"/>
  <c r="V19" i="25"/>
  <c r="U19" i="25"/>
  <c r="T19" i="25"/>
  <c r="R19" i="25"/>
  <c r="Q19" i="25"/>
  <c r="K19" i="25"/>
  <c r="I19" i="25"/>
  <c r="H19" i="25"/>
  <c r="G19" i="25"/>
  <c r="B19" i="25"/>
  <c r="P19" i="25" s="1"/>
  <c r="W18" i="25"/>
  <c r="V18" i="25"/>
  <c r="U18" i="25"/>
  <c r="T18" i="25"/>
  <c r="R18" i="25"/>
  <c r="Q18" i="25"/>
  <c r="K18" i="25"/>
  <c r="I18" i="25"/>
  <c r="H18" i="25"/>
  <c r="B18" i="25"/>
  <c r="P18" i="25" s="1"/>
  <c r="W17" i="25"/>
  <c r="V17" i="25"/>
  <c r="U17" i="25"/>
  <c r="T17" i="25"/>
  <c r="R17" i="25"/>
  <c r="Q17" i="25"/>
  <c r="K17" i="25"/>
  <c r="I17" i="25"/>
  <c r="H17" i="25"/>
  <c r="G17" i="25"/>
  <c r="B17" i="25"/>
  <c r="P17" i="25" s="1"/>
  <c r="W16" i="25"/>
  <c r="V16" i="25"/>
  <c r="U16" i="25"/>
  <c r="T16" i="25"/>
  <c r="R16" i="25"/>
  <c r="Q16" i="25"/>
  <c r="K16" i="25"/>
  <c r="I16" i="25"/>
  <c r="H16" i="25"/>
  <c r="B16" i="25"/>
  <c r="P16" i="25" s="1"/>
  <c r="W15" i="25"/>
  <c r="V15" i="25"/>
  <c r="U15" i="25"/>
  <c r="T15" i="25"/>
  <c r="R15" i="25"/>
  <c r="Q15" i="25"/>
  <c r="K15" i="25"/>
  <c r="I15" i="25"/>
  <c r="H15" i="25"/>
  <c r="G15" i="25"/>
  <c r="B15" i="25"/>
  <c r="P15" i="25" s="1"/>
  <c r="W14" i="25"/>
  <c r="V14" i="25"/>
  <c r="U14" i="25"/>
  <c r="T14" i="25"/>
  <c r="R14" i="25"/>
  <c r="Q14" i="25"/>
  <c r="K14" i="25"/>
  <c r="I14" i="25"/>
  <c r="H14" i="25"/>
  <c r="B14" i="25"/>
  <c r="P14" i="25" s="1"/>
  <c r="P11" i="25"/>
  <c r="K11" i="25"/>
  <c r="T11" i="25" s="1"/>
  <c r="I10" i="25"/>
  <c r="R10" i="25" s="1"/>
  <c r="G10" i="25"/>
  <c r="P10" i="25" s="1"/>
  <c r="I9" i="25"/>
  <c r="L13" i="25" s="1"/>
  <c r="G9" i="25"/>
  <c r="P9" i="25" s="1"/>
  <c r="G8" i="25"/>
  <c r="P8" i="25" s="1"/>
  <c r="I7" i="25"/>
  <c r="R7" i="25" s="1"/>
  <c r="W29" i="24"/>
  <c r="V29" i="24"/>
  <c r="U29" i="24"/>
  <c r="T29" i="24"/>
  <c r="R29" i="24"/>
  <c r="Q29" i="24"/>
  <c r="K29" i="24"/>
  <c r="I29" i="24"/>
  <c r="H29" i="24"/>
  <c r="G29" i="24"/>
  <c r="B29" i="24"/>
  <c r="P29" i="24" s="1"/>
  <c r="W28" i="24"/>
  <c r="V28" i="24"/>
  <c r="U28" i="24"/>
  <c r="T28" i="24"/>
  <c r="R28" i="24"/>
  <c r="Q28" i="24"/>
  <c r="K28" i="24"/>
  <c r="I28" i="24"/>
  <c r="H28" i="24"/>
  <c r="B28" i="24"/>
  <c r="P28" i="24" s="1"/>
  <c r="W27" i="24"/>
  <c r="V27" i="24"/>
  <c r="U27" i="24"/>
  <c r="T27" i="24"/>
  <c r="R27" i="24"/>
  <c r="Q27" i="24"/>
  <c r="P27" i="24"/>
  <c r="K27" i="24"/>
  <c r="I27" i="24"/>
  <c r="H27" i="24"/>
  <c r="G27" i="24"/>
  <c r="B27" i="24"/>
  <c r="W26" i="24"/>
  <c r="V26" i="24"/>
  <c r="U26" i="24"/>
  <c r="T26" i="24"/>
  <c r="R26" i="24"/>
  <c r="Q26" i="24"/>
  <c r="K26" i="24"/>
  <c r="I26" i="24"/>
  <c r="H26" i="24"/>
  <c r="B26" i="24"/>
  <c r="P26" i="24" s="1"/>
  <c r="W25" i="24"/>
  <c r="V25" i="24"/>
  <c r="U25" i="24"/>
  <c r="T25" i="24"/>
  <c r="R25" i="24"/>
  <c r="Q25" i="24"/>
  <c r="P25" i="24"/>
  <c r="K25" i="24"/>
  <c r="I25" i="24"/>
  <c r="H25" i="24"/>
  <c r="G25" i="24"/>
  <c r="B25" i="24"/>
  <c r="W24" i="24"/>
  <c r="V24" i="24"/>
  <c r="U24" i="24"/>
  <c r="T24" i="24"/>
  <c r="R24" i="24"/>
  <c r="Q24" i="24"/>
  <c r="K24" i="24"/>
  <c r="I24" i="24"/>
  <c r="H24" i="24"/>
  <c r="B24" i="24"/>
  <c r="P24" i="24" s="1"/>
  <c r="W23" i="24"/>
  <c r="V23" i="24"/>
  <c r="U23" i="24"/>
  <c r="T23" i="24"/>
  <c r="R23" i="24"/>
  <c r="Q23" i="24"/>
  <c r="P23" i="24"/>
  <c r="K23" i="24"/>
  <c r="I23" i="24"/>
  <c r="H23" i="24"/>
  <c r="G23" i="24"/>
  <c r="B23" i="24"/>
  <c r="W22" i="24"/>
  <c r="V22" i="24"/>
  <c r="U22" i="24"/>
  <c r="T22" i="24"/>
  <c r="R22" i="24"/>
  <c r="Q22" i="24"/>
  <c r="K22" i="24"/>
  <c r="I22" i="24"/>
  <c r="H22" i="24"/>
  <c r="B22" i="24"/>
  <c r="P22" i="24" s="1"/>
  <c r="W21" i="24"/>
  <c r="V21" i="24"/>
  <c r="U21" i="24"/>
  <c r="T21" i="24"/>
  <c r="R21" i="24"/>
  <c r="Q21" i="24"/>
  <c r="P21" i="24"/>
  <c r="K21" i="24"/>
  <c r="I21" i="24"/>
  <c r="H21" i="24"/>
  <c r="G21" i="24"/>
  <c r="B21" i="24"/>
  <c r="W20" i="24"/>
  <c r="V20" i="24"/>
  <c r="U20" i="24"/>
  <c r="T20" i="24"/>
  <c r="R20" i="24"/>
  <c r="Q20" i="24"/>
  <c r="K20" i="24"/>
  <c r="I20" i="24"/>
  <c r="H20" i="24"/>
  <c r="B20" i="24"/>
  <c r="P20" i="24" s="1"/>
  <c r="W19" i="24"/>
  <c r="V19" i="24"/>
  <c r="U19" i="24"/>
  <c r="T19" i="24"/>
  <c r="R19" i="24"/>
  <c r="Q19" i="24"/>
  <c r="K19" i="24"/>
  <c r="I19" i="24"/>
  <c r="H19" i="24"/>
  <c r="G19" i="24"/>
  <c r="B19" i="24"/>
  <c r="P19" i="24" s="1"/>
  <c r="W18" i="24"/>
  <c r="V18" i="24"/>
  <c r="U18" i="24"/>
  <c r="T18" i="24"/>
  <c r="R18" i="24"/>
  <c r="Q18" i="24"/>
  <c r="K18" i="24"/>
  <c r="I18" i="24"/>
  <c r="H18" i="24"/>
  <c r="B18" i="24"/>
  <c r="P18" i="24" s="1"/>
  <c r="W17" i="24"/>
  <c r="V17" i="24"/>
  <c r="U17" i="24"/>
  <c r="T17" i="24"/>
  <c r="R17" i="24"/>
  <c r="Q17" i="24"/>
  <c r="K17" i="24"/>
  <c r="I17" i="24"/>
  <c r="H17" i="24"/>
  <c r="G17" i="24"/>
  <c r="B17" i="24"/>
  <c r="P17" i="24" s="1"/>
  <c r="W16" i="24"/>
  <c r="V16" i="24"/>
  <c r="U16" i="24"/>
  <c r="T16" i="24"/>
  <c r="R16" i="24"/>
  <c r="Q16" i="24"/>
  <c r="K16" i="24"/>
  <c r="I16" i="24"/>
  <c r="H16" i="24"/>
  <c r="B16" i="24"/>
  <c r="P16" i="24" s="1"/>
  <c r="W15" i="24"/>
  <c r="V15" i="24"/>
  <c r="U15" i="24"/>
  <c r="T15" i="24"/>
  <c r="R15" i="24"/>
  <c r="Q15" i="24"/>
  <c r="K15" i="24"/>
  <c r="I15" i="24"/>
  <c r="H15" i="24"/>
  <c r="G15" i="24"/>
  <c r="B15" i="24"/>
  <c r="P15" i="24" s="1"/>
  <c r="W14" i="24"/>
  <c r="V14" i="24"/>
  <c r="U14" i="24"/>
  <c r="T14" i="24"/>
  <c r="R14" i="24"/>
  <c r="Q14" i="24"/>
  <c r="K14" i="24"/>
  <c r="I14" i="24"/>
  <c r="H14" i="24"/>
  <c r="B14" i="24"/>
  <c r="P14" i="24" s="1"/>
  <c r="L13" i="24"/>
  <c r="T11" i="24"/>
  <c r="P11" i="24"/>
  <c r="K11" i="24"/>
  <c r="R10" i="24"/>
  <c r="I10" i="24"/>
  <c r="G10" i="24"/>
  <c r="P10" i="24" s="1"/>
  <c r="R9" i="24"/>
  <c r="P9" i="24"/>
  <c r="I9" i="24"/>
  <c r="G9" i="24"/>
  <c r="P8" i="24"/>
  <c r="G8" i="24"/>
  <c r="I7" i="24"/>
  <c r="R7" i="24" s="1"/>
  <c r="W29" i="79"/>
  <c r="V29" i="79"/>
  <c r="U29" i="79"/>
  <c r="T29" i="79"/>
  <c r="R29" i="79"/>
  <c r="Q29" i="79"/>
  <c r="K29" i="79"/>
  <c r="I29" i="79"/>
  <c r="H29" i="79"/>
  <c r="B29" i="79"/>
  <c r="G29" i="79" s="1"/>
  <c r="W28" i="79"/>
  <c r="V28" i="79"/>
  <c r="U28" i="79"/>
  <c r="T28" i="79"/>
  <c r="R28" i="79"/>
  <c r="Q28" i="79"/>
  <c r="K28" i="79"/>
  <c r="I28" i="79"/>
  <c r="H28" i="79"/>
  <c r="B28" i="79"/>
  <c r="P28" i="79" s="1"/>
  <c r="W27" i="79"/>
  <c r="V27" i="79"/>
  <c r="U27" i="79"/>
  <c r="T27" i="79"/>
  <c r="R27" i="79"/>
  <c r="Q27" i="79"/>
  <c r="K27" i="79"/>
  <c r="I27" i="79"/>
  <c r="H27" i="79"/>
  <c r="G27" i="79"/>
  <c r="B27" i="79"/>
  <c r="P27" i="79" s="1"/>
  <c r="W26" i="79"/>
  <c r="V26" i="79"/>
  <c r="U26" i="79"/>
  <c r="T26" i="79"/>
  <c r="R26" i="79"/>
  <c r="Q26" i="79"/>
  <c r="K26" i="79"/>
  <c r="I26" i="79"/>
  <c r="H26" i="79"/>
  <c r="B26" i="79"/>
  <c r="P26" i="79" s="1"/>
  <c r="W25" i="79"/>
  <c r="V25" i="79"/>
  <c r="U25" i="79"/>
  <c r="T25" i="79"/>
  <c r="R25" i="79"/>
  <c r="Q25" i="79"/>
  <c r="K25" i="79"/>
  <c r="I25" i="79"/>
  <c r="H25" i="79"/>
  <c r="G25" i="79"/>
  <c r="B25" i="79"/>
  <c r="P25" i="79" s="1"/>
  <c r="W24" i="79"/>
  <c r="V24" i="79"/>
  <c r="U24" i="79"/>
  <c r="T24" i="79"/>
  <c r="R24" i="79"/>
  <c r="Q24" i="79"/>
  <c r="K24" i="79"/>
  <c r="I24" i="79"/>
  <c r="H24" i="79"/>
  <c r="B24" i="79"/>
  <c r="P24" i="79" s="1"/>
  <c r="W23" i="79"/>
  <c r="V23" i="79"/>
  <c r="U23" i="79"/>
  <c r="T23" i="79"/>
  <c r="R23" i="79"/>
  <c r="Q23" i="79"/>
  <c r="K23" i="79"/>
  <c r="I23" i="79"/>
  <c r="H23" i="79"/>
  <c r="G23" i="79"/>
  <c r="B23" i="79"/>
  <c r="P23" i="79" s="1"/>
  <c r="W22" i="79"/>
  <c r="V22" i="79"/>
  <c r="U22" i="79"/>
  <c r="T22" i="79"/>
  <c r="R22" i="79"/>
  <c r="Q22" i="79"/>
  <c r="K22" i="79"/>
  <c r="I22" i="79"/>
  <c r="H22" i="79"/>
  <c r="B22" i="79"/>
  <c r="P22" i="79" s="1"/>
  <c r="W21" i="79"/>
  <c r="V21" i="79"/>
  <c r="U21" i="79"/>
  <c r="T21" i="79"/>
  <c r="R21" i="79"/>
  <c r="Q21" i="79"/>
  <c r="K21" i="79"/>
  <c r="I21" i="79"/>
  <c r="H21" i="79"/>
  <c r="G21" i="79"/>
  <c r="B21" i="79"/>
  <c r="P21" i="79" s="1"/>
  <c r="W20" i="79"/>
  <c r="V20" i="79"/>
  <c r="U20" i="79"/>
  <c r="T20" i="79"/>
  <c r="R20" i="79"/>
  <c r="Q20" i="79"/>
  <c r="K20" i="79"/>
  <c r="I20" i="79"/>
  <c r="H20" i="79"/>
  <c r="B20" i="79"/>
  <c r="P20" i="79" s="1"/>
  <c r="W19" i="79"/>
  <c r="V19" i="79"/>
  <c r="U19" i="79"/>
  <c r="T19" i="79"/>
  <c r="R19" i="79"/>
  <c r="Q19" i="79"/>
  <c r="K19" i="79"/>
  <c r="I19" i="79"/>
  <c r="H19" i="79"/>
  <c r="G19" i="79"/>
  <c r="B19" i="79"/>
  <c r="P19" i="79" s="1"/>
  <c r="W18" i="79"/>
  <c r="V18" i="79"/>
  <c r="U18" i="79"/>
  <c r="T18" i="79"/>
  <c r="R18" i="79"/>
  <c r="Q18" i="79"/>
  <c r="K18" i="79"/>
  <c r="I18" i="79"/>
  <c r="H18" i="79"/>
  <c r="B18" i="79"/>
  <c r="P18" i="79" s="1"/>
  <c r="W17" i="79"/>
  <c r="V17" i="79"/>
  <c r="U17" i="79"/>
  <c r="T17" i="79"/>
  <c r="R17" i="79"/>
  <c r="Q17" i="79"/>
  <c r="K17" i="79"/>
  <c r="I17" i="79"/>
  <c r="H17" i="79"/>
  <c r="G17" i="79"/>
  <c r="B17" i="79"/>
  <c r="P17" i="79" s="1"/>
  <c r="W16" i="79"/>
  <c r="V16" i="79"/>
  <c r="U16" i="79"/>
  <c r="T16" i="79"/>
  <c r="R16" i="79"/>
  <c r="Q16" i="79"/>
  <c r="K16" i="79"/>
  <c r="I16" i="79"/>
  <c r="H16" i="79"/>
  <c r="B16" i="79"/>
  <c r="P16" i="79" s="1"/>
  <c r="W15" i="79"/>
  <c r="V15" i="79"/>
  <c r="U15" i="79"/>
  <c r="T15" i="79"/>
  <c r="R15" i="79"/>
  <c r="Q15" i="79"/>
  <c r="P15" i="79"/>
  <c r="K15" i="79"/>
  <c r="I15" i="79"/>
  <c r="H15" i="79"/>
  <c r="G15" i="79"/>
  <c r="B15" i="79"/>
  <c r="W14" i="79"/>
  <c r="V14" i="79"/>
  <c r="U14" i="79"/>
  <c r="T14" i="79"/>
  <c r="R14" i="79"/>
  <c r="Q14" i="79"/>
  <c r="K14" i="79"/>
  <c r="I14" i="79"/>
  <c r="H14" i="79"/>
  <c r="B14" i="79"/>
  <c r="P14" i="79" s="1"/>
  <c r="L13" i="79"/>
  <c r="P11" i="79"/>
  <c r="K11" i="79"/>
  <c r="T11" i="79" s="1"/>
  <c r="R10" i="79"/>
  <c r="I10" i="79"/>
  <c r="G10" i="79"/>
  <c r="P10" i="79" s="1"/>
  <c r="R9" i="79"/>
  <c r="I9" i="79"/>
  <c r="G9" i="79"/>
  <c r="P9" i="79" s="1"/>
  <c r="P8" i="79"/>
  <c r="G8" i="79"/>
  <c r="I7" i="79"/>
  <c r="R7" i="79" s="1"/>
  <c r="W29" i="22"/>
  <c r="V29" i="22"/>
  <c r="U29" i="22"/>
  <c r="T29" i="22"/>
  <c r="R29" i="22"/>
  <c r="Q29" i="22"/>
  <c r="K29" i="22"/>
  <c r="I29" i="22"/>
  <c r="H29" i="22"/>
  <c r="G29" i="22"/>
  <c r="B29" i="22"/>
  <c r="P29" i="22" s="1"/>
  <c r="W28" i="22"/>
  <c r="V28" i="22"/>
  <c r="U28" i="22"/>
  <c r="T28" i="22"/>
  <c r="R28" i="22"/>
  <c r="Q28" i="22"/>
  <c r="K28" i="22"/>
  <c r="I28" i="22"/>
  <c r="H28" i="22"/>
  <c r="B28" i="22"/>
  <c r="P28" i="22" s="1"/>
  <c r="W27" i="22"/>
  <c r="V27" i="22"/>
  <c r="U27" i="22"/>
  <c r="T27" i="22"/>
  <c r="R27" i="22"/>
  <c r="Q27" i="22"/>
  <c r="K27" i="22"/>
  <c r="I27" i="22"/>
  <c r="H27" i="22"/>
  <c r="G27" i="22"/>
  <c r="B27" i="22"/>
  <c r="P27" i="22" s="1"/>
  <c r="W26" i="22"/>
  <c r="V26" i="22"/>
  <c r="U26" i="22"/>
  <c r="T26" i="22"/>
  <c r="R26" i="22"/>
  <c r="Q26" i="22"/>
  <c r="K26" i="22"/>
  <c r="I26" i="22"/>
  <c r="H26" i="22"/>
  <c r="B26" i="22"/>
  <c r="P26" i="22" s="1"/>
  <c r="W25" i="22"/>
  <c r="V25" i="22"/>
  <c r="U25" i="22"/>
  <c r="T25" i="22"/>
  <c r="R25" i="22"/>
  <c r="Q25" i="22"/>
  <c r="K25" i="22"/>
  <c r="I25" i="22"/>
  <c r="H25" i="22"/>
  <c r="G25" i="22"/>
  <c r="B25" i="22"/>
  <c r="P25" i="22" s="1"/>
  <c r="W24" i="22"/>
  <c r="V24" i="22"/>
  <c r="U24" i="22"/>
  <c r="T24" i="22"/>
  <c r="R24" i="22"/>
  <c r="Q24" i="22"/>
  <c r="K24" i="22"/>
  <c r="I24" i="22"/>
  <c r="H24" i="22"/>
  <c r="B24" i="22"/>
  <c r="P24" i="22" s="1"/>
  <c r="W23" i="22"/>
  <c r="V23" i="22"/>
  <c r="U23" i="22"/>
  <c r="T23" i="22"/>
  <c r="R23" i="22"/>
  <c r="Q23" i="22"/>
  <c r="K23" i="22"/>
  <c r="I23" i="22"/>
  <c r="H23" i="22"/>
  <c r="G23" i="22"/>
  <c r="B23" i="22"/>
  <c r="P23" i="22" s="1"/>
  <c r="W22" i="22"/>
  <c r="V22" i="22"/>
  <c r="U22" i="22"/>
  <c r="T22" i="22"/>
  <c r="R22" i="22"/>
  <c r="Q22" i="22"/>
  <c r="K22" i="22"/>
  <c r="I22" i="22"/>
  <c r="H22" i="22"/>
  <c r="B22" i="22"/>
  <c r="P22" i="22" s="1"/>
  <c r="W21" i="22"/>
  <c r="V21" i="22"/>
  <c r="U21" i="22"/>
  <c r="T21" i="22"/>
  <c r="R21" i="22"/>
  <c r="Q21" i="22"/>
  <c r="K21" i="22"/>
  <c r="I21" i="22"/>
  <c r="H21" i="22"/>
  <c r="G21" i="22"/>
  <c r="B21" i="22"/>
  <c r="P21" i="22" s="1"/>
  <c r="W20" i="22"/>
  <c r="V20" i="22"/>
  <c r="U20" i="22"/>
  <c r="T20" i="22"/>
  <c r="R20" i="22"/>
  <c r="Q20" i="22"/>
  <c r="K20" i="22"/>
  <c r="I20" i="22"/>
  <c r="H20" i="22"/>
  <c r="B20" i="22"/>
  <c r="P20" i="22" s="1"/>
  <c r="W19" i="22"/>
  <c r="V19" i="22"/>
  <c r="U19" i="22"/>
  <c r="T19" i="22"/>
  <c r="R19" i="22"/>
  <c r="Q19" i="22"/>
  <c r="K19" i="22"/>
  <c r="I19" i="22"/>
  <c r="H19" i="22"/>
  <c r="G19" i="22"/>
  <c r="B19" i="22"/>
  <c r="P19" i="22" s="1"/>
  <c r="W18" i="22"/>
  <c r="V18" i="22"/>
  <c r="U18" i="22"/>
  <c r="T18" i="22"/>
  <c r="R18" i="22"/>
  <c r="Q18" i="22"/>
  <c r="K18" i="22"/>
  <c r="I18" i="22"/>
  <c r="H18" i="22"/>
  <c r="B18" i="22"/>
  <c r="P18" i="22" s="1"/>
  <c r="W17" i="22"/>
  <c r="V17" i="22"/>
  <c r="U17" i="22"/>
  <c r="T17" i="22"/>
  <c r="R17" i="22"/>
  <c r="Q17" i="22"/>
  <c r="K17" i="22"/>
  <c r="I17" i="22"/>
  <c r="H17" i="22"/>
  <c r="G17" i="22"/>
  <c r="B17" i="22"/>
  <c r="P17" i="22" s="1"/>
  <c r="W16" i="22"/>
  <c r="V16" i="22"/>
  <c r="U16" i="22"/>
  <c r="T16" i="22"/>
  <c r="R16" i="22"/>
  <c r="Q16" i="22"/>
  <c r="K16" i="22"/>
  <c r="I16" i="22"/>
  <c r="H16" i="22"/>
  <c r="B16" i="22"/>
  <c r="P16" i="22" s="1"/>
  <c r="W15" i="22"/>
  <c r="V15" i="22"/>
  <c r="U15" i="22"/>
  <c r="T15" i="22"/>
  <c r="R15" i="22"/>
  <c r="Q15" i="22"/>
  <c r="K15" i="22"/>
  <c r="I15" i="22"/>
  <c r="H15" i="22"/>
  <c r="G15" i="22"/>
  <c r="B15" i="22"/>
  <c r="P15" i="22" s="1"/>
  <c r="W14" i="22"/>
  <c r="V14" i="22"/>
  <c r="U14" i="22"/>
  <c r="T14" i="22"/>
  <c r="R14" i="22"/>
  <c r="Q14" i="22"/>
  <c r="K14" i="22"/>
  <c r="I14" i="22"/>
  <c r="H14" i="22"/>
  <c r="B14" i="22"/>
  <c r="P14" i="22" s="1"/>
  <c r="P11" i="22"/>
  <c r="K11" i="22"/>
  <c r="T11" i="22" s="1"/>
  <c r="I10" i="22"/>
  <c r="R10" i="22" s="1"/>
  <c r="G10" i="22"/>
  <c r="P10" i="22" s="1"/>
  <c r="I9" i="22"/>
  <c r="L13" i="22" s="1"/>
  <c r="G9" i="22"/>
  <c r="P9" i="22" s="1"/>
  <c r="G8" i="22"/>
  <c r="P8" i="22" s="1"/>
  <c r="I7" i="22"/>
  <c r="R7" i="22" s="1"/>
  <c r="W29" i="21"/>
  <c r="V29" i="21"/>
  <c r="U29" i="21"/>
  <c r="T29" i="21"/>
  <c r="R29" i="21"/>
  <c r="Q29" i="21"/>
  <c r="K29" i="21"/>
  <c r="I29" i="21"/>
  <c r="H29" i="21"/>
  <c r="B29" i="21"/>
  <c r="G29" i="21" s="1"/>
  <c r="W28" i="21"/>
  <c r="V28" i="21"/>
  <c r="U28" i="21"/>
  <c r="T28" i="21"/>
  <c r="R28" i="21"/>
  <c r="Q28" i="21"/>
  <c r="K28" i="21"/>
  <c r="I28" i="21"/>
  <c r="H28" i="21"/>
  <c r="B28" i="21"/>
  <c r="P28" i="21" s="1"/>
  <c r="W27" i="21"/>
  <c r="V27" i="21"/>
  <c r="U27" i="21"/>
  <c r="T27" i="21"/>
  <c r="R27" i="21"/>
  <c r="Q27" i="21"/>
  <c r="K27" i="21"/>
  <c r="I27" i="21"/>
  <c r="H27" i="21"/>
  <c r="B27" i="21"/>
  <c r="G27" i="21" s="1"/>
  <c r="W26" i="21"/>
  <c r="V26" i="21"/>
  <c r="U26" i="21"/>
  <c r="T26" i="21"/>
  <c r="R26" i="21"/>
  <c r="Q26" i="21"/>
  <c r="K26" i="21"/>
  <c r="I26" i="21"/>
  <c r="H26" i="21"/>
  <c r="B26" i="21"/>
  <c r="P26" i="21" s="1"/>
  <c r="W25" i="21"/>
  <c r="V25" i="21"/>
  <c r="U25" i="21"/>
  <c r="T25" i="21"/>
  <c r="R25" i="21"/>
  <c r="Q25" i="21"/>
  <c r="K25" i="21"/>
  <c r="I25" i="21"/>
  <c r="H25" i="21"/>
  <c r="B25" i="21"/>
  <c r="G25" i="21" s="1"/>
  <c r="W24" i="21"/>
  <c r="V24" i="21"/>
  <c r="U24" i="21"/>
  <c r="T24" i="21"/>
  <c r="R24" i="21"/>
  <c r="Q24" i="21"/>
  <c r="K24" i="21"/>
  <c r="I24" i="21"/>
  <c r="H24" i="21"/>
  <c r="B24" i="21"/>
  <c r="P24" i="21" s="1"/>
  <c r="W23" i="21"/>
  <c r="V23" i="21"/>
  <c r="U23" i="21"/>
  <c r="T23" i="21"/>
  <c r="R23" i="21"/>
  <c r="Q23" i="21"/>
  <c r="K23" i="21"/>
  <c r="I23" i="21"/>
  <c r="H23" i="21"/>
  <c r="B23" i="21"/>
  <c r="G23" i="21" s="1"/>
  <c r="W22" i="21"/>
  <c r="V22" i="21"/>
  <c r="U22" i="21"/>
  <c r="T22" i="21"/>
  <c r="R22" i="21"/>
  <c r="Q22" i="21"/>
  <c r="K22" i="21"/>
  <c r="I22" i="21"/>
  <c r="H22" i="21"/>
  <c r="B22" i="21"/>
  <c r="P22" i="21" s="1"/>
  <c r="W21" i="21"/>
  <c r="V21" i="21"/>
  <c r="U21" i="21"/>
  <c r="T21" i="21"/>
  <c r="R21" i="21"/>
  <c r="Q21" i="21"/>
  <c r="K21" i="21"/>
  <c r="I21" i="21"/>
  <c r="H21" i="21"/>
  <c r="B21" i="21"/>
  <c r="G21" i="21" s="1"/>
  <c r="W20" i="21"/>
  <c r="V20" i="21"/>
  <c r="U20" i="21"/>
  <c r="T20" i="21"/>
  <c r="R20" i="21"/>
  <c r="Q20" i="21"/>
  <c r="K20" i="21"/>
  <c r="I20" i="21"/>
  <c r="H20" i="21"/>
  <c r="B20" i="21"/>
  <c r="P20" i="21" s="1"/>
  <c r="W19" i="21"/>
  <c r="V19" i="21"/>
  <c r="U19" i="21"/>
  <c r="T19" i="21"/>
  <c r="R19" i="21"/>
  <c r="Q19" i="21"/>
  <c r="K19" i="21"/>
  <c r="I19" i="21"/>
  <c r="H19" i="21"/>
  <c r="B19" i="21"/>
  <c r="G19" i="21" s="1"/>
  <c r="W18" i="21"/>
  <c r="V18" i="21"/>
  <c r="U18" i="21"/>
  <c r="T18" i="21"/>
  <c r="R18" i="21"/>
  <c r="Q18" i="21"/>
  <c r="K18" i="21"/>
  <c r="I18" i="21"/>
  <c r="H18" i="21"/>
  <c r="B18" i="21"/>
  <c r="P18" i="21" s="1"/>
  <c r="W17" i="21"/>
  <c r="V17" i="21"/>
  <c r="U17" i="21"/>
  <c r="T17" i="21"/>
  <c r="R17" i="21"/>
  <c r="Q17" i="21"/>
  <c r="K17" i="21"/>
  <c r="I17" i="21"/>
  <c r="H17" i="21"/>
  <c r="B17" i="21"/>
  <c r="G17" i="21" s="1"/>
  <c r="W16" i="21"/>
  <c r="V16" i="21"/>
  <c r="U16" i="21"/>
  <c r="T16" i="21"/>
  <c r="R16" i="21"/>
  <c r="Q16" i="21"/>
  <c r="K16" i="21"/>
  <c r="I16" i="21"/>
  <c r="H16" i="21"/>
  <c r="B16" i="21"/>
  <c r="P16" i="21" s="1"/>
  <c r="W15" i="21"/>
  <c r="V15" i="21"/>
  <c r="U15" i="21"/>
  <c r="T15" i="21"/>
  <c r="R15" i="21"/>
  <c r="Q15" i="21"/>
  <c r="K15" i="21"/>
  <c r="I15" i="21"/>
  <c r="H15" i="21"/>
  <c r="B15" i="21"/>
  <c r="G15" i="21" s="1"/>
  <c r="W14" i="21"/>
  <c r="V14" i="21"/>
  <c r="U14" i="21"/>
  <c r="T14" i="21"/>
  <c r="R14" i="21"/>
  <c r="Q14" i="21"/>
  <c r="K14" i="21"/>
  <c r="I14" i="21"/>
  <c r="H14" i="21"/>
  <c r="B14" i="21"/>
  <c r="P14" i="21" s="1"/>
  <c r="P11" i="21"/>
  <c r="K11" i="21"/>
  <c r="T11" i="21" s="1"/>
  <c r="I10" i="21"/>
  <c r="R10" i="21" s="1"/>
  <c r="G10" i="21"/>
  <c r="P10" i="21" s="1"/>
  <c r="I9" i="21"/>
  <c r="L13" i="21" s="1"/>
  <c r="G9" i="21"/>
  <c r="P9" i="21" s="1"/>
  <c r="G8" i="21"/>
  <c r="P8" i="21" s="1"/>
  <c r="I7" i="21"/>
  <c r="R7" i="21" s="1"/>
  <c r="W29" i="20"/>
  <c r="V29" i="20"/>
  <c r="U29" i="20"/>
  <c r="T29" i="20"/>
  <c r="R29" i="20"/>
  <c r="Q29" i="20"/>
  <c r="K29" i="20"/>
  <c r="I29" i="20"/>
  <c r="H29" i="20"/>
  <c r="B29" i="20"/>
  <c r="G29" i="20" s="1"/>
  <c r="W28" i="20"/>
  <c r="V28" i="20"/>
  <c r="U28" i="20"/>
  <c r="T28" i="20"/>
  <c r="R28" i="20"/>
  <c r="Q28" i="20"/>
  <c r="K28" i="20"/>
  <c r="I28" i="20"/>
  <c r="H28" i="20"/>
  <c r="B28" i="20"/>
  <c r="P28" i="20" s="1"/>
  <c r="W27" i="20"/>
  <c r="V27" i="20"/>
  <c r="U27" i="20"/>
  <c r="T27" i="20"/>
  <c r="R27" i="20"/>
  <c r="Q27" i="20"/>
  <c r="K27" i="20"/>
  <c r="I27" i="20"/>
  <c r="H27" i="20"/>
  <c r="B27" i="20"/>
  <c r="G27" i="20" s="1"/>
  <c r="W26" i="20"/>
  <c r="V26" i="20"/>
  <c r="U26" i="20"/>
  <c r="T26" i="20"/>
  <c r="R26" i="20"/>
  <c r="Q26" i="20"/>
  <c r="K26" i="20"/>
  <c r="I26" i="20"/>
  <c r="H26" i="20"/>
  <c r="B26" i="20"/>
  <c r="P26" i="20" s="1"/>
  <c r="W25" i="20"/>
  <c r="V25" i="20"/>
  <c r="U25" i="20"/>
  <c r="T25" i="20"/>
  <c r="R25" i="20"/>
  <c r="Q25" i="20"/>
  <c r="K25" i="20"/>
  <c r="I25" i="20"/>
  <c r="H25" i="20"/>
  <c r="B25" i="20"/>
  <c r="G25" i="20" s="1"/>
  <c r="W24" i="20"/>
  <c r="V24" i="20"/>
  <c r="U24" i="20"/>
  <c r="T24" i="20"/>
  <c r="R24" i="20"/>
  <c r="Q24" i="20"/>
  <c r="K24" i="20"/>
  <c r="I24" i="20"/>
  <c r="H24" i="20"/>
  <c r="B24" i="20"/>
  <c r="P24" i="20" s="1"/>
  <c r="W23" i="20"/>
  <c r="V23" i="20"/>
  <c r="U23" i="20"/>
  <c r="T23" i="20"/>
  <c r="R23" i="20"/>
  <c r="Q23" i="20"/>
  <c r="K23" i="20"/>
  <c r="I23" i="20"/>
  <c r="H23" i="20"/>
  <c r="B23" i="20"/>
  <c r="G23" i="20" s="1"/>
  <c r="W22" i="20"/>
  <c r="V22" i="20"/>
  <c r="U22" i="20"/>
  <c r="T22" i="20"/>
  <c r="R22" i="20"/>
  <c r="Q22" i="20"/>
  <c r="K22" i="20"/>
  <c r="I22" i="20"/>
  <c r="H22" i="20"/>
  <c r="B22" i="20"/>
  <c r="P22" i="20" s="1"/>
  <c r="W21" i="20"/>
  <c r="V21" i="20"/>
  <c r="U21" i="20"/>
  <c r="T21" i="20"/>
  <c r="R21" i="20"/>
  <c r="Q21" i="20"/>
  <c r="K21" i="20"/>
  <c r="I21" i="20"/>
  <c r="H21" i="20"/>
  <c r="B21" i="20"/>
  <c r="G21" i="20" s="1"/>
  <c r="W20" i="20"/>
  <c r="V20" i="20"/>
  <c r="U20" i="20"/>
  <c r="T20" i="20"/>
  <c r="R20" i="20"/>
  <c r="Q20" i="20"/>
  <c r="K20" i="20"/>
  <c r="I20" i="20"/>
  <c r="H20" i="20"/>
  <c r="B20" i="20"/>
  <c r="P20" i="20" s="1"/>
  <c r="W19" i="20"/>
  <c r="V19" i="20"/>
  <c r="U19" i="20"/>
  <c r="T19" i="20"/>
  <c r="R19" i="20"/>
  <c r="Q19" i="20"/>
  <c r="K19" i="20"/>
  <c r="I19" i="20"/>
  <c r="H19" i="20"/>
  <c r="B19" i="20"/>
  <c r="G19" i="20" s="1"/>
  <c r="W18" i="20"/>
  <c r="V18" i="20"/>
  <c r="U18" i="20"/>
  <c r="T18" i="20"/>
  <c r="R18" i="20"/>
  <c r="Q18" i="20"/>
  <c r="K18" i="20"/>
  <c r="I18" i="20"/>
  <c r="H18" i="20"/>
  <c r="B18" i="20"/>
  <c r="P18" i="20" s="1"/>
  <c r="W17" i="20"/>
  <c r="V17" i="20"/>
  <c r="U17" i="20"/>
  <c r="T17" i="20"/>
  <c r="R17" i="20"/>
  <c r="Q17" i="20"/>
  <c r="K17" i="20"/>
  <c r="I17" i="20"/>
  <c r="H17" i="20"/>
  <c r="B17" i="20"/>
  <c r="G17" i="20" s="1"/>
  <c r="W16" i="20"/>
  <c r="V16" i="20"/>
  <c r="U16" i="20"/>
  <c r="T16" i="20"/>
  <c r="R16" i="20"/>
  <c r="Q16" i="20"/>
  <c r="K16" i="20"/>
  <c r="I16" i="20"/>
  <c r="H16" i="20"/>
  <c r="B16" i="20"/>
  <c r="P16" i="20" s="1"/>
  <c r="W15" i="20"/>
  <c r="V15" i="20"/>
  <c r="U15" i="20"/>
  <c r="T15" i="20"/>
  <c r="R15" i="20"/>
  <c r="Q15" i="20"/>
  <c r="K15" i="20"/>
  <c r="I15" i="20"/>
  <c r="H15" i="20"/>
  <c r="B15" i="20"/>
  <c r="G15" i="20" s="1"/>
  <c r="W14" i="20"/>
  <c r="V14" i="20"/>
  <c r="U14" i="20"/>
  <c r="T14" i="20"/>
  <c r="R14" i="20"/>
  <c r="Q14" i="20"/>
  <c r="K14" i="20"/>
  <c r="I14" i="20"/>
  <c r="H14" i="20"/>
  <c r="B14" i="20"/>
  <c r="P14" i="20" s="1"/>
  <c r="P11" i="20"/>
  <c r="K11" i="20"/>
  <c r="T11" i="20" s="1"/>
  <c r="I10" i="20"/>
  <c r="R10" i="20" s="1"/>
  <c r="G10" i="20"/>
  <c r="P10" i="20" s="1"/>
  <c r="I9" i="20"/>
  <c r="L13" i="20" s="1"/>
  <c r="G9" i="20"/>
  <c r="P9" i="20" s="1"/>
  <c r="G8" i="20"/>
  <c r="P8" i="20" s="1"/>
  <c r="I7" i="20"/>
  <c r="R7" i="20" s="1"/>
  <c r="W29" i="19"/>
  <c r="V29" i="19"/>
  <c r="U29" i="19"/>
  <c r="T29" i="19"/>
  <c r="R29" i="19"/>
  <c r="Q29" i="19"/>
  <c r="K29" i="19"/>
  <c r="I29" i="19"/>
  <c r="H29" i="19"/>
  <c r="B29" i="19"/>
  <c r="G29" i="19" s="1"/>
  <c r="W28" i="19"/>
  <c r="V28" i="19"/>
  <c r="U28" i="19"/>
  <c r="T28" i="19"/>
  <c r="R28" i="19"/>
  <c r="Q28" i="19"/>
  <c r="K28" i="19"/>
  <c r="I28" i="19"/>
  <c r="H28" i="19"/>
  <c r="B28" i="19"/>
  <c r="P28" i="19" s="1"/>
  <c r="W27" i="19"/>
  <c r="V27" i="19"/>
  <c r="U27" i="19"/>
  <c r="T27" i="19"/>
  <c r="R27" i="19"/>
  <c r="Q27" i="19"/>
  <c r="K27" i="19"/>
  <c r="I27" i="19"/>
  <c r="H27" i="19"/>
  <c r="B27" i="19"/>
  <c r="G27" i="19" s="1"/>
  <c r="W26" i="19"/>
  <c r="V26" i="19"/>
  <c r="U26" i="19"/>
  <c r="T26" i="19"/>
  <c r="R26" i="19"/>
  <c r="Q26" i="19"/>
  <c r="K26" i="19"/>
  <c r="I26" i="19"/>
  <c r="H26" i="19"/>
  <c r="B26" i="19"/>
  <c r="P26" i="19" s="1"/>
  <c r="W25" i="19"/>
  <c r="V25" i="19"/>
  <c r="U25" i="19"/>
  <c r="T25" i="19"/>
  <c r="R25" i="19"/>
  <c r="Q25" i="19"/>
  <c r="K25" i="19"/>
  <c r="I25" i="19"/>
  <c r="H25" i="19"/>
  <c r="B25" i="19"/>
  <c r="G25" i="19" s="1"/>
  <c r="W24" i="19"/>
  <c r="V24" i="19"/>
  <c r="U24" i="19"/>
  <c r="T24" i="19"/>
  <c r="R24" i="19"/>
  <c r="Q24" i="19"/>
  <c r="K24" i="19"/>
  <c r="I24" i="19"/>
  <c r="H24" i="19"/>
  <c r="B24" i="19"/>
  <c r="P24" i="19" s="1"/>
  <c r="W23" i="19"/>
  <c r="V23" i="19"/>
  <c r="U23" i="19"/>
  <c r="T23" i="19"/>
  <c r="R23" i="19"/>
  <c r="Q23" i="19"/>
  <c r="K23" i="19"/>
  <c r="I23" i="19"/>
  <c r="H23" i="19"/>
  <c r="B23" i="19"/>
  <c r="G23" i="19" s="1"/>
  <c r="W22" i="19"/>
  <c r="V22" i="19"/>
  <c r="U22" i="19"/>
  <c r="T22" i="19"/>
  <c r="R22" i="19"/>
  <c r="Q22" i="19"/>
  <c r="K22" i="19"/>
  <c r="I22" i="19"/>
  <c r="H22" i="19"/>
  <c r="B22" i="19"/>
  <c r="P22" i="19" s="1"/>
  <c r="W21" i="19"/>
  <c r="V21" i="19"/>
  <c r="U21" i="19"/>
  <c r="T21" i="19"/>
  <c r="R21" i="19"/>
  <c r="Q21" i="19"/>
  <c r="K21" i="19"/>
  <c r="I21" i="19"/>
  <c r="H21" i="19"/>
  <c r="B21" i="19"/>
  <c r="G21" i="19" s="1"/>
  <c r="W20" i="19"/>
  <c r="V20" i="19"/>
  <c r="U20" i="19"/>
  <c r="T20" i="19"/>
  <c r="R20" i="19"/>
  <c r="Q20" i="19"/>
  <c r="K20" i="19"/>
  <c r="I20" i="19"/>
  <c r="H20" i="19"/>
  <c r="B20" i="19"/>
  <c r="P20" i="19" s="1"/>
  <c r="W19" i="19"/>
  <c r="V19" i="19"/>
  <c r="U19" i="19"/>
  <c r="T19" i="19"/>
  <c r="R19" i="19"/>
  <c r="Q19" i="19"/>
  <c r="K19" i="19"/>
  <c r="I19" i="19"/>
  <c r="H19" i="19"/>
  <c r="B19" i="19"/>
  <c r="G19" i="19" s="1"/>
  <c r="W18" i="19"/>
  <c r="V18" i="19"/>
  <c r="U18" i="19"/>
  <c r="T18" i="19"/>
  <c r="R18" i="19"/>
  <c r="Q18" i="19"/>
  <c r="K18" i="19"/>
  <c r="I18" i="19"/>
  <c r="H18" i="19"/>
  <c r="B18" i="19"/>
  <c r="P18" i="19" s="1"/>
  <c r="W17" i="19"/>
  <c r="V17" i="19"/>
  <c r="U17" i="19"/>
  <c r="T17" i="19"/>
  <c r="R17" i="19"/>
  <c r="Q17" i="19"/>
  <c r="K17" i="19"/>
  <c r="I17" i="19"/>
  <c r="H17" i="19"/>
  <c r="B17" i="19"/>
  <c r="G17" i="19" s="1"/>
  <c r="W16" i="19"/>
  <c r="V16" i="19"/>
  <c r="U16" i="19"/>
  <c r="T16" i="19"/>
  <c r="R16" i="19"/>
  <c r="Q16" i="19"/>
  <c r="K16" i="19"/>
  <c r="I16" i="19"/>
  <c r="H16" i="19"/>
  <c r="B16" i="19"/>
  <c r="P16" i="19" s="1"/>
  <c r="W15" i="19"/>
  <c r="V15" i="19"/>
  <c r="U15" i="19"/>
  <c r="T15" i="19"/>
  <c r="R15" i="19"/>
  <c r="Q15" i="19"/>
  <c r="K15" i="19"/>
  <c r="I15" i="19"/>
  <c r="H15" i="19"/>
  <c r="B15" i="19"/>
  <c r="G15" i="19" s="1"/>
  <c r="W14" i="19"/>
  <c r="V14" i="19"/>
  <c r="U14" i="19"/>
  <c r="T14" i="19"/>
  <c r="R14" i="19"/>
  <c r="Q14" i="19"/>
  <c r="K14" i="19"/>
  <c r="I14" i="19"/>
  <c r="H14" i="19"/>
  <c r="B14" i="19"/>
  <c r="P14" i="19" s="1"/>
  <c r="L13" i="19"/>
  <c r="T11" i="19"/>
  <c r="P11" i="19"/>
  <c r="K11" i="19"/>
  <c r="R10" i="19"/>
  <c r="I10" i="19"/>
  <c r="G10" i="19"/>
  <c r="P10" i="19" s="1"/>
  <c r="R9" i="19"/>
  <c r="P9" i="19"/>
  <c r="I9" i="19"/>
  <c r="G9" i="19"/>
  <c r="G8" i="19"/>
  <c r="P8" i="19" s="1"/>
  <c r="I7" i="19"/>
  <c r="R7" i="19" s="1"/>
  <c r="W29" i="18"/>
  <c r="V29" i="18"/>
  <c r="U29" i="18"/>
  <c r="T29" i="18"/>
  <c r="R29" i="18"/>
  <c r="Q29" i="18"/>
  <c r="P29" i="18"/>
  <c r="K29" i="18"/>
  <c r="I29" i="18"/>
  <c r="H29" i="18"/>
  <c r="B29" i="18"/>
  <c r="G29" i="18" s="1"/>
  <c r="W28" i="18"/>
  <c r="V28" i="18"/>
  <c r="U28" i="18"/>
  <c r="T28" i="18"/>
  <c r="R28" i="18"/>
  <c r="Q28" i="18"/>
  <c r="K28" i="18"/>
  <c r="I28" i="18"/>
  <c r="H28" i="18"/>
  <c r="B28" i="18"/>
  <c r="P28" i="18" s="1"/>
  <c r="W27" i="18"/>
  <c r="V27" i="18"/>
  <c r="U27" i="18"/>
  <c r="T27" i="18"/>
  <c r="R27" i="18"/>
  <c r="Q27" i="18"/>
  <c r="P27" i="18"/>
  <c r="K27" i="18"/>
  <c r="I27" i="18"/>
  <c r="H27" i="18"/>
  <c r="G27" i="18"/>
  <c r="B27" i="18"/>
  <c r="W26" i="18"/>
  <c r="V26" i="18"/>
  <c r="U26" i="18"/>
  <c r="T26" i="18"/>
  <c r="R26" i="18"/>
  <c r="Q26" i="18"/>
  <c r="K26" i="18"/>
  <c r="I26" i="18"/>
  <c r="H26" i="18"/>
  <c r="B26" i="18"/>
  <c r="P26" i="18" s="1"/>
  <c r="W25" i="18"/>
  <c r="V25" i="18"/>
  <c r="U25" i="18"/>
  <c r="T25" i="18"/>
  <c r="R25" i="18"/>
  <c r="Q25" i="18"/>
  <c r="P25" i="18"/>
  <c r="K25" i="18"/>
  <c r="I25" i="18"/>
  <c r="H25" i="18"/>
  <c r="G25" i="18"/>
  <c r="B25" i="18"/>
  <c r="W24" i="18"/>
  <c r="V24" i="18"/>
  <c r="U24" i="18"/>
  <c r="T24" i="18"/>
  <c r="R24" i="18"/>
  <c r="Q24" i="18"/>
  <c r="K24" i="18"/>
  <c r="I24" i="18"/>
  <c r="H24" i="18"/>
  <c r="B24" i="18"/>
  <c r="P24" i="18" s="1"/>
  <c r="W23" i="18"/>
  <c r="V23" i="18"/>
  <c r="U23" i="18"/>
  <c r="T23" i="18"/>
  <c r="R23" i="18"/>
  <c r="Q23" i="18"/>
  <c r="P23" i="18"/>
  <c r="K23" i="18"/>
  <c r="I23" i="18"/>
  <c r="H23" i="18"/>
  <c r="G23" i="18"/>
  <c r="B23" i="18"/>
  <c r="W22" i="18"/>
  <c r="V22" i="18"/>
  <c r="U22" i="18"/>
  <c r="T22" i="18"/>
  <c r="R22" i="18"/>
  <c r="Q22" i="18"/>
  <c r="K22" i="18"/>
  <c r="I22" i="18"/>
  <c r="H22" i="18"/>
  <c r="B22" i="18"/>
  <c r="P22" i="18" s="1"/>
  <c r="W21" i="18"/>
  <c r="V21" i="18"/>
  <c r="U21" i="18"/>
  <c r="T21" i="18"/>
  <c r="R21" i="18"/>
  <c r="Q21" i="18"/>
  <c r="P21" i="18"/>
  <c r="K21" i="18"/>
  <c r="I21" i="18"/>
  <c r="H21" i="18"/>
  <c r="G21" i="18"/>
  <c r="B21" i="18"/>
  <c r="W20" i="18"/>
  <c r="V20" i="18"/>
  <c r="U20" i="18"/>
  <c r="T20" i="18"/>
  <c r="R20" i="18"/>
  <c r="Q20" i="18"/>
  <c r="K20" i="18"/>
  <c r="I20" i="18"/>
  <c r="H20" i="18"/>
  <c r="B20" i="18"/>
  <c r="P20" i="18" s="1"/>
  <c r="W19" i="18"/>
  <c r="V19" i="18"/>
  <c r="U19" i="18"/>
  <c r="T19" i="18"/>
  <c r="R19" i="18"/>
  <c r="Q19" i="18"/>
  <c r="P19" i="18"/>
  <c r="K19" i="18"/>
  <c r="I19" i="18"/>
  <c r="H19" i="18"/>
  <c r="G19" i="18"/>
  <c r="B19" i="18"/>
  <c r="W18" i="18"/>
  <c r="V18" i="18"/>
  <c r="U18" i="18"/>
  <c r="T18" i="18"/>
  <c r="R18" i="18"/>
  <c r="Q18" i="18"/>
  <c r="K18" i="18"/>
  <c r="I18" i="18"/>
  <c r="H18" i="18"/>
  <c r="B18" i="18"/>
  <c r="P18" i="18" s="1"/>
  <c r="W17" i="18"/>
  <c r="V17" i="18"/>
  <c r="U17" i="18"/>
  <c r="T17" i="18"/>
  <c r="R17" i="18"/>
  <c r="Q17" i="18"/>
  <c r="P17" i="18"/>
  <c r="K17" i="18"/>
  <c r="I17" i="18"/>
  <c r="H17" i="18"/>
  <c r="G17" i="18"/>
  <c r="B17" i="18"/>
  <c r="W16" i="18"/>
  <c r="V16" i="18"/>
  <c r="U16" i="18"/>
  <c r="T16" i="18"/>
  <c r="R16" i="18"/>
  <c r="Q16" i="18"/>
  <c r="K16" i="18"/>
  <c r="I16" i="18"/>
  <c r="H16" i="18"/>
  <c r="B16" i="18"/>
  <c r="P16" i="18" s="1"/>
  <c r="W15" i="18"/>
  <c r="V15" i="18"/>
  <c r="U15" i="18"/>
  <c r="T15" i="18"/>
  <c r="R15" i="18"/>
  <c r="Q15" i="18"/>
  <c r="P15" i="18"/>
  <c r="K15" i="18"/>
  <c r="I15" i="18"/>
  <c r="H15" i="18"/>
  <c r="G15" i="18"/>
  <c r="B15" i="18"/>
  <c r="W14" i="18"/>
  <c r="V14" i="18"/>
  <c r="U14" i="18"/>
  <c r="T14" i="18"/>
  <c r="R14" i="18"/>
  <c r="Q14" i="18"/>
  <c r="K14" i="18"/>
  <c r="I14" i="18"/>
  <c r="H14" i="18"/>
  <c r="B14" i="18"/>
  <c r="P14" i="18" s="1"/>
  <c r="P11" i="18"/>
  <c r="K11" i="18"/>
  <c r="T11" i="18" s="1"/>
  <c r="P10" i="18"/>
  <c r="I10" i="18"/>
  <c r="R10" i="18" s="1"/>
  <c r="G10" i="18"/>
  <c r="I9" i="18"/>
  <c r="L13" i="18" s="1"/>
  <c r="G9" i="18"/>
  <c r="P9" i="18" s="1"/>
  <c r="G8" i="18"/>
  <c r="P8" i="18" s="1"/>
  <c r="I7" i="18"/>
  <c r="R7" i="18" s="1"/>
  <c r="W29" i="17"/>
  <c r="V29" i="17"/>
  <c r="U29" i="17"/>
  <c r="T29" i="17"/>
  <c r="R29" i="17"/>
  <c r="Q29" i="17"/>
  <c r="K29" i="17"/>
  <c r="I29" i="17"/>
  <c r="H29" i="17"/>
  <c r="B29" i="17"/>
  <c r="G29" i="17" s="1"/>
  <c r="W28" i="17"/>
  <c r="V28" i="17"/>
  <c r="U28" i="17"/>
  <c r="T28" i="17"/>
  <c r="R28" i="17"/>
  <c r="Q28" i="17"/>
  <c r="K28" i="17"/>
  <c r="I28" i="17"/>
  <c r="H28" i="17"/>
  <c r="B28" i="17"/>
  <c r="P28" i="17" s="1"/>
  <c r="W27" i="17"/>
  <c r="V27" i="17"/>
  <c r="U27" i="17"/>
  <c r="T27" i="17"/>
  <c r="R27" i="17"/>
  <c r="Q27" i="17"/>
  <c r="K27" i="17"/>
  <c r="I27" i="17"/>
  <c r="H27" i="17"/>
  <c r="G27" i="17"/>
  <c r="B27" i="17"/>
  <c r="P27" i="17" s="1"/>
  <c r="W26" i="17"/>
  <c r="V26" i="17"/>
  <c r="U26" i="17"/>
  <c r="T26" i="17"/>
  <c r="R26" i="17"/>
  <c r="Q26" i="17"/>
  <c r="K26" i="17"/>
  <c r="I26" i="17"/>
  <c r="H26" i="17"/>
  <c r="B26" i="17"/>
  <c r="P26" i="17" s="1"/>
  <c r="W25" i="17"/>
  <c r="V25" i="17"/>
  <c r="U25" i="17"/>
  <c r="T25" i="17"/>
  <c r="R25" i="17"/>
  <c r="Q25" i="17"/>
  <c r="K25" i="17"/>
  <c r="I25" i="17"/>
  <c r="H25" i="17"/>
  <c r="G25" i="17"/>
  <c r="B25" i="17"/>
  <c r="P25" i="17" s="1"/>
  <c r="W24" i="17"/>
  <c r="V24" i="17"/>
  <c r="U24" i="17"/>
  <c r="T24" i="17"/>
  <c r="R24" i="17"/>
  <c r="Q24" i="17"/>
  <c r="K24" i="17"/>
  <c r="I24" i="17"/>
  <c r="H24" i="17"/>
  <c r="B24" i="17"/>
  <c r="P24" i="17" s="1"/>
  <c r="W23" i="17"/>
  <c r="V23" i="17"/>
  <c r="U23" i="17"/>
  <c r="T23" i="17"/>
  <c r="R23" i="17"/>
  <c r="Q23" i="17"/>
  <c r="K23" i="17"/>
  <c r="I23" i="17"/>
  <c r="H23" i="17"/>
  <c r="G23" i="17"/>
  <c r="B23" i="17"/>
  <c r="P23" i="17" s="1"/>
  <c r="W22" i="17"/>
  <c r="V22" i="17"/>
  <c r="U22" i="17"/>
  <c r="T22" i="17"/>
  <c r="R22" i="17"/>
  <c r="Q22" i="17"/>
  <c r="K22" i="17"/>
  <c r="I22" i="17"/>
  <c r="H22" i="17"/>
  <c r="B22" i="17"/>
  <c r="P22" i="17" s="1"/>
  <c r="W21" i="17"/>
  <c r="V21" i="17"/>
  <c r="U21" i="17"/>
  <c r="T21" i="17"/>
  <c r="R21" i="17"/>
  <c r="Q21" i="17"/>
  <c r="K21" i="17"/>
  <c r="I21" i="17"/>
  <c r="H21" i="17"/>
  <c r="G21" i="17"/>
  <c r="B21" i="17"/>
  <c r="P21" i="17" s="1"/>
  <c r="W20" i="17"/>
  <c r="V20" i="17"/>
  <c r="U20" i="17"/>
  <c r="T20" i="17"/>
  <c r="R20" i="17"/>
  <c r="Q20" i="17"/>
  <c r="K20" i="17"/>
  <c r="I20" i="17"/>
  <c r="H20" i="17"/>
  <c r="B20" i="17"/>
  <c r="P20" i="17" s="1"/>
  <c r="W19" i="17"/>
  <c r="V19" i="17"/>
  <c r="U19" i="17"/>
  <c r="T19" i="17"/>
  <c r="R19" i="17"/>
  <c r="Q19" i="17"/>
  <c r="K19" i="17"/>
  <c r="I19" i="17"/>
  <c r="H19" i="17"/>
  <c r="G19" i="17"/>
  <c r="B19" i="17"/>
  <c r="P19" i="17" s="1"/>
  <c r="W18" i="17"/>
  <c r="V18" i="17"/>
  <c r="U18" i="17"/>
  <c r="T18" i="17"/>
  <c r="R18" i="17"/>
  <c r="Q18" i="17"/>
  <c r="K18" i="17"/>
  <c r="I18" i="17"/>
  <c r="H18" i="17"/>
  <c r="B18" i="17"/>
  <c r="P18" i="17" s="1"/>
  <c r="W17" i="17"/>
  <c r="V17" i="17"/>
  <c r="U17" i="17"/>
  <c r="T17" i="17"/>
  <c r="R17" i="17"/>
  <c r="Q17" i="17"/>
  <c r="K17" i="17"/>
  <c r="I17" i="17"/>
  <c r="H17" i="17"/>
  <c r="G17" i="17"/>
  <c r="B17" i="17"/>
  <c r="P17" i="17" s="1"/>
  <c r="W16" i="17"/>
  <c r="V16" i="17"/>
  <c r="U16" i="17"/>
  <c r="T16" i="17"/>
  <c r="R16" i="17"/>
  <c r="Q16" i="17"/>
  <c r="K16" i="17"/>
  <c r="I16" i="17"/>
  <c r="H16" i="17"/>
  <c r="B16" i="17"/>
  <c r="P16" i="17" s="1"/>
  <c r="W15" i="17"/>
  <c r="V15" i="17"/>
  <c r="U15" i="17"/>
  <c r="T15" i="17"/>
  <c r="R15" i="17"/>
  <c r="Q15" i="17"/>
  <c r="K15" i="17"/>
  <c r="I15" i="17"/>
  <c r="H15" i="17"/>
  <c r="G15" i="17"/>
  <c r="B15" i="17"/>
  <c r="P15" i="17" s="1"/>
  <c r="W14" i="17"/>
  <c r="V14" i="17"/>
  <c r="U14" i="17"/>
  <c r="T14" i="17"/>
  <c r="R14" i="17"/>
  <c r="Q14" i="17"/>
  <c r="K14" i="17"/>
  <c r="I14" i="17"/>
  <c r="H14" i="17"/>
  <c r="B14" i="17"/>
  <c r="P14" i="17" s="1"/>
  <c r="P11" i="17"/>
  <c r="K11" i="17"/>
  <c r="T11" i="17" s="1"/>
  <c r="I10" i="17"/>
  <c r="R10" i="17" s="1"/>
  <c r="G10" i="17"/>
  <c r="P10" i="17" s="1"/>
  <c r="I9" i="17"/>
  <c r="L13" i="17" s="1"/>
  <c r="G9" i="17"/>
  <c r="P9" i="17" s="1"/>
  <c r="G8" i="17"/>
  <c r="P8" i="17" s="1"/>
  <c r="I7" i="17"/>
  <c r="R7" i="17" s="1"/>
  <c r="W29" i="16"/>
  <c r="V29" i="16"/>
  <c r="U29" i="16"/>
  <c r="T29" i="16"/>
  <c r="R29" i="16"/>
  <c r="Q29" i="16"/>
  <c r="P29" i="16"/>
  <c r="K29" i="16"/>
  <c r="I29" i="16"/>
  <c r="H29" i="16"/>
  <c r="B29" i="16"/>
  <c r="G29" i="16" s="1"/>
  <c r="W28" i="16"/>
  <c r="V28" i="16"/>
  <c r="U28" i="16"/>
  <c r="T28" i="16"/>
  <c r="R28" i="16"/>
  <c r="Q28" i="16"/>
  <c r="K28" i="16"/>
  <c r="I28" i="16"/>
  <c r="H28" i="16"/>
  <c r="B28" i="16"/>
  <c r="P28" i="16" s="1"/>
  <c r="W27" i="16"/>
  <c r="V27" i="16"/>
  <c r="U27" i="16"/>
  <c r="T27" i="16"/>
  <c r="R27" i="16"/>
  <c r="Q27" i="16"/>
  <c r="P27" i="16"/>
  <c r="K27" i="16"/>
  <c r="I27" i="16"/>
  <c r="H27" i="16"/>
  <c r="G27" i="16"/>
  <c r="B27" i="16"/>
  <c r="W26" i="16"/>
  <c r="V26" i="16"/>
  <c r="U26" i="16"/>
  <c r="T26" i="16"/>
  <c r="R26" i="16"/>
  <c r="Q26" i="16"/>
  <c r="K26" i="16"/>
  <c r="I26" i="16"/>
  <c r="H26" i="16"/>
  <c r="B26" i="16"/>
  <c r="P26" i="16" s="1"/>
  <c r="W25" i="16"/>
  <c r="V25" i="16"/>
  <c r="U25" i="16"/>
  <c r="T25" i="16"/>
  <c r="R25" i="16"/>
  <c r="Q25" i="16"/>
  <c r="P25" i="16"/>
  <c r="K25" i="16"/>
  <c r="I25" i="16"/>
  <c r="H25" i="16"/>
  <c r="G25" i="16"/>
  <c r="B25" i="16"/>
  <c r="W24" i="16"/>
  <c r="V24" i="16"/>
  <c r="U24" i="16"/>
  <c r="T24" i="16"/>
  <c r="R24" i="16"/>
  <c r="Q24" i="16"/>
  <c r="K24" i="16"/>
  <c r="I24" i="16"/>
  <c r="H24" i="16"/>
  <c r="B24" i="16"/>
  <c r="P24" i="16" s="1"/>
  <c r="W23" i="16"/>
  <c r="V23" i="16"/>
  <c r="U23" i="16"/>
  <c r="T23" i="16"/>
  <c r="R23" i="16"/>
  <c r="Q23" i="16"/>
  <c r="P23" i="16"/>
  <c r="K23" i="16"/>
  <c r="I23" i="16"/>
  <c r="H23" i="16"/>
  <c r="G23" i="16"/>
  <c r="B23" i="16"/>
  <c r="W22" i="16"/>
  <c r="V22" i="16"/>
  <c r="U22" i="16"/>
  <c r="T22" i="16"/>
  <c r="R22" i="16"/>
  <c r="Q22" i="16"/>
  <c r="K22" i="16"/>
  <c r="I22" i="16"/>
  <c r="H22" i="16"/>
  <c r="B22" i="16"/>
  <c r="P22" i="16" s="1"/>
  <c r="W21" i="16"/>
  <c r="V21" i="16"/>
  <c r="U21" i="16"/>
  <c r="T21" i="16"/>
  <c r="R21" i="16"/>
  <c r="Q21" i="16"/>
  <c r="P21" i="16"/>
  <c r="K21" i="16"/>
  <c r="I21" i="16"/>
  <c r="H21" i="16"/>
  <c r="G21" i="16"/>
  <c r="B21" i="16"/>
  <c r="W20" i="16"/>
  <c r="V20" i="16"/>
  <c r="U20" i="16"/>
  <c r="T20" i="16"/>
  <c r="R20" i="16"/>
  <c r="Q20" i="16"/>
  <c r="K20" i="16"/>
  <c r="I20" i="16"/>
  <c r="H20" i="16"/>
  <c r="B20" i="16"/>
  <c r="P20" i="16" s="1"/>
  <c r="W19" i="16"/>
  <c r="V19" i="16"/>
  <c r="U19" i="16"/>
  <c r="T19" i="16"/>
  <c r="R19" i="16"/>
  <c r="Q19" i="16"/>
  <c r="P19" i="16"/>
  <c r="K19" i="16"/>
  <c r="I19" i="16"/>
  <c r="H19" i="16"/>
  <c r="G19" i="16"/>
  <c r="B19" i="16"/>
  <c r="W18" i="16"/>
  <c r="V18" i="16"/>
  <c r="U18" i="16"/>
  <c r="T18" i="16"/>
  <c r="R18" i="16"/>
  <c r="Q18" i="16"/>
  <c r="K18" i="16"/>
  <c r="I18" i="16"/>
  <c r="H18" i="16"/>
  <c r="B18" i="16"/>
  <c r="G18" i="16" s="1"/>
  <c r="W17" i="16"/>
  <c r="V17" i="16"/>
  <c r="U17" i="16"/>
  <c r="T17" i="16"/>
  <c r="R17" i="16"/>
  <c r="Q17" i="16"/>
  <c r="P17" i="16"/>
  <c r="K17" i="16"/>
  <c r="I17" i="16"/>
  <c r="H17" i="16"/>
  <c r="B17" i="16"/>
  <c r="G17" i="16" s="1"/>
  <c r="W16" i="16"/>
  <c r="V16" i="16"/>
  <c r="U16" i="16"/>
  <c r="T16" i="16"/>
  <c r="R16" i="16"/>
  <c r="Q16" i="16"/>
  <c r="K16" i="16"/>
  <c r="I16" i="16"/>
  <c r="H16" i="16"/>
  <c r="B16" i="16"/>
  <c r="G16" i="16" s="1"/>
  <c r="W15" i="16"/>
  <c r="V15" i="16"/>
  <c r="U15" i="16"/>
  <c r="T15" i="16"/>
  <c r="R15" i="16"/>
  <c r="Q15" i="16"/>
  <c r="P15" i="16"/>
  <c r="K15" i="16"/>
  <c r="I15" i="16"/>
  <c r="H15" i="16"/>
  <c r="B15" i="16"/>
  <c r="G15" i="16" s="1"/>
  <c r="W14" i="16"/>
  <c r="V14" i="16"/>
  <c r="U14" i="16"/>
  <c r="T14" i="16"/>
  <c r="R14" i="16"/>
  <c r="Q14" i="16"/>
  <c r="K14" i="16"/>
  <c r="I14" i="16"/>
  <c r="H14" i="16"/>
  <c r="B14" i="16"/>
  <c r="G14" i="16" s="1"/>
  <c r="P11" i="16"/>
  <c r="K11" i="16"/>
  <c r="T11" i="16" s="1"/>
  <c r="I10" i="16"/>
  <c r="R10" i="16" s="1"/>
  <c r="G10" i="16"/>
  <c r="P10" i="16" s="1"/>
  <c r="I9" i="16"/>
  <c r="L13" i="16" s="1"/>
  <c r="G9" i="16"/>
  <c r="P9" i="16" s="1"/>
  <c r="G8" i="16"/>
  <c r="P8" i="16" s="1"/>
  <c r="I7" i="16"/>
  <c r="R7" i="16" s="1"/>
  <c r="W29" i="37"/>
  <c r="V29" i="37"/>
  <c r="U29" i="37"/>
  <c r="T29" i="37"/>
  <c r="R29" i="37"/>
  <c r="Q29" i="37"/>
  <c r="K29" i="37"/>
  <c r="I29" i="37"/>
  <c r="H29" i="37"/>
  <c r="B29" i="37"/>
  <c r="G29" i="37" s="1"/>
  <c r="W28" i="37"/>
  <c r="V28" i="37"/>
  <c r="U28" i="37"/>
  <c r="T28" i="37"/>
  <c r="R28" i="37"/>
  <c r="Q28" i="37"/>
  <c r="K28" i="37"/>
  <c r="I28" i="37"/>
  <c r="H28" i="37"/>
  <c r="B28" i="37"/>
  <c r="P28" i="37" s="1"/>
  <c r="W27" i="37"/>
  <c r="V27" i="37"/>
  <c r="U27" i="37"/>
  <c r="T27" i="37"/>
  <c r="R27" i="37"/>
  <c r="Q27" i="37"/>
  <c r="K27" i="37"/>
  <c r="I27" i="37"/>
  <c r="H27" i="37"/>
  <c r="B27" i="37"/>
  <c r="G27" i="37" s="1"/>
  <c r="W26" i="37"/>
  <c r="V26" i="37"/>
  <c r="U26" i="37"/>
  <c r="T26" i="37"/>
  <c r="R26" i="37"/>
  <c r="Q26" i="37"/>
  <c r="K26" i="37"/>
  <c r="I26" i="37"/>
  <c r="H26" i="37"/>
  <c r="B26" i="37"/>
  <c r="P26" i="37" s="1"/>
  <c r="W25" i="37"/>
  <c r="V25" i="37"/>
  <c r="U25" i="37"/>
  <c r="T25" i="37"/>
  <c r="R25" i="37"/>
  <c r="Q25" i="37"/>
  <c r="K25" i="37"/>
  <c r="I25" i="37"/>
  <c r="H25" i="37"/>
  <c r="B25" i="37"/>
  <c r="G25" i="37" s="1"/>
  <c r="W24" i="37"/>
  <c r="V24" i="37"/>
  <c r="U24" i="37"/>
  <c r="T24" i="37"/>
  <c r="R24" i="37"/>
  <c r="Q24" i="37"/>
  <c r="K24" i="37"/>
  <c r="I24" i="37"/>
  <c r="H24" i="37"/>
  <c r="B24" i="37"/>
  <c r="P24" i="37" s="1"/>
  <c r="W23" i="37"/>
  <c r="V23" i="37"/>
  <c r="U23" i="37"/>
  <c r="T23" i="37"/>
  <c r="R23" i="37"/>
  <c r="Q23" i="37"/>
  <c r="K23" i="37"/>
  <c r="I23" i="37"/>
  <c r="H23" i="37"/>
  <c r="G23" i="37"/>
  <c r="B23" i="37"/>
  <c r="P23" i="37" s="1"/>
  <c r="W22" i="37"/>
  <c r="V22" i="37"/>
  <c r="U22" i="37"/>
  <c r="T22" i="37"/>
  <c r="R22" i="37"/>
  <c r="Q22" i="37"/>
  <c r="K22" i="37"/>
  <c r="I22" i="37"/>
  <c r="H22" i="37"/>
  <c r="B22" i="37"/>
  <c r="P22" i="37" s="1"/>
  <c r="W21" i="37"/>
  <c r="V21" i="37"/>
  <c r="U21" i="37"/>
  <c r="T21" i="37"/>
  <c r="R21" i="37"/>
  <c r="Q21" i="37"/>
  <c r="K21" i="37"/>
  <c r="I21" i="37"/>
  <c r="H21" i="37"/>
  <c r="B21" i="37"/>
  <c r="G21" i="37" s="1"/>
  <c r="W20" i="37"/>
  <c r="V20" i="37"/>
  <c r="U20" i="37"/>
  <c r="T20" i="37"/>
  <c r="R20" i="37"/>
  <c r="Q20" i="37"/>
  <c r="K20" i="37"/>
  <c r="I20" i="37"/>
  <c r="H20" i="37"/>
  <c r="B20" i="37"/>
  <c r="P20" i="37" s="1"/>
  <c r="W19" i="37"/>
  <c r="V19" i="37"/>
  <c r="U19" i="37"/>
  <c r="T19" i="37"/>
  <c r="R19" i="37"/>
  <c r="Q19" i="37"/>
  <c r="K19" i="37"/>
  <c r="I19" i="37"/>
  <c r="H19" i="37"/>
  <c r="B19" i="37"/>
  <c r="G19" i="37" s="1"/>
  <c r="W18" i="37"/>
  <c r="V18" i="37"/>
  <c r="U18" i="37"/>
  <c r="T18" i="37"/>
  <c r="R18" i="37"/>
  <c r="Q18" i="37"/>
  <c r="K18" i="37"/>
  <c r="I18" i="37"/>
  <c r="H18" i="37"/>
  <c r="B18" i="37"/>
  <c r="P18" i="37" s="1"/>
  <c r="W17" i="37"/>
  <c r="V17" i="37"/>
  <c r="U17" i="37"/>
  <c r="T17" i="37"/>
  <c r="R17" i="37"/>
  <c r="Q17" i="37"/>
  <c r="K17" i="37"/>
  <c r="I17" i="37"/>
  <c r="H17" i="37"/>
  <c r="G17" i="37"/>
  <c r="B17" i="37"/>
  <c r="P17" i="37" s="1"/>
  <c r="W16" i="37"/>
  <c r="V16" i="37"/>
  <c r="U16" i="37"/>
  <c r="T16" i="37"/>
  <c r="R16" i="37"/>
  <c r="Q16" i="37"/>
  <c r="K16" i="37"/>
  <c r="I16" i="37"/>
  <c r="H16" i="37"/>
  <c r="B16" i="37"/>
  <c r="P16" i="37" s="1"/>
  <c r="W15" i="37"/>
  <c r="V15" i="37"/>
  <c r="U15" i="37"/>
  <c r="T15" i="37"/>
  <c r="R15" i="37"/>
  <c r="Q15" i="37"/>
  <c r="P15" i="37"/>
  <c r="K15" i="37"/>
  <c r="I15" i="37"/>
  <c r="H15" i="37"/>
  <c r="G15" i="37"/>
  <c r="B15" i="37"/>
  <c r="W14" i="37"/>
  <c r="V14" i="37"/>
  <c r="U14" i="37"/>
  <c r="T14" i="37"/>
  <c r="R14" i="37"/>
  <c r="Q14" i="37"/>
  <c r="K14" i="37"/>
  <c r="I14" i="37"/>
  <c r="H14" i="37"/>
  <c r="B14" i="37"/>
  <c r="P14" i="37" s="1"/>
  <c r="P11" i="37"/>
  <c r="K11" i="37"/>
  <c r="T11" i="37" s="1"/>
  <c r="I10" i="37"/>
  <c r="R10" i="37" s="1"/>
  <c r="G10" i="37"/>
  <c r="P10" i="37" s="1"/>
  <c r="R9" i="37"/>
  <c r="I9" i="37"/>
  <c r="L13" i="37" s="1"/>
  <c r="G9" i="37"/>
  <c r="P9" i="37" s="1"/>
  <c r="G8" i="37"/>
  <c r="P8" i="37" s="1"/>
  <c r="I7" i="37"/>
  <c r="R7" i="37" s="1"/>
  <c r="W29" i="36"/>
  <c r="V29" i="36"/>
  <c r="U29" i="36"/>
  <c r="T29" i="36"/>
  <c r="R29" i="36"/>
  <c r="Q29" i="36"/>
  <c r="K29" i="36"/>
  <c r="I29" i="36"/>
  <c r="H29" i="36"/>
  <c r="B29" i="36"/>
  <c r="G29" i="36" s="1"/>
  <c r="W28" i="36"/>
  <c r="V28" i="36"/>
  <c r="U28" i="36"/>
  <c r="T28" i="36"/>
  <c r="R28" i="36"/>
  <c r="Q28" i="36"/>
  <c r="K28" i="36"/>
  <c r="I28" i="36"/>
  <c r="H28" i="36"/>
  <c r="B28" i="36"/>
  <c r="P28" i="36" s="1"/>
  <c r="W27" i="36"/>
  <c r="V27" i="36"/>
  <c r="U27" i="36"/>
  <c r="T27" i="36"/>
  <c r="R27" i="36"/>
  <c r="Q27" i="36"/>
  <c r="K27" i="36"/>
  <c r="I27" i="36"/>
  <c r="H27" i="36"/>
  <c r="B27" i="36"/>
  <c r="G27" i="36" s="1"/>
  <c r="W26" i="36"/>
  <c r="V26" i="36"/>
  <c r="U26" i="36"/>
  <c r="T26" i="36"/>
  <c r="R26" i="36"/>
  <c r="Q26" i="36"/>
  <c r="K26" i="36"/>
  <c r="I26" i="36"/>
  <c r="H26" i="36"/>
  <c r="B26" i="36"/>
  <c r="P26" i="36" s="1"/>
  <c r="W25" i="36"/>
  <c r="V25" i="36"/>
  <c r="U25" i="36"/>
  <c r="T25" i="36"/>
  <c r="R25" i="36"/>
  <c r="Q25" i="36"/>
  <c r="K25" i="36"/>
  <c r="I25" i="36"/>
  <c r="H25" i="36"/>
  <c r="B25" i="36"/>
  <c r="G25" i="36" s="1"/>
  <c r="W24" i="36"/>
  <c r="V24" i="36"/>
  <c r="U24" i="36"/>
  <c r="T24" i="36"/>
  <c r="R24" i="36"/>
  <c r="Q24" i="36"/>
  <c r="K24" i="36"/>
  <c r="I24" i="36"/>
  <c r="H24" i="36"/>
  <c r="B24" i="36"/>
  <c r="P24" i="36" s="1"/>
  <c r="W23" i="36"/>
  <c r="V23" i="36"/>
  <c r="U23" i="36"/>
  <c r="T23" i="36"/>
  <c r="R23" i="36"/>
  <c r="Q23" i="36"/>
  <c r="K23" i="36"/>
  <c r="I23" i="36"/>
  <c r="H23" i="36"/>
  <c r="B23" i="36"/>
  <c r="G23" i="36" s="1"/>
  <c r="W22" i="36"/>
  <c r="V22" i="36"/>
  <c r="U22" i="36"/>
  <c r="T22" i="36"/>
  <c r="R22" i="36"/>
  <c r="Q22" i="36"/>
  <c r="K22" i="36"/>
  <c r="I22" i="36"/>
  <c r="H22" i="36"/>
  <c r="B22" i="36"/>
  <c r="P22" i="36" s="1"/>
  <c r="W21" i="36"/>
  <c r="V21" i="36"/>
  <c r="U21" i="36"/>
  <c r="T21" i="36"/>
  <c r="R21" i="36"/>
  <c r="Q21" i="36"/>
  <c r="K21" i="36"/>
  <c r="I21" i="36"/>
  <c r="H21" i="36"/>
  <c r="B21" i="36"/>
  <c r="G21" i="36" s="1"/>
  <c r="W20" i="36"/>
  <c r="V20" i="36"/>
  <c r="U20" i="36"/>
  <c r="T20" i="36"/>
  <c r="R20" i="36"/>
  <c r="Q20" i="36"/>
  <c r="K20" i="36"/>
  <c r="I20" i="36"/>
  <c r="H20" i="36"/>
  <c r="B20" i="36"/>
  <c r="P20" i="36" s="1"/>
  <c r="W19" i="36"/>
  <c r="V19" i="36"/>
  <c r="U19" i="36"/>
  <c r="T19" i="36"/>
  <c r="R19" i="36"/>
  <c r="Q19" i="36"/>
  <c r="K19" i="36"/>
  <c r="I19" i="36"/>
  <c r="H19" i="36"/>
  <c r="B19" i="36"/>
  <c r="G19" i="36" s="1"/>
  <c r="W18" i="36"/>
  <c r="V18" i="36"/>
  <c r="U18" i="36"/>
  <c r="T18" i="36"/>
  <c r="R18" i="36"/>
  <c r="Q18" i="36"/>
  <c r="K18" i="36"/>
  <c r="I18" i="36"/>
  <c r="H18" i="36"/>
  <c r="B18" i="36"/>
  <c r="P18" i="36" s="1"/>
  <c r="W17" i="36"/>
  <c r="V17" i="36"/>
  <c r="U17" i="36"/>
  <c r="T17" i="36"/>
  <c r="R17" i="36"/>
  <c r="Q17" i="36"/>
  <c r="K17" i="36"/>
  <c r="I17" i="36"/>
  <c r="H17" i="36"/>
  <c r="B17" i="36"/>
  <c r="G17" i="36" s="1"/>
  <c r="W16" i="36"/>
  <c r="V16" i="36"/>
  <c r="U16" i="36"/>
  <c r="T16" i="36"/>
  <c r="R16" i="36"/>
  <c r="Q16" i="36"/>
  <c r="K16" i="36"/>
  <c r="I16" i="36"/>
  <c r="H16" i="36"/>
  <c r="B16" i="36"/>
  <c r="P16" i="36" s="1"/>
  <c r="W15" i="36"/>
  <c r="V15" i="36"/>
  <c r="U15" i="36"/>
  <c r="T15" i="36"/>
  <c r="R15" i="36"/>
  <c r="Q15" i="36"/>
  <c r="K15" i="36"/>
  <c r="I15" i="36"/>
  <c r="H15" i="36"/>
  <c r="B15" i="36"/>
  <c r="G15" i="36" s="1"/>
  <c r="W14" i="36"/>
  <c r="V14" i="36"/>
  <c r="U14" i="36"/>
  <c r="T14" i="36"/>
  <c r="R14" i="36"/>
  <c r="Q14" i="36"/>
  <c r="K14" i="36"/>
  <c r="I14" i="36"/>
  <c r="H14" i="36"/>
  <c r="B14" i="36"/>
  <c r="P14" i="36" s="1"/>
  <c r="P11" i="36"/>
  <c r="K11" i="36"/>
  <c r="T11" i="36" s="1"/>
  <c r="P10" i="36"/>
  <c r="I10" i="36"/>
  <c r="R10" i="36" s="1"/>
  <c r="G10" i="36"/>
  <c r="I9" i="36"/>
  <c r="L13" i="36" s="1"/>
  <c r="G9" i="36"/>
  <c r="P9" i="36" s="1"/>
  <c r="G8" i="36"/>
  <c r="P8" i="36" s="1"/>
  <c r="I7" i="36"/>
  <c r="R7" i="36" s="1"/>
  <c r="W29" i="35"/>
  <c r="V29" i="35"/>
  <c r="U29" i="35"/>
  <c r="T29" i="35"/>
  <c r="R29" i="35"/>
  <c r="Q29" i="35"/>
  <c r="K29" i="35"/>
  <c r="I29" i="35"/>
  <c r="H29" i="35"/>
  <c r="B29" i="35"/>
  <c r="G29" i="35" s="1"/>
  <c r="W28" i="35"/>
  <c r="V28" i="35"/>
  <c r="U28" i="35"/>
  <c r="T28" i="35"/>
  <c r="R28" i="35"/>
  <c r="Q28" i="35"/>
  <c r="K28" i="35"/>
  <c r="I28" i="35"/>
  <c r="H28" i="35"/>
  <c r="B28" i="35"/>
  <c r="P28" i="35" s="1"/>
  <c r="W27" i="35"/>
  <c r="V27" i="35"/>
  <c r="U27" i="35"/>
  <c r="T27" i="35"/>
  <c r="R27" i="35"/>
  <c r="Q27" i="35"/>
  <c r="K27" i="35"/>
  <c r="I27" i="35"/>
  <c r="H27" i="35"/>
  <c r="B27" i="35"/>
  <c r="G27" i="35" s="1"/>
  <c r="W26" i="35"/>
  <c r="V26" i="35"/>
  <c r="U26" i="35"/>
  <c r="T26" i="35"/>
  <c r="R26" i="35"/>
  <c r="Q26" i="35"/>
  <c r="K26" i="35"/>
  <c r="I26" i="35"/>
  <c r="H26" i="35"/>
  <c r="B26" i="35"/>
  <c r="P26" i="35" s="1"/>
  <c r="W25" i="35"/>
  <c r="V25" i="35"/>
  <c r="U25" i="35"/>
  <c r="T25" i="35"/>
  <c r="R25" i="35"/>
  <c r="Q25" i="35"/>
  <c r="K25" i="35"/>
  <c r="I25" i="35"/>
  <c r="H25" i="35"/>
  <c r="B25" i="35"/>
  <c r="G25" i="35" s="1"/>
  <c r="W24" i="35"/>
  <c r="V24" i="35"/>
  <c r="U24" i="35"/>
  <c r="T24" i="35"/>
  <c r="R24" i="35"/>
  <c r="Q24" i="35"/>
  <c r="K24" i="35"/>
  <c r="I24" i="35"/>
  <c r="H24" i="35"/>
  <c r="B24" i="35"/>
  <c r="P24" i="35" s="1"/>
  <c r="W23" i="35"/>
  <c r="V23" i="35"/>
  <c r="U23" i="35"/>
  <c r="T23" i="35"/>
  <c r="R23" i="35"/>
  <c r="Q23" i="35"/>
  <c r="K23" i="35"/>
  <c r="I23" i="35"/>
  <c r="H23" i="35"/>
  <c r="B23" i="35"/>
  <c r="G23" i="35" s="1"/>
  <c r="W22" i="35"/>
  <c r="V22" i="35"/>
  <c r="U22" i="35"/>
  <c r="T22" i="35"/>
  <c r="R22" i="35"/>
  <c r="Q22" i="35"/>
  <c r="K22" i="35"/>
  <c r="I22" i="35"/>
  <c r="H22" i="35"/>
  <c r="B22" i="35"/>
  <c r="P22" i="35" s="1"/>
  <c r="W21" i="35"/>
  <c r="V21" i="35"/>
  <c r="U21" i="35"/>
  <c r="T21" i="35"/>
  <c r="R21" i="35"/>
  <c r="Q21" i="35"/>
  <c r="K21" i="35"/>
  <c r="I21" i="35"/>
  <c r="H21" i="35"/>
  <c r="B21" i="35"/>
  <c r="G21" i="35" s="1"/>
  <c r="W20" i="35"/>
  <c r="V20" i="35"/>
  <c r="U20" i="35"/>
  <c r="T20" i="35"/>
  <c r="R20" i="35"/>
  <c r="Q20" i="35"/>
  <c r="K20" i="35"/>
  <c r="I20" i="35"/>
  <c r="H20" i="35"/>
  <c r="B20" i="35"/>
  <c r="P20" i="35" s="1"/>
  <c r="W19" i="35"/>
  <c r="V19" i="35"/>
  <c r="U19" i="35"/>
  <c r="T19" i="35"/>
  <c r="R19" i="35"/>
  <c r="Q19" i="35"/>
  <c r="K19" i="35"/>
  <c r="I19" i="35"/>
  <c r="H19" i="35"/>
  <c r="B19" i="35"/>
  <c r="G19" i="35" s="1"/>
  <c r="W18" i="35"/>
  <c r="V18" i="35"/>
  <c r="U18" i="35"/>
  <c r="T18" i="35"/>
  <c r="R18" i="35"/>
  <c r="Q18" i="35"/>
  <c r="K18" i="35"/>
  <c r="I18" i="35"/>
  <c r="H18" i="35"/>
  <c r="B18" i="35"/>
  <c r="P18" i="35" s="1"/>
  <c r="W17" i="35"/>
  <c r="V17" i="35"/>
  <c r="U17" i="35"/>
  <c r="T17" i="35"/>
  <c r="R17" i="35"/>
  <c r="Q17" i="35"/>
  <c r="K17" i="35"/>
  <c r="I17" i="35"/>
  <c r="H17" i="35"/>
  <c r="B17" i="35"/>
  <c r="G17" i="35" s="1"/>
  <c r="W16" i="35"/>
  <c r="V16" i="35"/>
  <c r="U16" i="35"/>
  <c r="T16" i="35"/>
  <c r="R16" i="35"/>
  <c r="Q16" i="35"/>
  <c r="K16" i="35"/>
  <c r="I16" i="35"/>
  <c r="H16" i="35"/>
  <c r="B16" i="35"/>
  <c r="P16" i="35" s="1"/>
  <c r="W15" i="35"/>
  <c r="V15" i="35"/>
  <c r="U15" i="35"/>
  <c r="T15" i="35"/>
  <c r="R15" i="35"/>
  <c r="Q15" i="35"/>
  <c r="K15" i="35"/>
  <c r="I15" i="35"/>
  <c r="H15" i="35"/>
  <c r="B15" i="35"/>
  <c r="G15" i="35" s="1"/>
  <c r="W14" i="35"/>
  <c r="V14" i="35"/>
  <c r="U14" i="35"/>
  <c r="T14" i="35"/>
  <c r="R14" i="35"/>
  <c r="Q14" i="35"/>
  <c r="K14" i="35"/>
  <c r="I14" i="35"/>
  <c r="H14" i="35"/>
  <c r="B14" i="35"/>
  <c r="P14" i="35" s="1"/>
  <c r="P11" i="35"/>
  <c r="K11" i="35"/>
  <c r="T11" i="35" s="1"/>
  <c r="I10" i="35"/>
  <c r="R10" i="35" s="1"/>
  <c r="G10" i="35"/>
  <c r="P10" i="35" s="1"/>
  <c r="I9" i="35"/>
  <c r="L13" i="35" s="1"/>
  <c r="G9" i="35"/>
  <c r="P9" i="35" s="1"/>
  <c r="G8" i="35"/>
  <c r="P8" i="35" s="1"/>
  <c r="I7" i="35"/>
  <c r="R7" i="35" s="1"/>
  <c r="W29" i="34"/>
  <c r="V29" i="34"/>
  <c r="U29" i="34"/>
  <c r="T29" i="34"/>
  <c r="R29" i="34"/>
  <c r="Q29" i="34"/>
  <c r="K29" i="34"/>
  <c r="I29" i="34"/>
  <c r="H29" i="34"/>
  <c r="B29" i="34"/>
  <c r="G29" i="34" s="1"/>
  <c r="W28" i="34"/>
  <c r="V28" i="34"/>
  <c r="U28" i="34"/>
  <c r="T28" i="34"/>
  <c r="R28" i="34"/>
  <c r="Q28" i="34"/>
  <c r="K28" i="34"/>
  <c r="I28" i="34"/>
  <c r="H28" i="34"/>
  <c r="B28" i="34"/>
  <c r="P28" i="34" s="1"/>
  <c r="W27" i="34"/>
  <c r="V27" i="34"/>
  <c r="U27" i="34"/>
  <c r="T27" i="34"/>
  <c r="R27" i="34"/>
  <c r="Q27" i="34"/>
  <c r="K27" i="34"/>
  <c r="I27" i="34"/>
  <c r="H27" i="34"/>
  <c r="G27" i="34"/>
  <c r="B27" i="34"/>
  <c r="P27" i="34" s="1"/>
  <c r="W26" i="34"/>
  <c r="V26" i="34"/>
  <c r="U26" i="34"/>
  <c r="T26" i="34"/>
  <c r="R26" i="34"/>
  <c r="Q26" i="34"/>
  <c r="K26" i="34"/>
  <c r="I26" i="34"/>
  <c r="H26" i="34"/>
  <c r="B26" i="34"/>
  <c r="P26" i="34" s="1"/>
  <c r="W25" i="34"/>
  <c r="V25" i="34"/>
  <c r="U25" i="34"/>
  <c r="T25" i="34"/>
  <c r="R25" i="34"/>
  <c r="Q25" i="34"/>
  <c r="K25" i="34"/>
  <c r="I25" i="34"/>
  <c r="H25" i="34"/>
  <c r="G25" i="34"/>
  <c r="B25" i="34"/>
  <c r="P25" i="34" s="1"/>
  <c r="W24" i="34"/>
  <c r="V24" i="34"/>
  <c r="U24" i="34"/>
  <c r="T24" i="34"/>
  <c r="R24" i="34"/>
  <c r="Q24" i="34"/>
  <c r="K24" i="34"/>
  <c r="I24" i="34"/>
  <c r="H24" i="34"/>
  <c r="B24" i="34"/>
  <c r="P24" i="34" s="1"/>
  <c r="W23" i="34"/>
  <c r="V23" i="34"/>
  <c r="U23" i="34"/>
  <c r="T23" i="34"/>
  <c r="R23" i="34"/>
  <c r="Q23" i="34"/>
  <c r="K23" i="34"/>
  <c r="I23" i="34"/>
  <c r="H23" i="34"/>
  <c r="G23" i="34"/>
  <c r="B23" i="34"/>
  <c r="P23" i="34" s="1"/>
  <c r="W22" i="34"/>
  <c r="V22" i="34"/>
  <c r="U22" i="34"/>
  <c r="T22" i="34"/>
  <c r="R22" i="34"/>
  <c r="Q22" i="34"/>
  <c r="K22" i="34"/>
  <c r="I22" i="34"/>
  <c r="H22" i="34"/>
  <c r="B22" i="34"/>
  <c r="P22" i="34" s="1"/>
  <c r="W21" i="34"/>
  <c r="V21" i="34"/>
  <c r="U21" i="34"/>
  <c r="T21" i="34"/>
  <c r="R21" i="34"/>
  <c r="Q21" i="34"/>
  <c r="K21" i="34"/>
  <c r="I21" i="34"/>
  <c r="H21" i="34"/>
  <c r="G21" i="34"/>
  <c r="B21" i="34"/>
  <c r="P21" i="34" s="1"/>
  <c r="W20" i="34"/>
  <c r="V20" i="34"/>
  <c r="U20" i="34"/>
  <c r="T20" i="34"/>
  <c r="R20" i="34"/>
  <c r="Q20" i="34"/>
  <c r="K20" i="34"/>
  <c r="I20" i="34"/>
  <c r="H20" i="34"/>
  <c r="B20" i="34"/>
  <c r="P20" i="34" s="1"/>
  <c r="W19" i="34"/>
  <c r="V19" i="34"/>
  <c r="U19" i="34"/>
  <c r="T19" i="34"/>
  <c r="R19" i="34"/>
  <c r="Q19" i="34"/>
  <c r="K19" i="34"/>
  <c r="I19" i="34"/>
  <c r="H19" i="34"/>
  <c r="G19" i="34"/>
  <c r="B19" i="34"/>
  <c r="P19" i="34" s="1"/>
  <c r="W18" i="34"/>
  <c r="V18" i="34"/>
  <c r="U18" i="34"/>
  <c r="T18" i="34"/>
  <c r="R18" i="34"/>
  <c r="Q18" i="34"/>
  <c r="K18" i="34"/>
  <c r="I18" i="34"/>
  <c r="H18" i="34"/>
  <c r="B18" i="34"/>
  <c r="P18" i="34" s="1"/>
  <c r="W17" i="34"/>
  <c r="V17" i="34"/>
  <c r="U17" i="34"/>
  <c r="T17" i="34"/>
  <c r="R17" i="34"/>
  <c r="Q17" i="34"/>
  <c r="K17" i="34"/>
  <c r="I17" i="34"/>
  <c r="H17" i="34"/>
  <c r="G17" i="34"/>
  <c r="B17" i="34"/>
  <c r="P17" i="34" s="1"/>
  <c r="W16" i="34"/>
  <c r="V16" i="34"/>
  <c r="U16" i="34"/>
  <c r="T16" i="34"/>
  <c r="R16" i="34"/>
  <c r="Q16" i="34"/>
  <c r="K16" i="34"/>
  <c r="I16" i="34"/>
  <c r="H16" i="34"/>
  <c r="B16" i="34"/>
  <c r="P16" i="34" s="1"/>
  <c r="W15" i="34"/>
  <c r="V15" i="34"/>
  <c r="U15" i="34"/>
  <c r="T15" i="34"/>
  <c r="R15" i="34"/>
  <c r="Q15" i="34"/>
  <c r="K15" i="34"/>
  <c r="I15" i="34"/>
  <c r="H15" i="34"/>
  <c r="G15" i="34"/>
  <c r="B15" i="34"/>
  <c r="P15" i="34" s="1"/>
  <c r="W14" i="34"/>
  <c r="V14" i="34"/>
  <c r="U14" i="34"/>
  <c r="T14" i="34"/>
  <c r="R14" i="34"/>
  <c r="Q14" i="34"/>
  <c r="K14" i="34"/>
  <c r="I14" i="34"/>
  <c r="H14" i="34"/>
  <c r="B14" i="34"/>
  <c r="P14" i="34" s="1"/>
  <c r="P11" i="34"/>
  <c r="K11" i="34"/>
  <c r="T11" i="34" s="1"/>
  <c r="I10" i="34"/>
  <c r="R10" i="34" s="1"/>
  <c r="G10" i="34"/>
  <c r="P10" i="34" s="1"/>
  <c r="I9" i="34"/>
  <c r="L13" i="34" s="1"/>
  <c r="G9" i="34"/>
  <c r="P9" i="34" s="1"/>
  <c r="G8" i="34"/>
  <c r="P8" i="34" s="1"/>
  <c r="I7" i="34"/>
  <c r="R7" i="34" s="1"/>
  <c r="W29" i="11"/>
  <c r="V29" i="11"/>
  <c r="U29" i="11"/>
  <c r="T29" i="11"/>
  <c r="R29" i="11"/>
  <c r="Q29" i="11"/>
  <c r="K29" i="11"/>
  <c r="I29" i="11"/>
  <c r="H29" i="11"/>
  <c r="B29" i="11"/>
  <c r="G29" i="11" s="1"/>
  <c r="W28" i="11"/>
  <c r="V28" i="11"/>
  <c r="U28" i="11"/>
  <c r="T28" i="11"/>
  <c r="R28" i="11"/>
  <c r="Q28" i="11"/>
  <c r="K28" i="11"/>
  <c r="I28" i="11"/>
  <c r="H28" i="11"/>
  <c r="B28" i="11"/>
  <c r="P28" i="11" s="1"/>
  <c r="W27" i="11"/>
  <c r="V27" i="11"/>
  <c r="U27" i="11"/>
  <c r="T27" i="11"/>
  <c r="R27" i="11"/>
  <c r="Q27" i="11"/>
  <c r="K27" i="11"/>
  <c r="I27" i="11"/>
  <c r="H27" i="11"/>
  <c r="B27" i="11"/>
  <c r="G27" i="11" s="1"/>
  <c r="W26" i="11"/>
  <c r="V26" i="11"/>
  <c r="U26" i="11"/>
  <c r="T26" i="11"/>
  <c r="R26" i="11"/>
  <c r="Q26" i="11"/>
  <c r="K26" i="11"/>
  <c r="I26" i="11"/>
  <c r="H26" i="11"/>
  <c r="B26" i="11"/>
  <c r="P26" i="11" s="1"/>
  <c r="W25" i="11"/>
  <c r="V25" i="11"/>
  <c r="U25" i="11"/>
  <c r="T25" i="11"/>
  <c r="R25" i="11"/>
  <c r="Q25" i="11"/>
  <c r="K25" i="11"/>
  <c r="I25" i="11"/>
  <c r="H25" i="11"/>
  <c r="B25" i="11"/>
  <c r="G25" i="11" s="1"/>
  <c r="W24" i="11"/>
  <c r="V24" i="11"/>
  <c r="U24" i="11"/>
  <c r="T24" i="11"/>
  <c r="R24" i="11"/>
  <c r="Q24" i="11"/>
  <c r="K24" i="11"/>
  <c r="I24" i="11"/>
  <c r="H24" i="11"/>
  <c r="B24" i="11"/>
  <c r="P24" i="11" s="1"/>
  <c r="W23" i="11"/>
  <c r="V23" i="11"/>
  <c r="U23" i="11"/>
  <c r="T23" i="11"/>
  <c r="R23" i="11"/>
  <c r="Q23" i="11"/>
  <c r="K23" i="11"/>
  <c r="I23" i="11"/>
  <c r="H23" i="11"/>
  <c r="B23" i="11"/>
  <c r="G23" i="11" s="1"/>
  <c r="W22" i="11"/>
  <c r="V22" i="11"/>
  <c r="U22" i="11"/>
  <c r="T22" i="11"/>
  <c r="R22" i="11"/>
  <c r="Q22" i="11"/>
  <c r="K22" i="11"/>
  <c r="I22" i="11"/>
  <c r="H22" i="11"/>
  <c r="B22" i="11"/>
  <c r="P22" i="11" s="1"/>
  <c r="W21" i="11"/>
  <c r="V21" i="11"/>
  <c r="U21" i="11"/>
  <c r="T21" i="11"/>
  <c r="R21" i="11"/>
  <c r="Q21" i="11"/>
  <c r="K21" i="11"/>
  <c r="I21" i="11"/>
  <c r="H21" i="11"/>
  <c r="B21" i="11"/>
  <c r="G21" i="11" s="1"/>
  <c r="W20" i="11"/>
  <c r="V20" i="11"/>
  <c r="U20" i="11"/>
  <c r="T20" i="11"/>
  <c r="R20" i="11"/>
  <c r="Q20" i="11"/>
  <c r="K20" i="11"/>
  <c r="I20" i="11"/>
  <c r="H20" i="11"/>
  <c r="B20" i="11"/>
  <c r="P20" i="11" s="1"/>
  <c r="W19" i="11"/>
  <c r="V19" i="11"/>
  <c r="U19" i="11"/>
  <c r="T19" i="11"/>
  <c r="R19" i="11"/>
  <c r="Q19" i="11"/>
  <c r="K19" i="11"/>
  <c r="I19" i="11"/>
  <c r="H19" i="11"/>
  <c r="B19" i="11"/>
  <c r="G19" i="11" s="1"/>
  <c r="W18" i="11"/>
  <c r="V18" i="11"/>
  <c r="U18" i="11"/>
  <c r="T18" i="11"/>
  <c r="R18" i="11"/>
  <c r="Q18" i="11"/>
  <c r="K18" i="11"/>
  <c r="I18" i="11"/>
  <c r="H18" i="11"/>
  <c r="B18" i="11"/>
  <c r="P18" i="11" s="1"/>
  <c r="W17" i="11"/>
  <c r="V17" i="11"/>
  <c r="U17" i="11"/>
  <c r="T17" i="11"/>
  <c r="R17" i="11"/>
  <c r="Q17" i="11"/>
  <c r="K17" i="11"/>
  <c r="I17" i="11"/>
  <c r="H17" i="11"/>
  <c r="B17" i="11"/>
  <c r="G17" i="11" s="1"/>
  <c r="W16" i="11"/>
  <c r="V16" i="11"/>
  <c r="U16" i="11"/>
  <c r="T16" i="11"/>
  <c r="R16" i="11"/>
  <c r="Q16" i="11"/>
  <c r="K16" i="11"/>
  <c r="I16" i="11"/>
  <c r="H16" i="11"/>
  <c r="B16" i="11"/>
  <c r="P16" i="11" s="1"/>
  <c r="W15" i="11"/>
  <c r="V15" i="11"/>
  <c r="U15" i="11"/>
  <c r="T15" i="11"/>
  <c r="R15" i="11"/>
  <c r="Q15" i="11"/>
  <c r="K15" i="11"/>
  <c r="I15" i="11"/>
  <c r="H15" i="11"/>
  <c r="B15" i="11"/>
  <c r="G15" i="11" s="1"/>
  <c r="W14" i="11"/>
  <c r="V14" i="11"/>
  <c r="U14" i="11"/>
  <c r="T14" i="11"/>
  <c r="R14" i="11"/>
  <c r="Q14" i="11"/>
  <c r="K14" i="11"/>
  <c r="I14" i="11"/>
  <c r="H14" i="11"/>
  <c r="B14" i="11"/>
  <c r="P14" i="11" s="1"/>
  <c r="L13" i="11"/>
  <c r="P11" i="11"/>
  <c r="K11" i="11"/>
  <c r="T11" i="11" s="1"/>
  <c r="I10" i="11"/>
  <c r="R10" i="11" s="1"/>
  <c r="G10" i="11"/>
  <c r="P10" i="11" s="1"/>
  <c r="R9" i="11"/>
  <c r="I9" i="11"/>
  <c r="G9" i="11"/>
  <c r="P9" i="11" s="1"/>
  <c r="G8" i="11"/>
  <c r="P8" i="11" s="1"/>
  <c r="I7" i="11"/>
  <c r="R7" i="11" s="1"/>
  <c r="W29" i="10"/>
  <c r="V29" i="10"/>
  <c r="U29" i="10"/>
  <c r="T29" i="10"/>
  <c r="R29" i="10"/>
  <c r="Q29" i="10"/>
  <c r="K29" i="10"/>
  <c r="I29" i="10"/>
  <c r="H29" i="10"/>
  <c r="B29" i="10"/>
  <c r="G29" i="10" s="1"/>
  <c r="W28" i="10"/>
  <c r="V28" i="10"/>
  <c r="U28" i="10"/>
  <c r="T28" i="10"/>
  <c r="R28" i="10"/>
  <c r="Q28" i="10"/>
  <c r="K28" i="10"/>
  <c r="I28" i="10"/>
  <c r="H28" i="10"/>
  <c r="B28" i="10"/>
  <c r="P28" i="10" s="1"/>
  <c r="W27" i="10"/>
  <c r="V27" i="10"/>
  <c r="U27" i="10"/>
  <c r="T27" i="10"/>
  <c r="R27" i="10"/>
  <c r="Q27" i="10"/>
  <c r="K27" i="10"/>
  <c r="I27" i="10"/>
  <c r="H27" i="10"/>
  <c r="B27" i="10"/>
  <c r="G27" i="10" s="1"/>
  <c r="W26" i="10"/>
  <c r="V26" i="10"/>
  <c r="U26" i="10"/>
  <c r="T26" i="10"/>
  <c r="R26" i="10"/>
  <c r="Q26" i="10"/>
  <c r="K26" i="10"/>
  <c r="I26" i="10"/>
  <c r="H26" i="10"/>
  <c r="B26" i="10"/>
  <c r="P26" i="10" s="1"/>
  <c r="W25" i="10"/>
  <c r="V25" i="10"/>
  <c r="U25" i="10"/>
  <c r="T25" i="10"/>
  <c r="R25" i="10"/>
  <c r="Q25" i="10"/>
  <c r="K25" i="10"/>
  <c r="I25" i="10"/>
  <c r="H25" i="10"/>
  <c r="B25" i="10"/>
  <c r="G25" i="10" s="1"/>
  <c r="W24" i="10"/>
  <c r="V24" i="10"/>
  <c r="U24" i="10"/>
  <c r="T24" i="10"/>
  <c r="R24" i="10"/>
  <c r="Q24" i="10"/>
  <c r="K24" i="10"/>
  <c r="I24" i="10"/>
  <c r="H24" i="10"/>
  <c r="B24" i="10"/>
  <c r="P24" i="10" s="1"/>
  <c r="W23" i="10"/>
  <c r="V23" i="10"/>
  <c r="U23" i="10"/>
  <c r="T23" i="10"/>
  <c r="R23" i="10"/>
  <c r="Q23" i="10"/>
  <c r="K23" i="10"/>
  <c r="I23" i="10"/>
  <c r="H23" i="10"/>
  <c r="B23" i="10"/>
  <c r="G23" i="10" s="1"/>
  <c r="W22" i="10"/>
  <c r="V22" i="10"/>
  <c r="U22" i="10"/>
  <c r="T22" i="10"/>
  <c r="R22" i="10"/>
  <c r="Q22" i="10"/>
  <c r="K22" i="10"/>
  <c r="I22" i="10"/>
  <c r="H22" i="10"/>
  <c r="B22" i="10"/>
  <c r="P22" i="10" s="1"/>
  <c r="W21" i="10"/>
  <c r="V21" i="10"/>
  <c r="U21" i="10"/>
  <c r="T21" i="10"/>
  <c r="R21" i="10"/>
  <c r="Q21" i="10"/>
  <c r="K21" i="10"/>
  <c r="I21" i="10"/>
  <c r="H21" i="10"/>
  <c r="B21" i="10"/>
  <c r="G21" i="10" s="1"/>
  <c r="W20" i="10"/>
  <c r="V20" i="10"/>
  <c r="U20" i="10"/>
  <c r="T20" i="10"/>
  <c r="R20" i="10"/>
  <c r="Q20" i="10"/>
  <c r="K20" i="10"/>
  <c r="I20" i="10"/>
  <c r="H20" i="10"/>
  <c r="B20" i="10"/>
  <c r="P20" i="10" s="1"/>
  <c r="W19" i="10"/>
  <c r="V19" i="10"/>
  <c r="U19" i="10"/>
  <c r="T19" i="10"/>
  <c r="R19" i="10"/>
  <c r="Q19" i="10"/>
  <c r="K19" i="10"/>
  <c r="I19" i="10"/>
  <c r="H19" i="10"/>
  <c r="B19" i="10"/>
  <c r="G19" i="10" s="1"/>
  <c r="W18" i="10"/>
  <c r="V18" i="10"/>
  <c r="U18" i="10"/>
  <c r="T18" i="10"/>
  <c r="R18" i="10"/>
  <c r="Q18" i="10"/>
  <c r="K18" i="10"/>
  <c r="I18" i="10"/>
  <c r="H18" i="10"/>
  <c r="B18" i="10"/>
  <c r="P18" i="10" s="1"/>
  <c r="W17" i="10"/>
  <c r="V17" i="10"/>
  <c r="U17" i="10"/>
  <c r="T17" i="10"/>
  <c r="R17" i="10"/>
  <c r="Q17" i="10"/>
  <c r="K17" i="10"/>
  <c r="I17" i="10"/>
  <c r="H17" i="10"/>
  <c r="B17" i="10"/>
  <c r="G17" i="10" s="1"/>
  <c r="W16" i="10"/>
  <c r="V16" i="10"/>
  <c r="U16" i="10"/>
  <c r="T16" i="10"/>
  <c r="R16" i="10"/>
  <c r="Q16" i="10"/>
  <c r="K16" i="10"/>
  <c r="I16" i="10"/>
  <c r="H16" i="10"/>
  <c r="B16" i="10"/>
  <c r="P16" i="10" s="1"/>
  <c r="W15" i="10"/>
  <c r="V15" i="10"/>
  <c r="U15" i="10"/>
  <c r="T15" i="10"/>
  <c r="R15" i="10"/>
  <c r="Q15" i="10"/>
  <c r="K15" i="10"/>
  <c r="I15" i="10"/>
  <c r="H15" i="10"/>
  <c r="B15" i="10"/>
  <c r="G15" i="10" s="1"/>
  <c r="W14" i="10"/>
  <c r="V14" i="10"/>
  <c r="U14" i="10"/>
  <c r="T14" i="10"/>
  <c r="R14" i="10"/>
  <c r="Q14" i="10"/>
  <c r="K14" i="10"/>
  <c r="I14" i="10"/>
  <c r="H14" i="10"/>
  <c r="B14" i="10"/>
  <c r="P14" i="10" s="1"/>
  <c r="P11" i="10"/>
  <c r="K11" i="10"/>
  <c r="T11" i="10" s="1"/>
  <c r="I10" i="10"/>
  <c r="R10" i="10" s="1"/>
  <c r="G10" i="10"/>
  <c r="P10" i="10" s="1"/>
  <c r="I9" i="10"/>
  <c r="L13" i="10" s="1"/>
  <c r="G9" i="10"/>
  <c r="P9" i="10" s="1"/>
  <c r="G8" i="10"/>
  <c r="P8" i="10" s="1"/>
  <c r="I7" i="10"/>
  <c r="R7" i="10" s="1"/>
  <c r="W29" i="9"/>
  <c r="V29" i="9"/>
  <c r="U29" i="9"/>
  <c r="T29" i="9"/>
  <c r="R29" i="9"/>
  <c r="Q29" i="9"/>
  <c r="K29" i="9"/>
  <c r="I29" i="9"/>
  <c r="H29" i="9"/>
  <c r="B29" i="9"/>
  <c r="G29" i="9" s="1"/>
  <c r="W28" i="9"/>
  <c r="V28" i="9"/>
  <c r="U28" i="9"/>
  <c r="T28" i="9"/>
  <c r="R28" i="9"/>
  <c r="Q28" i="9"/>
  <c r="K28" i="9"/>
  <c r="I28" i="9"/>
  <c r="H28" i="9"/>
  <c r="B28" i="9"/>
  <c r="P28" i="9" s="1"/>
  <c r="W27" i="9"/>
  <c r="V27" i="9"/>
  <c r="U27" i="9"/>
  <c r="T27" i="9"/>
  <c r="R27" i="9"/>
  <c r="Q27" i="9"/>
  <c r="K27" i="9"/>
  <c r="I27" i="9"/>
  <c r="H27" i="9"/>
  <c r="G27" i="9"/>
  <c r="B27" i="9"/>
  <c r="P27" i="9" s="1"/>
  <c r="W26" i="9"/>
  <c r="V26" i="9"/>
  <c r="U26" i="9"/>
  <c r="T26" i="9"/>
  <c r="R26" i="9"/>
  <c r="Q26" i="9"/>
  <c r="K26" i="9"/>
  <c r="I26" i="9"/>
  <c r="H26" i="9"/>
  <c r="B26" i="9"/>
  <c r="P26" i="9" s="1"/>
  <c r="W25" i="9"/>
  <c r="V25" i="9"/>
  <c r="U25" i="9"/>
  <c r="T25" i="9"/>
  <c r="R25" i="9"/>
  <c r="Q25" i="9"/>
  <c r="K25" i="9"/>
  <c r="I25" i="9"/>
  <c r="H25" i="9"/>
  <c r="G25" i="9"/>
  <c r="B25" i="9"/>
  <c r="P25" i="9" s="1"/>
  <c r="W24" i="9"/>
  <c r="V24" i="9"/>
  <c r="U24" i="9"/>
  <c r="T24" i="9"/>
  <c r="R24" i="9"/>
  <c r="Q24" i="9"/>
  <c r="K24" i="9"/>
  <c r="I24" i="9"/>
  <c r="H24" i="9"/>
  <c r="B24" i="9"/>
  <c r="P24" i="9" s="1"/>
  <c r="W23" i="9"/>
  <c r="V23" i="9"/>
  <c r="U23" i="9"/>
  <c r="T23" i="9"/>
  <c r="R23" i="9"/>
  <c r="Q23" i="9"/>
  <c r="K23" i="9"/>
  <c r="I23" i="9"/>
  <c r="H23" i="9"/>
  <c r="G23" i="9"/>
  <c r="B23" i="9"/>
  <c r="P23" i="9" s="1"/>
  <c r="W22" i="9"/>
  <c r="V22" i="9"/>
  <c r="U22" i="9"/>
  <c r="T22" i="9"/>
  <c r="R22" i="9"/>
  <c r="Q22" i="9"/>
  <c r="K22" i="9"/>
  <c r="I22" i="9"/>
  <c r="H22" i="9"/>
  <c r="B22" i="9"/>
  <c r="P22" i="9" s="1"/>
  <c r="W21" i="9"/>
  <c r="V21" i="9"/>
  <c r="U21" i="9"/>
  <c r="T21" i="9"/>
  <c r="R21" i="9"/>
  <c r="Q21" i="9"/>
  <c r="K21" i="9"/>
  <c r="I21" i="9"/>
  <c r="H21" i="9"/>
  <c r="G21" i="9"/>
  <c r="B21" i="9"/>
  <c r="P21" i="9" s="1"/>
  <c r="W20" i="9"/>
  <c r="V20" i="9"/>
  <c r="U20" i="9"/>
  <c r="T20" i="9"/>
  <c r="R20" i="9"/>
  <c r="Q20" i="9"/>
  <c r="K20" i="9"/>
  <c r="I20" i="9"/>
  <c r="H20" i="9"/>
  <c r="B20" i="9"/>
  <c r="P20" i="9" s="1"/>
  <c r="W19" i="9"/>
  <c r="V19" i="9"/>
  <c r="U19" i="9"/>
  <c r="T19" i="9"/>
  <c r="R19" i="9"/>
  <c r="Q19" i="9"/>
  <c r="K19" i="9"/>
  <c r="I19" i="9"/>
  <c r="H19" i="9"/>
  <c r="G19" i="9"/>
  <c r="B19" i="9"/>
  <c r="P19" i="9" s="1"/>
  <c r="W18" i="9"/>
  <c r="V18" i="9"/>
  <c r="U18" i="9"/>
  <c r="T18" i="9"/>
  <c r="R18" i="9"/>
  <c r="Q18" i="9"/>
  <c r="K18" i="9"/>
  <c r="I18" i="9"/>
  <c r="H18" i="9"/>
  <c r="B18" i="9"/>
  <c r="P18" i="9" s="1"/>
  <c r="W17" i="9"/>
  <c r="V17" i="9"/>
  <c r="U17" i="9"/>
  <c r="T17" i="9"/>
  <c r="R17" i="9"/>
  <c r="Q17" i="9"/>
  <c r="K17" i="9"/>
  <c r="I17" i="9"/>
  <c r="H17" i="9"/>
  <c r="G17" i="9"/>
  <c r="B17" i="9"/>
  <c r="P17" i="9" s="1"/>
  <c r="W16" i="9"/>
  <c r="V16" i="9"/>
  <c r="U16" i="9"/>
  <c r="T16" i="9"/>
  <c r="R16" i="9"/>
  <c r="Q16" i="9"/>
  <c r="K16" i="9"/>
  <c r="I16" i="9"/>
  <c r="H16" i="9"/>
  <c r="B16" i="9"/>
  <c r="P16" i="9" s="1"/>
  <c r="W15" i="9"/>
  <c r="V15" i="9"/>
  <c r="U15" i="9"/>
  <c r="T15" i="9"/>
  <c r="R15" i="9"/>
  <c r="Q15" i="9"/>
  <c r="K15" i="9"/>
  <c r="I15" i="9"/>
  <c r="H15" i="9"/>
  <c r="G15" i="9"/>
  <c r="B15" i="9"/>
  <c r="P15" i="9" s="1"/>
  <c r="W14" i="9"/>
  <c r="V14" i="9"/>
  <c r="U14" i="9"/>
  <c r="T14" i="9"/>
  <c r="R14" i="9"/>
  <c r="Q14" i="9"/>
  <c r="K14" i="9"/>
  <c r="I14" i="9"/>
  <c r="H14" i="9"/>
  <c r="B14" i="9"/>
  <c r="P14" i="9" s="1"/>
  <c r="P11" i="9"/>
  <c r="K11" i="9"/>
  <c r="T11" i="9" s="1"/>
  <c r="P10" i="9"/>
  <c r="I10" i="9"/>
  <c r="R10" i="9" s="1"/>
  <c r="G10" i="9"/>
  <c r="I9" i="9"/>
  <c r="L13" i="9" s="1"/>
  <c r="G9" i="9"/>
  <c r="P9" i="9" s="1"/>
  <c r="G8" i="9"/>
  <c r="P8" i="9" s="1"/>
  <c r="I7" i="9"/>
  <c r="R7" i="9" s="1"/>
  <c r="W29" i="8"/>
  <c r="V29" i="8"/>
  <c r="U29" i="8"/>
  <c r="T29" i="8"/>
  <c r="R29" i="8"/>
  <c r="Q29" i="8"/>
  <c r="K29" i="8"/>
  <c r="I29" i="8"/>
  <c r="H29" i="8"/>
  <c r="B29" i="8"/>
  <c r="G29" i="8" s="1"/>
  <c r="W28" i="8"/>
  <c r="V28" i="8"/>
  <c r="U28" i="8"/>
  <c r="T28" i="8"/>
  <c r="R28" i="8"/>
  <c r="Q28" i="8"/>
  <c r="K28" i="8"/>
  <c r="I28" i="8"/>
  <c r="H28" i="8"/>
  <c r="B28" i="8"/>
  <c r="P28" i="8" s="1"/>
  <c r="W27" i="8"/>
  <c r="V27" i="8"/>
  <c r="U27" i="8"/>
  <c r="T27" i="8"/>
  <c r="R27" i="8"/>
  <c r="Q27" i="8"/>
  <c r="K27" i="8"/>
  <c r="I27" i="8"/>
  <c r="H27" i="8"/>
  <c r="B27" i="8"/>
  <c r="G27" i="8" s="1"/>
  <c r="W26" i="8"/>
  <c r="V26" i="8"/>
  <c r="U26" i="8"/>
  <c r="T26" i="8"/>
  <c r="R26" i="8"/>
  <c r="Q26" i="8"/>
  <c r="K26" i="8"/>
  <c r="I26" i="8"/>
  <c r="H26" i="8"/>
  <c r="B26" i="8"/>
  <c r="P26" i="8" s="1"/>
  <c r="W25" i="8"/>
  <c r="V25" i="8"/>
  <c r="U25" i="8"/>
  <c r="T25" i="8"/>
  <c r="R25" i="8"/>
  <c r="Q25" i="8"/>
  <c r="K25" i="8"/>
  <c r="I25" i="8"/>
  <c r="H25" i="8"/>
  <c r="B25" i="8"/>
  <c r="G25" i="8" s="1"/>
  <c r="W24" i="8"/>
  <c r="V24" i="8"/>
  <c r="U24" i="8"/>
  <c r="T24" i="8"/>
  <c r="R24" i="8"/>
  <c r="Q24" i="8"/>
  <c r="K24" i="8"/>
  <c r="I24" i="8"/>
  <c r="H24" i="8"/>
  <c r="B24" i="8"/>
  <c r="P24" i="8" s="1"/>
  <c r="W23" i="8"/>
  <c r="V23" i="8"/>
  <c r="U23" i="8"/>
  <c r="T23" i="8"/>
  <c r="R23" i="8"/>
  <c r="Q23" i="8"/>
  <c r="K23" i="8"/>
  <c r="I23" i="8"/>
  <c r="H23" i="8"/>
  <c r="B23" i="8"/>
  <c r="G23" i="8" s="1"/>
  <c r="W22" i="8"/>
  <c r="V22" i="8"/>
  <c r="U22" i="8"/>
  <c r="T22" i="8"/>
  <c r="R22" i="8"/>
  <c r="Q22" i="8"/>
  <c r="K22" i="8"/>
  <c r="I22" i="8"/>
  <c r="H22" i="8"/>
  <c r="B22" i="8"/>
  <c r="P22" i="8" s="1"/>
  <c r="W21" i="8"/>
  <c r="V21" i="8"/>
  <c r="U21" i="8"/>
  <c r="T21" i="8"/>
  <c r="R21" i="8"/>
  <c r="Q21" i="8"/>
  <c r="K21" i="8"/>
  <c r="I21" i="8"/>
  <c r="H21" i="8"/>
  <c r="B21" i="8"/>
  <c r="G21" i="8" s="1"/>
  <c r="W20" i="8"/>
  <c r="V20" i="8"/>
  <c r="U20" i="8"/>
  <c r="T20" i="8"/>
  <c r="R20" i="8"/>
  <c r="Q20" i="8"/>
  <c r="K20" i="8"/>
  <c r="I20" i="8"/>
  <c r="H20" i="8"/>
  <c r="B20" i="8"/>
  <c r="P20" i="8" s="1"/>
  <c r="W19" i="8"/>
  <c r="V19" i="8"/>
  <c r="U19" i="8"/>
  <c r="T19" i="8"/>
  <c r="R19" i="8"/>
  <c r="Q19" i="8"/>
  <c r="K19" i="8"/>
  <c r="I19" i="8"/>
  <c r="H19" i="8"/>
  <c r="B19" i="8"/>
  <c r="G19" i="8" s="1"/>
  <c r="W18" i="8"/>
  <c r="V18" i="8"/>
  <c r="U18" i="8"/>
  <c r="T18" i="8"/>
  <c r="R18" i="8"/>
  <c r="Q18" i="8"/>
  <c r="K18" i="8"/>
  <c r="I18" i="8"/>
  <c r="H18" i="8"/>
  <c r="B18" i="8"/>
  <c r="P18" i="8" s="1"/>
  <c r="W17" i="8"/>
  <c r="V17" i="8"/>
  <c r="U17" i="8"/>
  <c r="T17" i="8"/>
  <c r="R17" i="8"/>
  <c r="Q17" i="8"/>
  <c r="K17" i="8"/>
  <c r="I17" i="8"/>
  <c r="H17" i="8"/>
  <c r="B17" i="8"/>
  <c r="G17" i="8" s="1"/>
  <c r="W16" i="8"/>
  <c r="V16" i="8"/>
  <c r="U16" i="8"/>
  <c r="T16" i="8"/>
  <c r="R16" i="8"/>
  <c r="Q16" i="8"/>
  <c r="K16" i="8"/>
  <c r="I16" i="8"/>
  <c r="H16" i="8"/>
  <c r="B16" i="8"/>
  <c r="P16" i="8" s="1"/>
  <c r="W15" i="8"/>
  <c r="V15" i="8"/>
  <c r="U15" i="8"/>
  <c r="T15" i="8"/>
  <c r="R15" i="8"/>
  <c r="Q15" i="8"/>
  <c r="K15" i="8"/>
  <c r="I15" i="8"/>
  <c r="H15" i="8"/>
  <c r="B15" i="8"/>
  <c r="G15" i="8" s="1"/>
  <c r="W14" i="8"/>
  <c r="V14" i="8"/>
  <c r="U14" i="8"/>
  <c r="T14" i="8"/>
  <c r="R14" i="8"/>
  <c r="Q14" i="8"/>
  <c r="K14" i="8"/>
  <c r="I14" i="8"/>
  <c r="H14" i="8"/>
  <c r="B14" i="8"/>
  <c r="P14" i="8" s="1"/>
  <c r="P11" i="8"/>
  <c r="K11" i="8"/>
  <c r="T11" i="8" s="1"/>
  <c r="I10" i="8"/>
  <c r="R10" i="8" s="1"/>
  <c r="G10" i="8"/>
  <c r="P10" i="8" s="1"/>
  <c r="I9" i="8"/>
  <c r="L13" i="8" s="1"/>
  <c r="G9" i="8"/>
  <c r="P9" i="8" s="1"/>
  <c r="G8" i="8"/>
  <c r="P8" i="8" s="1"/>
  <c r="I7" i="8"/>
  <c r="R7" i="8" s="1"/>
  <c r="W29" i="7"/>
  <c r="V29" i="7"/>
  <c r="U29" i="7"/>
  <c r="T29" i="7"/>
  <c r="R29" i="7"/>
  <c r="Q29" i="7"/>
  <c r="K29" i="7"/>
  <c r="I29" i="7"/>
  <c r="H29" i="7"/>
  <c r="G29" i="7"/>
  <c r="B29" i="7"/>
  <c r="P29" i="7" s="1"/>
  <c r="W28" i="7"/>
  <c r="V28" i="7"/>
  <c r="U28" i="7"/>
  <c r="T28" i="7"/>
  <c r="R28" i="7"/>
  <c r="Q28" i="7"/>
  <c r="P28" i="7"/>
  <c r="K28" i="7"/>
  <c r="I28" i="7"/>
  <c r="H28" i="7"/>
  <c r="B28" i="7"/>
  <c r="G28" i="7" s="1"/>
  <c r="W27" i="7"/>
  <c r="V27" i="7"/>
  <c r="U27" i="7"/>
  <c r="T27" i="7"/>
  <c r="R27" i="7"/>
  <c r="Q27" i="7"/>
  <c r="K27" i="7"/>
  <c r="I27" i="7"/>
  <c r="H27" i="7"/>
  <c r="G27" i="7"/>
  <c r="B27" i="7"/>
  <c r="P27" i="7" s="1"/>
  <c r="W26" i="7"/>
  <c r="V26" i="7"/>
  <c r="U26" i="7"/>
  <c r="T26" i="7"/>
  <c r="R26" i="7"/>
  <c r="Q26" i="7"/>
  <c r="P26" i="7"/>
  <c r="K26" i="7"/>
  <c r="I26" i="7"/>
  <c r="H26" i="7"/>
  <c r="G26" i="7"/>
  <c r="B26" i="7"/>
  <c r="W25" i="7"/>
  <c r="V25" i="7"/>
  <c r="U25" i="7"/>
  <c r="T25" i="7"/>
  <c r="R25" i="7"/>
  <c r="Q25" i="7"/>
  <c r="P25" i="7"/>
  <c r="K25" i="7"/>
  <c r="I25" i="7"/>
  <c r="H25" i="7"/>
  <c r="G25" i="7"/>
  <c r="B25" i="7"/>
  <c r="W24" i="7"/>
  <c r="V24" i="7"/>
  <c r="U24" i="7"/>
  <c r="T24" i="7"/>
  <c r="R24" i="7"/>
  <c r="Q24" i="7"/>
  <c r="P24" i="7"/>
  <c r="K24" i="7"/>
  <c r="I24" i="7"/>
  <c r="H24" i="7"/>
  <c r="G24" i="7"/>
  <c r="B24" i="7"/>
  <c r="W23" i="7"/>
  <c r="V23" i="7"/>
  <c r="U23" i="7"/>
  <c r="T23" i="7"/>
  <c r="R23" i="7"/>
  <c r="Q23" i="7"/>
  <c r="P23" i="7"/>
  <c r="K23" i="7"/>
  <c r="I23" i="7"/>
  <c r="H23" i="7"/>
  <c r="G23" i="7"/>
  <c r="B23" i="7"/>
  <c r="W22" i="7"/>
  <c r="V22" i="7"/>
  <c r="U22" i="7"/>
  <c r="T22" i="7"/>
  <c r="R22" i="7"/>
  <c r="Q22" i="7"/>
  <c r="P22" i="7"/>
  <c r="K22" i="7"/>
  <c r="I22" i="7"/>
  <c r="H22" i="7"/>
  <c r="G22" i="7"/>
  <c r="B22" i="7"/>
  <c r="W21" i="7"/>
  <c r="V21" i="7"/>
  <c r="U21" i="7"/>
  <c r="T21" i="7"/>
  <c r="R21" i="7"/>
  <c r="Q21" i="7"/>
  <c r="K21" i="7"/>
  <c r="I21" i="7"/>
  <c r="H21" i="7"/>
  <c r="G21" i="7"/>
  <c r="B21" i="7"/>
  <c r="P21" i="7" s="1"/>
  <c r="W20" i="7"/>
  <c r="V20" i="7"/>
  <c r="U20" i="7"/>
  <c r="T20" i="7"/>
  <c r="R20" i="7"/>
  <c r="Q20" i="7"/>
  <c r="P20" i="7"/>
  <c r="K20" i="7"/>
  <c r="I20" i="7"/>
  <c r="H20" i="7"/>
  <c r="B20" i="7"/>
  <c r="G20" i="7" s="1"/>
  <c r="W19" i="7"/>
  <c r="V19" i="7"/>
  <c r="U19" i="7"/>
  <c r="T19" i="7"/>
  <c r="R19" i="7"/>
  <c r="Q19" i="7"/>
  <c r="K19" i="7"/>
  <c r="I19" i="7"/>
  <c r="H19" i="7"/>
  <c r="G19" i="7"/>
  <c r="B19" i="7"/>
  <c r="P19" i="7" s="1"/>
  <c r="W18" i="7"/>
  <c r="V18" i="7"/>
  <c r="U18" i="7"/>
  <c r="T18" i="7"/>
  <c r="R18" i="7"/>
  <c r="Q18" i="7"/>
  <c r="P18" i="7"/>
  <c r="K18" i="7"/>
  <c r="I18" i="7"/>
  <c r="H18" i="7"/>
  <c r="G18" i="7"/>
  <c r="B18" i="7"/>
  <c r="W17" i="7"/>
  <c r="V17" i="7"/>
  <c r="U17" i="7"/>
  <c r="T17" i="7"/>
  <c r="R17" i="7"/>
  <c r="Q17" i="7"/>
  <c r="K17" i="7"/>
  <c r="I17" i="7"/>
  <c r="H17" i="7"/>
  <c r="G17" i="7"/>
  <c r="B17" i="7"/>
  <c r="P17" i="7" s="1"/>
  <c r="W16" i="7"/>
  <c r="V16" i="7"/>
  <c r="U16" i="7"/>
  <c r="T16" i="7"/>
  <c r="R16" i="7"/>
  <c r="Q16" i="7"/>
  <c r="P16" i="7"/>
  <c r="K16" i="7"/>
  <c r="I16" i="7"/>
  <c r="H16" i="7"/>
  <c r="G16" i="7"/>
  <c r="B16" i="7"/>
  <c r="W15" i="7"/>
  <c r="V15" i="7"/>
  <c r="U15" i="7"/>
  <c r="T15" i="7"/>
  <c r="R15" i="7"/>
  <c r="Q15" i="7"/>
  <c r="P15" i="7"/>
  <c r="K15" i="7"/>
  <c r="I15" i="7"/>
  <c r="H15" i="7"/>
  <c r="G15" i="7"/>
  <c r="B15" i="7"/>
  <c r="W14" i="7"/>
  <c r="V14" i="7"/>
  <c r="U14" i="7"/>
  <c r="T14" i="7"/>
  <c r="R14" i="7"/>
  <c r="Q14" i="7"/>
  <c r="P14" i="7"/>
  <c r="K14" i="7"/>
  <c r="I14" i="7"/>
  <c r="H14" i="7"/>
  <c r="G14" i="7"/>
  <c r="B14" i="7"/>
  <c r="P11" i="7"/>
  <c r="K11" i="7"/>
  <c r="T11" i="7" s="1"/>
  <c r="P10" i="7"/>
  <c r="I10" i="7"/>
  <c r="R10" i="7" s="1"/>
  <c r="G10" i="7"/>
  <c r="I9" i="7"/>
  <c r="L13" i="7" s="1"/>
  <c r="G9" i="7"/>
  <c r="P9" i="7" s="1"/>
  <c r="G8" i="7"/>
  <c r="P8" i="7" s="1"/>
  <c r="I7" i="7"/>
  <c r="R7" i="7" s="1"/>
  <c r="W29" i="6"/>
  <c r="V29" i="6"/>
  <c r="U29" i="6"/>
  <c r="T29" i="6"/>
  <c r="R29" i="6"/>
  <c r="Q29" i="6"/>
  <c r="K29" i="6"/>
  <c r="I29" i="6"/>
  <c r="H29" i="6"/>
  <c r="B29" i="6"/>
  <c r="G29" i="6" s="1"/>
  <c r="W28" i="6"/>
  <c r="V28" i="6"/>
  <c r="U28" i="6"/>
  <c r="T28" i="6"/>
  <c r="R28" i="6"/>
  <c r="Q28" i="6"/>
  <c r="K28" i="6"/>
  <c r="I28" i="6"/>
  <c r="H28" i="6"/>
  <c r="B28" i="6"/>
  <c r="P28" i="6" s="1"/>
  <c r="W27" i="6"/>
  <c r="V27" i="6"/>
  <c r="U27" i="6"/>
  <c r="T27" i="6"/>
  <c r="R27" i="6"/>
  <c r="Q27" i="6"/>
  <c r="K27" i="6"/>
  <c r="I27" i="6"/>
  <c r="H27" i="6"/>
  <c r="B27" i="6"/>
  <c r="G27" i="6" s="1"/>
  <c r="W26" i="6"/>
  <c r="V26" i="6"/>
  <c r="U26" i="6"/>
  <c r="T26" i="6"/>
  <c r="R26" i="6"/>
  <c r="Q26" i="6"/>
  <c r="K26" i="6"/>
  <c r="I26" i="6"/>
  <c r="H26" i="6"/>
  <c r="B26" i="6"/>
  <c r="P26" i="6" s="1"/>
  <c r="W25" i="6"/>
  <c r="V25" i="6"/>
  <c r="U25" i="6"/>
  <c r="T25" i="6"/>
  <c r="R25" i="6"/>
  <c r="Q25" i="6"/>
  <c r="K25" i="6"/>
  <c r="I25" i="6"/>
  <c r="H25" i="6"/>
  <c r="B25" i="6"/>
  <c r="G25" i="6" s="1"/>
  <c r="W24" i="6"/>
  <c r="V24" i="6"/>
  <c r="U24" i="6"/>
  <c r="T24" i="6"/>
  <c r="R24" i="6"/>
  <c r="Q24" i="6"/>
  <c r="K24" i="6"/>
  <c r="I24" i="6"/>
  <c r="H24" i="6"/>
  <c r="B24" i="6"/>
  <c r="P24" i="6" s="1"/>
  <c r="W23" i="6"/>
  <c r="V23" i="6"/>
  <c r="U23" i="6"/>
  <c r="T23" i="6"/>
  <c r="R23" i="6"/>
  <c r="Q23" i="6"/>
  <c r="K23" i="6"/>
  <c r="I23" i="6"/>
  <c r="H23" i="6"/>
  <c r="B23" i="6"/>
  <c r="G23" i="6" s="1"/>
  <c r="W22" i="6"/>
  <c r="V22" i="6"/>
  <c r="U22" i="6"/>
  <c r="T22" i="6"/>
  <c r="R22" i="6"/>
  <c r="Q22" i="6"/>
  <c r="K22" i="6"/>
  <c r="I22" i="6"/>
  <c r="H22" i="6"/>
  <c r="B22" i="6"/>
  <c r="P22" i="6" s="1"/>
  <c r="W21" i="6"/>
  <c r="V21" i="6"/>
  <c r="U21" i="6"/>
  <c r="T21" i="6"/>
  <c r="R21" i="6"/>
  <c r="Q21" i="6"/>
  <c r="K21" i="6"/>
  <c r="I21" i="6"/>
  <c r="H21" i="6"/>
  <c r="B21" i="6"/>
  <c r="G21" i="6" s="1"/>
  <c r="W20" i="6"/>
  <c r="V20" i="6"/>
  <c r="U20" i="6"/>
  <c r="T20" i="6"/>
  <c r="R20" i="6"/>
  <c r="Q20" i="6"/>
  <c r="K20" i="6"/>
  <c r="I20" i="6"/>
  <c r="H20" i="6"/>
  <c r="B20" i="6"/>
  <c r="P20" i="6" s="1"/>
  <c r="W19" i="6"/>
  <c r="V19" i="6"/>
  <c r="U19" i="6"/>
  <c r="T19" i="6"/>
  <c r="R19" i="6"/>
  <c r="Q19" i="6"/>
  <c r="K19" i="6"/>
  <c r="I19" i="6"/>
  <c r="H19" i="6"/>
  <c r="B19" i="6"/>
  <c r="G19" i="6" s="1"/>
  <c r="W18" i="6"/>
  <c r="V18" i="6"/>
  <c r="U18" i="6"/>
  <c r="T18" i="6"/>
  <c r="R18" i="6"/>
  <c r="Q18" i="6"/>
  <c r="K18" i="6"/>
  <c r="I18" i="6"/>
  <c r="H18" i="6"/>
  <c r="B18" i="6"/>
  <c r="P18" i="6" s="1"/>
  <c r="W17" i="6"/>
  <c r="V17" i="6"/>
  <c r="U17" i="6"/>
  <c r="T17" i="6"/>
  <c r="R17" i="6"/>
  <c r="Q17" i="6"/>
  <c r="K17" i="6"/>
  <c r="I17" i="6"/>
  <c r="H17" i="6"/>
  <c r="G17" i="6"/>
  <c r="B17" i="6"/>
  <c r="P17" i="6" s="1"/>
  <c r="W16" i="6"/>
  <c r="V16" i="6"/>
  <c r="U16" i="6"/>
  <c r="T16" i="6"/>
  <c r="R16" i="6"/>
  <c r="Q16" i="6"/>
  <c r="K16" i="6"/>
  <c r="I16" i="6"/>
  <c r="H16" i="6"/>
  <c r="B16" i="6"/>
  <c r="P16" i="6" s="1"/>
  <c r="W15" i="6"/>
  <c r="V15" i="6"/>
  <c r="U15" i="6"/>
  <c r="T15" i="6"/>
  <c r="R15" i="6"/>
  <c r="Q15" i="6"/>
  <c r="K15" i="6"/>
  <c r="I15" i="6"/>
  <c r="H15" i="6"/>
  <c r="G15" i="6"/>
  <c r="B15" i="6"/>
  <c r="P15" i="6" s="1"/>
  <c r="W14" i="6"/>
  <c r="V14" i="6"/>
  <c r="U14" i="6"/>
  <c r="T14" i="6"/>
  <c r="R14" i="6"/>
  <c r="Q14" i="6"/>
  <c r="K14" i="6"/>
  <c r="I14" i="6"/>
  <c r="H14" i="6"/>
  <c r="B14" i="6"/>
  <c r="P14" i="6" s="1"/>
  <c r="P11" i="6"/>
  <c r="K11" i="6"/>
  <c r="T11" i="6" s="1"/>
  <c r="I10" i="6"/>
  <c r="R10" i="6" s="1"/>
  <c r="G10" i="6"/>
  <c r="P10" i="6" s="1"/>
  <c r="I9" i="6"/>
  <c r="L13" i="6" s="1"/>
  <c r="G9" i="6"/>
  <c r="P9" i="6" s="1"/>
  <c r="G8" i="6"/>
  <c r="P8" i="6" s="1"/>
  <c r="I7" i="6"/>
  <c r="R7" i="6" s="1"/>
  <c r="W29" i="5"/>
  <c r="V29" i="5"/>
  <c r="U29" i="5"/>
  <c r="T29" i="5"/>
  <c r="R29" i="5"/>
  <c r="Q29" i="5"/>
  <c r="K29" i="5"/>
  <c r="I29" i="5"/>
  <c r="H29" i="5"/>
  <c r="B29" i="5"/>
  <c r="G29" i="5" s="1"/>
  <c r="W28" i="5"/>
  <c r="V28" i="5"/>
  <c r="U28" i="5"/>
  <c r="T28" i="5"/>
  <c r="R28" i="5"/>
  <c r="Q28" i="5"/>
  <c r="K28" i="5"/>
  <c r="I28" i="5"/>
  <c r="H28" i="5"/>
  <c r="B28" i="5"/>
  <c r="P28" i="5" s="1"/>
  <c r="W27" i="5"/>
  <c r="V27" i="5"/>
  <c r="U27" i="5"/>
  <c r="T27" i="5"/>
  <c r="R27" i="5"/>
  <c r="Q27" i="5"/>
  <c r="K27" i="5"/>
  <c r="I27" i="5"/>
  <c r="H27" i="5"/>
  <c r="B27" i="5"/>
  <c r="G27" i="5" s="1"/>
  <c r="W26" i="5"/>
  <c r="V26" i="5"/>
  <c r="U26" i="5"/>
  <c r="T26" i="5"/>
  <c r="R26" i="5"/>
  <c r="Q26" i="5"/>
  <c r="K26" i="5"/>
  <c r="I26" i="5"/>
  <c r="H26" i="5"/>
  <c r="B26" i="5"/>
  <c r="P26" i="5" s="1"/>
  <c r="W25" i="5"/>
  <c r="V25" i="5"/>
  <c r="U25" i="5"/>
  <c r="T25" i="5"/>
  <c r="R25" i="5"/>
  <c r="Q25" i="5"/>
  <c r="K25" i="5"/>
  <c r="I25" i="5"/>
  <c r="H25" i="5"/>
  <c r="B25" i="5"/>
  <c r="G25" i="5" s="1"/>
  <c r="W24" i="5"/>
  <c r="V24" i="5"/>
  <c r="U24" i="5"/>
  <c r="T24" i="5"/>
  <c r="R24" i="5"/>
  <c r="Q24" i="5"/>
  <c r="K24" i="5"/>
  <c r="I24" i="5"/>
  <c r="H24" i="5"/>
  <c r="B24" i="5"/>
  <c r="P24" i="5" s="1"/>
  <c r="W23" i="5"/>
  <c r="V23" i="5"/>
  <c r="U23" i="5"/>
  <c r="T23" i="5"/>
  <c r="R23" i="5"/>
  <c r="Q23" i="5"/>
  <c r="K23" i="5"/>
  <c r="I23" i="5"/>
  <c r="H23" i="5"/>
  <c r="B23" i="5"/>
  <c r="G23" i="5" s="1"/>
  <c r="W22" i="5"/>
  <c r="V22" i="5"/>
  <c r="U22" i="5"/>
  <c r="T22" i="5"/>
  <c r="R22" i="5"/>
  <c r="Q22" i="5"/>
  <c r="K22" i="5"/>
  <c r="I22" i="5"/>
  <c r="H22" i="5"/>
  <c r="B22" i="5"/>
  <c r="P22" i="5" s="1"/>
  <c r="W21" i="5"/>
  <c r="V21" i="5"/>
  <c r="U21" i="5"/>
  <c r="T21" i="5"/>
  <c r="R21" i="5"/>
  <c r="Q21" i="5"/>
  <c r="K21" i="5"/>
  <c r="I21" i="5"/>
  <c r="H21" i="5"/>
  <c r="B21" i="5"/>
  <c r="G21" i="5" s="1"/>
  <c r="W20" i="5"/>
  <c r="V20" i="5"/>
  <c r="U20" i="5"/>
  <c r="T20" i="5"/>
  <c r="R20" i="5"/>
  <c r="Q20" i="5"/>
  <c r="K20" i="5"/>
  <c r="I20" i="5"/>
  <c r="H20" i="5"/>
  <c r="B20" i="5"/>
  <c r="P20" i="5" s="1"/>
  <c r="W19" i="5"/>
  <c r="V19" i="5"/>
  <c r="U19" i="5"/>
  <c r="T19" i="5"/>
  <c r="R19" i="5"/>
  <c r="Q19" i="5"/>
  <c r="K19" i="5"/>
  <c r="I19" i="5"/>
  <c r="H19" i="5"/>
  <c r="B19" i="5"/>
  <c r="G19" i="5" s="1"/>
  <c r="W18" i="5"/>
  <c r="V18" i="5"/>
  <c r="U18" i="5"/>
  <c r="T18" i="5"/>
  <c r="R18" i="5"/>
  <c r="Q18" i="5"/>
  <c r="K18" i="5"/>
  <c r="I18" i="5"/>
  <c r="H18" i="5"/>
  <c r="B18" i="5"/>
  <c r="P18" i="5" s="1"/>
  <c r="W17" i="5"/>
  <c r="V17" i="5"/>
  <c r="U17" i="5"/>
  <c r="T17" i="5"/>
  <c r="R17" i="5"/>
  <c r="Q17" i="5"/>
  <c r="K17" i="5"/>
  <c r="I17" i="5"/>
  <c r="H17" i="5"/>
  <c r="B17" i="5"/>
  <c r="G17" i="5" s="1"/>
  <c r="W16" i="5"/>
  <c r="V16" i="5"/>
  <c r="U16" i="5"/>
  <c r="T16" i="5"/>
  <c r="R16" i="5"/>
  <c r="Q16" i="5"/>
  <c r="K16" i="5"/>
  <c r="I16" i="5"/>
  <c r="H16" i="5"/>
  <c r="B16" i="5"/>
  <c r="P16" i="5" s="1"/>
  <c r="W15" i="5"/>
  <c r="V15" i="5"/>
  <c r="U15" i="5"/>
  <c r="T15" i="5"/>
  <c r="R15" i="5"/>
  <c r="Q15" i="5"/>
  <c r="K15" i="5"/>
  <c r="I15" i="5"/>
  <c r="H15" i="5"/>
  <c r="B15" i="5"/>
  <c r="G15" i="5" s="1"/>
  <c r="W14" i="5"/>
  <c r="V14" i="5"/>
  <c r="U14" i="5"/>
  <c r="T14" i="5"/>
  <c r="R14" i="5"/>
  <c r="Q14" i="5"/>
  <c r="K14" i="5"/>
  <c r="I14" i="5"/>
  <c r="H14" i="5"/>
  <c r="B14" i="5"/>
  <c r="P14" i="5" s="1"/>
  <c r="L13" i="5"/>
  <c r="P11" i="5"/>
  <c r="K11" i="5"/>
  <c r="T11" i="5" s="1"/>
  <c r="I10" i="5"/>
  <c r="R10" i="5" s="1"/>
  <c r="G10" i="5"/>
  <c r="P10" i="5" s="1"/>
  <c r="R9" i="5"/>
  <c r="I9" i="5"/>
  <c r="G9" i="5"/>
  <c r="P9" i="5" s="1"/>
  <c r="G8" i="5"/>
  <c r="P8" i="5" s="1"/>
  <c r="I7" i="5"/>
  <c r="R7" i="5" s="1"/>
  <c r="W29" i="4"/>
  <c r="V29" i="4"/>
  <c r="U29" i="4"/>
  <c r="T29" i="4"/>
  <c r="R29" i="4"/>
  <c r="Q29" i="4"/>
  <c r="K29" i="4"/>
  <c r="I29" i="4"/>
  <c r="H29" i="4"/>
  <c r="G29" i="4"/>
  <c r="B29" i="4"/>
  <c r="P29" i="4" s="1"/>
  <c r="W28" i="4"/>
  <c r="V28" i="4"/>
  <c r="U28" i="4"/>
  <c r="T28" i="4"/>
  <c r="R28" i="4"/>
  <c r="Q28" i="4"/>
  <c r="K28" i="4"/>
  <c r="I28" i="4"/>
  <c r="H28" i="4"/>
  <c r="B28" i="4"/>
  <c r="P28" i="4" s="1"/>
  <c r="W27" i="4"/>
  <c r="V27" i="4"/>
  <c r="U27" i="4"/>
  <c r="T27" i="4"/>
  <c r="R27" i="4"/>
  <c r="Q27" i="4"/>
  <c r="K27" i="4"/>
  <c r="I27" i="4"/>
  <c r="H27" i="4"/>
  <c r="G27" i="4"/>
  <c r="B27" i="4"/>
  <c r="P27" i="4" s="1"/>
  <c r="W26" i="4"/>
  <c r="V26" i="4"/>
  <c r="U26" i="4"/>
  <c r="T26" i="4"/>
  <c r="R26" i="4"/>
  <c r="Q26" i="4"/>
  <c r="K26" i="4"/>
  <c r="I26" i="4"/>
  <c r="H26" i="4"/>
  <c r="B26" i="4"/>
  <c r="P26" i="4" s="1"/>
  <c r="W25" i="4"/>
  <c r="V25" i="4"/>
  <c r="U25" i="4"/>
  <c r="T25" i="4"/>
  <c r="R25" i="4"/>
  <c r="Q25" i="4"/>
  <c r="K25" i="4"/>
  <c r="I25" i="4"/>
  <c r="H25" i="4"/>
  <c r="G25" i="4"/>
  <c r="B25" i="4"/>
  <c r="P25" i="4" s="1"/>
  <c r="W24" i="4"/>
  <c r="V24" i="4"/>
  <c r="U24" i="4"/>
  <c r="T24" i="4"/>
  <c r="R24" i="4"/>
  <c r="Q24" i="4"/>
  <c r="K24" i="4"/>
  <c r="I24" i="4"/>
  <c r="H24" i="4"/>
  <c r="B24" i="4"/>
  <c r="P24" i="4" s="1"/>
  <c r="W23" i="4"/>
  <c r="V23" i="4"/>
  <c r="U23" i="4"/>
  <c r="T23" i="4"/>
  <c r="R23" i="4"/>
  <c r="Q23" i="4"/>
  <c r="K23" i="4"/>
  <c r="I23" i="4"/>
  <c r="H23" i="4"/>
  <c r="G23" i="4"/>
  <c r="B23" i="4"/>
  <c r="P23" i="4" s="1"/>
  <c r="W22" i="4"/>
  <c r="V22" i="4"/>
  <c r="U22" i="4"/>
  <c r="T22" i="4"/>
  <c r="R22" i="4"/>
  <c r="Q22" i="4"/>
  <c r="K22" i="4"/>
  <c r="I22" i="4"/>
  <c r="H22" i="4"/>
  <c r="B22" i="4"/>
  <c r="P22" i="4" s="1"/>
  <c r="W21" i="4"/>
  <c r="V21" i="4"/>
  <c r="U21" i="4"/>
  <c r="T21" i="4"/>
  <c r="R21" i="4"/>
  <c r="Q21" i="4"/>
  <c r="P21" i="4"/>
  <c r="K21" i="4"/>
  <c r="I21" i="4"/>
  <c r="H21" i="4"/>
  <c r="G21" i="4"/>
  <c r="B21" i="4"/>
  <c r="W20" i="4"/>
  <c r="V20" i="4"/>
  <c r="U20" i="4"/>
  <c r="T20" i="4"/>
  <c r="R20" i="4"/>
  <c r="Q20" i="4"/>
  <c r="K20" i="4"/>
  <c r="I20" i="4"/>
  <c r="H20" i="4"/>
  <c r="B20" i="4"/>
  <c r="P20" i="4" s="1"/>
  <c r="W19" i="4"/>
  <c r="V19" i="4"/>
  <c r="U19" i="4"/>
  <c r="T19" i="4"/>
  <c r="R19" i="4"/>
  <c r="Q19" i="4"/>
  <c r="P19" i="4"/>
  <c r="K19" i="4"/>
  <c r="I19" i="4"/>
  <c r="H19" i="4"/>
  <c r="G19" i="4"/>
  <c r="B19" i="4"/>
  <c r="W18" i="4"/>
  <c r="V18" i="4"/>
  <c r="U18" i="4"/>
  <c r="T18" i="4"/>
  <c r="R18" i="4"/>
  <c r="Q18" i="4"/>
  <c r="K18" i="4"/>
  <c r="I18" i="4"/>
  <c r="H18" i="4"/>
  <c r="B18" i="4"/>
  <c r="P18" i="4" s="1"/>
  <c r="W17" i="4"/>
  <c r="V17" i="4"/>
  <c r="U17" i="4"/>
  <c r="T17" i="4"/>
  <c r="R17" i="4"/>
  <c r="Q17" i="4"/>
  <c r="P17" i="4"/>
  <c r="K17" i="4"/>
  <c r="I17" i="4"/>
  <c r="H17" i="4"/>
  <c r="G17" i="4"/>
  <c r="B17" i="4"/>
  <c r="W16" i="4"/>
  <c r="V16" i="4"/>
  <c r="U16" i="4"/>
  <c r="T16" i="4"/>
  <c r="R16" i="4"/>
  <c r="Q16" i="4"/>
  <c r="K16" i="4"/>
  <c r="I16" i="4"/>
  <c r="H16" i="4"/>
  <c r="B16" i="4"/>
  <c r="P16" i="4" s="1"/>
  <c r="W15" i="4"/>
  <c r="V15" i="4"/>
  <c r="U15" i="4"/>
  <c r="T15" i="4"/>
  <c r="R15" i="4"/>
  <c r="Q15" i="4"/>
  <c r="K15" i="4"/>
  <c r="I15" i="4"/>
  <c r="H15" i="4"/>
  <c r="G15" i="4"/>
  <c r="B15" i="4"/>
  <c r="P15" i="4" s="1"/>
  <c r="W14" i="4"/>
  <c r="V14" i="4"/>
  <c r="U14" i="4"/>
  <c r="T14" i="4"/>
  <c r="R14" i="4"/>
  <c r="Q14" i="4"/>
  <c r="K14" i="4"/>
  <c r="I14" i="4"/>
  <c r="H14" i="4"/>
  <c r="B14" i="4"/>
  <c r="P14" i="4" s="1"/>
  <c r="T11" i="4"/>
  <c r="P11" i="4"/>
  <c r="K11" i="4"/>
  <c r="R10" i="4"/>
  <c r="I10" i="4"/>
  <c r="G10" i="4"/>
  <c r="P10" i="4" s="1"/>
  <c r="P9" i="4"/>
  <c r="I9" i="4"/>
  <c r="L13" i="4" s="1"/>
  <c r="G9" i="4"/>
  <c r="G8" i="4"/>
  <c r="P8" i="4" s="1"/>
  <c r="I7" i="4"/>
  <c r="R7" i="4" s="1"/>
  <c r="W29" i="3"/>
  <c r="V29" i="3"/>
  <c r="U29" i="3"/>
  <c r="T29" i="3"/>
  <c r="R29" i="3"/>
  <c r="Q29" i="3"/>
  <c r="K29" i="3"/>
  <c r="I29" i="3"/>
  <c r="H29" i="3"/>
  <c r="B29" i="3"/>
  <c r="G29" i="3" s="1"/>
  <c r="W28" i="3"/>
  <c r="V28" i="3"/>
  <c r="U28" i="3"/>
  <c r="T28" i="3"/>
  <c r="R28" i="3"/>
  <c r="Q28" i="3"/>
  <c r="K28" i="3"/>
  <c r="I28" i="3"/>
  <c r="H28" i="3"/>
  <c r="B28" i="3"/>
  <c r="P28" i="3" s="1"/>
  <c r="W27" i="3"/>
  <c r="V27" i="3"/>
  <c r="U27" i="3"/>
  <c r="T27" i="3"/>
  <c r="R27" i="3"/>
  <c r="Q27" i="3"/>
  <c r="K27" i="3"/>
  <c r="I27" i="3"/>
  <c r="H27" i="3"/>
  <c r="B27" i="3"/>
  <c r="G27" i="3" s="1"/>
  <c r="W26" i="3"/>
  <c r="V26" i="3"/>
  <c r="U26" i="3"/>
  <c r="T26" i="3"/>
  <c r="R26" i="3"/>
  <c r="Q26" i="3"/>
  <c r="K26" i="3"/>
  <c r="I26" i="3"/>
  <c r="H26" i="3"/>
  <c r="B26" i="3"/>
  <c r="P26" i="3" s="1"/>
  <c r="W25" i="3"/>
  <c r="V25" i="3"/>
  <c r="U25" i="3"/>
  <c r="T25" i="3"/>
  <c r="R25" i="3"/>
  <c r="Q25" i="3"/>
  <c r="K25" i="3"/>
  <c r="I25" i="3"/>
  <c r="H25" i="3"/>
  <c r="B25" i="3"/>
  <c r="G25" i="3" s="1"/>
  <c r="W24" i="3"/>
  <c r="V24" i="3"/>
  <c r="U24" i="3"/>
  <c r="T24" i="3"/>
  <c r="R24" i="3"/>
  <c r="Q24" i="3"/>
  <c r="K24" i="3"/>
  <c r="I24" i="3"/>
  <c r="H24" i="3"/>
  <c r="B24" i="3"/>
  <c r="P24" i="3" s="1"/>
  <c r="W23" i="3"/>
  <c r="V23" i="3"/>
  <c r="U23" i="3"/>
  <c r="T23" i="3"/>
  <c r="R23" i="3"/>
  <c r="Q23" i="3"/>
  <c r="K23" i="3"/>
  <c r="I23" i="3"/>
  <c r="H23" i="3"/>
  <c r="B23" i="3"/>
  <c r="G23" i="3" s="1"/>
  <c r="W22" i="3"/>
  <c r="V22" i="3"/>
  <c r="U22" i="3"/>
  <c r="T22" i="3"/>
  <c r="R22" i="3"/>
  <c r="Q22" i="3"/>
  <c r="K22" i="3"/>
  <c r="I22" i="3"/>
  <c r="H22" i="3"/>
  <c r="B22" i="3"/>
  <c r="P22" i="3" s="1"/>
  <c r="W21" i="3"/>
  <c r="V21" i="3"/>
  <c r="U21" i="3"/>
  <c r="T21" i="3"/>
  <c r="R21" i="3"/>
  <c r="Q21" i="3"/>
  <c r="K21" i="3"/>
  <c r="I21" i="3"/>
  <c r="H21" i="3"/>
  <c r="B21" i="3"/>
  <c r="G21" i="3" s="1"/>
  <c r="W20" i="3"/>
  <c r="V20" i="3"/>
  <c r="U20" i="3"/>
  <c r="T20" i="3"/>
  <c r="R20" i="3"/>
  <c r="Q20" i="3"/>
  <c r="K20" i="3"/>
  <c r="I20" i="3"/>
  <c r="H20" i="3"/>
  <c r="B20" i="3"/>
  <c r="P20" i="3" s="1"/>
  <c r="W19" i="3"/>
  <c r="V19" i="3"/>
  <c r="U19" i="3"/>
  <c r="T19" i="3"/>
  <c r="R19" i="3"/>
  <c r="Q19" i="3"/>
  <c r="K19" i="3"/>
  <c r="I19" i="3"/>
  <c r="H19" i="3"/>
  <c r="B19" i="3"/>
  <c r="G19" i="3" s="1"/>
  <c r="W18" i="3"/>
  <c r="V18" i="3"/>
  <c r="U18" i="3"/>
  <c r="T18" i="3"/>
  <c r="R18" i="3"/>
  <c r="Q18" i="3"/>
  <c r="K18" i="3"/>
  <c r="I18" i="3"/>
  <c r="H18" i="3"/>
  <c r="B18" i="3"/>
  <c r="P18" i="3" s="1"/>
  <c r="W17" i="3"/>
  <c r="V17" i="3"/>
  <c r="U17" i="3"/>
  <c r="T17" i="3"/>
  <c r="R17" i="3"/>
  <c r="Q17" i="3"/>
  <c r="K17" i="3"/>
  <c r="I17" i="3"/>
  <c r="H17" i="3"/>
  <c r="B17" i="3"/>
  <c r="G17" i="3" s="1"/>
  <c r="W16" i="3"/>
  <c r="V16" i="3"/>
  <c r="U16" i="3"/>
  <c r="T16" i="3"/>
  <c r="R16" i="3"/>
  <c r="Q16" i="3"/>
  <c r="K16" i="3"/>
  <c r="I16" i="3"/>
  <c r="H16" i="3"/>
  <c r="B16" i="3"/>
  <c r="P16" i="3" s="1"/>
  <c r="W15" i="3"/>
  <c r="V15" i="3"/>
  <c r="U15" i="3"/>
  <c r="T15" i="3"/>
  <c r="R15" i="3"/>
  <c r="Q15" i="3"/>
  <c r="K15" i="3"/>
  <c r="I15" i="3"/>
  <c r="H15" i="3"/>
  <c r="B15" i="3"/>
  <c r="G15" i="3" s="1"/>
  <c r="W14" i="3"/>
  <c r="V14" i="3"/>
  <c r="U14" i="3"/>
  <c r="T14" i="3"/>
  <c r="R14" i="3"/>
  <c r="Q14" i="3"/>
  <c r="K14" i="3"/>
  <c r="I14" i="3"/>
  <c r="H14" i="3"/>
  <c r="B14" i="3"/>
  <c r="P14" i="3" s="1"/>
  <c r="P11" i="3"/>
  <c r="K11" i="3"/>
  <c r="T11" i="3" s="1"/>
  <c r="I10" i="3"/>
  <c r="R10" i="3" s="1"/>
  <c r="G10" i="3"/>
  <c r="P10" i="3" s="1"/>
  <c r="I9" i="3"/>
  <c r="L13" i="3" s="1"/>
  <c r="G9" i="3"/>
  <c r="P9" i="3" s="1"/>
  <c r="G8" i="3"/>
  <c r="P8" i="3" s="1"/>
  <c r="I7" i="3"/>
  <c r="R7" i="3" s="1"/>
  <c r="W29" i="33"/>
  <c r="V29" i="33"/>
  <c r="U29" i="33"/>
  <c r="T29" i="33"/>
  <c r="R29" i="33"/>
  <c r="Q29" i="33"/>
  <c r="K29" i="33"/>
  <c r="I29" i="33"/>
  <c r="H29" i="33"/>
  <c r="B29" i="33"/>
  <c r="G29" i="33" s="1"/>
  <c r="W28" i="33"/>
  <c r="V28" i="33"/>
  <c r="U28" i="33"/>
  <c r="T28" i="33"/>
  <c r="R28" i="33"/>
  <c r="Q28" i="33"/>
  <c r="P28" i="33"/>
  <c r="K28" i="33"/>
  <c r="I28" i="33"/>
  <c r="H28" i="33"/>
  <c r="G28" i="33"/>
  <c r="B28" i="33"/>
  <c r="W27" i="33"/>
  <c r="V27" i="33"/>
  <c r="U27" i="33"/>
  <c r="T27" i="33"/>
  <c r="R27" i="33"/>
  <c r="Q27" i="33"/>
  <c r="P27" i="33"/>
  <c r="K27" i="33"/>
  <c r="I27" i="33"/>
  <c r="H27" i="33"/>
  <c r="G27" i="33"/>
  <c r="B27" i="33"/>
  <c r="W26" i="33"/>
  <c r="V26" i="33"/>
  <c r="U26" i="33"/>
  <c r="T26" i="33"/>
  <c r="R26" i="33"/>
  <c r="Q26" i="33"/>
  <c r="P26" i="33"/>
  <c r="K26" i="33"/>
  <c r="I26" i="33"/>
  <c r="H26" i="33"/>
  <c r="G26" i="33"/>
  <c r="B26" i="33"/>
  <c r="W25" i="33"/>
  <c r="V25" i="33"/>
  <c r="U25" i="33"/>
  <c r="T25" i="33"/>
  <c r="R25" i="33"/>
  <c r="Q25" i="33"/>
  <c r="P25" i="33"/>
  <c r="K25" i="33"/>
  <c r="I25" i="33"/>
  <c r="H25" i="33"/>
  <c r="G25" i="33"/>
  <c r="B25" i="33"/>
  <c r="W24" i="33"/>
  <c r="V24" i="33"/>
  <c r="U24" i="33"/>
  <c r="T24" i="33"/>
  <c r="R24" i="33"/>
  <c r="Q24" i="33"/>
  <c r="P24" i="33"/>
  <c r="K24" i="33"/>
  <c r="I24" i="33"/>
  <c r="H24" i="33"/>
  <c r="G24" i="33"/>
  <c r="B24" i="33"/>
  <c r="W23" i="33"/>
  <c r="V23" i="33"/>
  <c r="U23" i="33"/>
  <c r="T23" i="33"/>
  <c r="R23" i="33"/>
  <c r="Q23" i="33"/>
  <c r="P23" i="33"/>
  <c r="K23" i="33"/>
  <c r="I23" i="33"/>
  <c r="H23" i="33"/>
  <c r="G23" i="33"/>
  <c r="B23" i="33"/>
  <c r="W22" i="33"/>
  <c r="V22" i="33"/>
  <c r="U22" i="33"/>
  <c r="T22" i="33"/>
  <c r="R22" i="33"/>
  <c r="Q22" i="33"/>
  <c r="P22" i="33"/>
  <c r="K22" i="33"/>
  <c r="I22" i="33"/>
  <c r="H22" i="33"/>
  <c r="G22" i="33"/>
  <c r="B22" i="33"/>
  <c r="W21" i="33"/>
  <c r="V21" i="33"/>
  <c r="U21" i="33"/>
  <c r="T21" i="33"/>
  <c r="R21" i="33"/>
  <c r="Q21" i="33"/>
  <c r="P21" i="33"/>
  <c r="K21" i="33"/>
  <c r="I21" i="33"/>
  <c r="H21" i="33"/>
  <c r="G21" i="33"/>
  <c r="B21" i="33"/>
  <c r="W20" i="33"/>
  <c r="V20" i="33"/>
  <c r="U20" i="33"/>
  <c r="T20" i="33"/>
  <c r="R20" i="33"/>
  <c r="Q20" i="33"/>
  <c r="P20" i="33"/>
  <c r="K20" i="33"/>
  <c r="I20" i="33"/>
  <c r="H20" i="33"/>
  <c r="G20" i="33"/>
  <c r="B20" i="33"/>
  <c r="W19" i="33"/>
  <c r="V19" i="33"/>
  <c r="U19" i="33"/>
  <c r="T19" i="33"/>
  <c r="R19" i="33"/>
  <c r="Q19" i="33"/>
  <c r="P19" i="33"/>
  <c r="K19" i="33"/>
  <c r="I19" i="33"/>
  <c r="H19" i="33"/>
  <c r="G19" i="33"/>
  <c r="B19" i="33"/>
  <c r="W18" i="33"/>
  <c r="V18" i="33"/>
  <c r="U18" i="33"/>
  <c r="T18" i="33"/>
  <c r="R18" i="33"/>
  <c r="Q18" i="33"/>
  <c r="P18" i="33"/>
  <c r="K18" i="33"/>
  <c r="I18" i="33"/>
  <c r="H18" i="33"/>
  <c r="G18" i="33"/>
  <c r="B18" i="33"/>
  <c r="W17" i="33"/>
  <c r="V17" i="33"/>
  <c r="U17" i="33"/>
  <c r="T17" i="33"/>
  <c r="R17" i="33"/>
  <c r="Q17" i="33"/>
  <c r="P17" i="33"/>
  <c r="K17" i="33"/>
  <c r="I17" i="33"/>
  <c r="H17" i="33"/>
  <c r="G17" i="33"/>
  <c r="B17" i="33"/>
  <c r="W16" i="33"/>
  <c r="V16" i="33"/>
  <c r="U16" i="33"/>
  <c r="T16" i="33"/>
  <c r="R16" i="33"/>
  <c r="Q16" i="33"/>
  <c r="P16" i="33"/>
  <c r="K16" i="33"/>
  <c r="I16" i="33"/>
  <c r="H16" i="33"/>
  <c r="G16" i="33"/>
  <c r="B16" i="33"/>
  <c r="W15" i="33"/>
  <c r="V15" i="33"/>
  <c r="U15" i="33"/>
  <c r="T15" i="33"/>
  <c r="R15" i="33"/>
  <c r="Q15" i="33"/>
  <c r="P15" i="33"/>
  <c r="K15" i="33"/>
  <c r="I15" i="33"/>
  <c r="H15" i="33"/>
  <c r="G15" i="33"/>
  <c r="B15" i="33"/>
  <c r="W14" i="33"/>
  <c r="V14" i="33"/>
  <c r="U14" i="33"/>
  <c r="T14" i="33"/>
  <c r="R14" i="33"/>
  <c r="Q14" i="33"/>
  <c r="P14" i="33"/>
  <c r="K14" i="33"/>
  <c r="I14" i="33"/>
  <c r="H14" i="33"/>
  <c r="G14" i="33"/>
  <c r="B14" i="33"/>
  <c r="P11" i="33"/>
  <c r="K11" i="33"/>
  <c r="T11" i="33" s="1"/>
  <c r="I10" i="33"/>
  <c r="R10" i="33" s="1"/>
  <c r="G10" i="33"/>
  <c r="P10" i="33" s="1"/>
  <c r="I9" i="33"/>
  <c r="L13" i="33" s="1"/>
  <c r="G9" i="33"/>
  <c r="P9" i="33" s="1"/>
  <c r="G8" i="33"/>
  <c r="P8" i="33" s="1"/>
  <c r="I7" i="33"/>
  <c r="R7" i="33" s="1"/>
  <c r="I14" i="80"/>
  <c r="W14" i="80"/>
  <c r="V14" i="80"/>
  <c r="U14" i="80"/>
  <c r="T14" i="80"/>
  <c r="R14" i="80"/>
  <c r="Q14" i="80"/>
  <c r="K14" i="80"/>
  <c r="H14" i="80"/>
  <c r="B14" i="80"/>
  <c r="G14" i="80" s="1"/>
  <c r="W15" i="80"/>
  <c r="V15" i="80"/>
  <c r="U15" i="80"/>
  <c r="T15" i="80"/>
  <c r="R15" i="80"/>
  <c r="Q15" i="80"/>
  <c r="K15" i="80"/>
  <c r="I15" i="80"/>
  <c r="H15" i="80"/>
  <c r="B15" i="80"/>
  <c r="P15" i="80" s="1"/>
  <c r="W16" i="80"/>
  <c r="V16" i="80"/>
  <c r="U16" i="80"/>
  <c r="T16" i="80"/>
  <c r="R16" i="80"/>
  <c r="Q16" i="80"/>
  <c r="K16" i="80"/>
  <c r="I16" i="80"/>
  <c r="H16" i="80"/>
  <c r="B16" i="80"/>
  <c r="G16" i="80" s="1"/>
  <c r="W17" i="80"/>
  <c r="V17" i="80"/>
  <c r="U17" i="80"/>
  <c r="T17" i="80"/>
  <c r="R17" i="80"/>
  <c r="Q17" i="80"/>
  <c r="K17" i="80"/>
  <c r="I17" i="80"/>
  <c r="H17" i="80"/>
  <c r="B17" i="80"/>
  <c r="P17" i="80" s="1"/>
  <c r="W18" i="80"/>
  <c r="V18" i="80"/>
  <c r="U18" i="80"/>
  <c r="T18" i="80"/>
  <c r="R18" i="80"/>
  <c r="Q18" i="80"/>
  <c r="K18" i="80"/>
  <c r="I18" i="80"/>
  <c r="H18" i="80"/>
  <c r="B18" i="80"/>
  <c r="G18" i="80" s="1"/>
  <c r="W19" i="80"/>
  <c r="V19" i="80"/>
  <c r="U19" i="80"/>
  <c r="T19" i="80"/>
  <c r="R19" i="80"/>
  <c r="Q19" i="80"/>
  <c r="K19" i="80"/>
  <c r="I19" i="80"/>
  <c r="H19" i="80"/>
  <c r="B19" i="80"/>
  <c r="P19" i="80" s="1"/>
  <c r="W20" i="80"/>
  <c r="V20" i="80"/>
  <c r="U20" i="80"/>
  <c r="T20" i="80"/>
  <c r="R20" i="80"/>
  <c r="Q20" i="80"/>
  <c r="K20" i="80"/>
  <c r="I20" i="80"/>
  <c r="H20" i="80"/>
  <c r="B20" i="80"/>
  <c r="G20" i="80" s="1"/>
  <c r="W21" i="80"/>
  <c r="V21" i="80"/>
  <c r="U21" i="80"/>
  <c r="T21" i="80"/>
  <c r="R21" i="80"/>
  <c r="Q21" i="80"/>
  <c r="K21" i="80"/>
  <c r="I21" i="80"/>
  <c r="H21" i="80"/>
  <c r="B21" i="80"/>
  <c r="P21" i="80" s="1"/>
  <c r="W22" i="80"/>
  <c r="V22" i="80"/>
  <c r="U22" i="80"/>
  <c r="T22" i="80"/>
  <c r="R22" i="80"/>
  <c r="Q22" i="80"/>
  <c r="K22" i="80"/>
  <c r="I22" i="80"/>
  <c r="H22" i="80"/>
  <c r="B22" i="80"/>
  <c r="G22" i="80" s="1"/>
  <c r="W23" i="80"/>
  <c r="V23" i="80"/>
  <c r="U23" i="80"/>
  <c r="T23" i="80"/>
  <c r="R23" i="80"/>
  <c r="Q23" i="80"/>
  <c r="K23" i="80"/>
  <c r="I23" i="80"/>
  <c r="H23" i="80"/>
  <c r="B23" i="80"/>
  <c r="P23" i="80" s="1"/>
  <c r="W24" i="80"/>
  <c r="V24" i="80"/>
  <c r="U24" i="80"/>
  <c r="T24" i="80"/>
  <c r="R24" i="80"/>
  <c r="Q24" i="80"/>
  <c r="K24" i="80"/>
  <c r="I24" i="80"/>
  <c r="H24" i="80"/>
  <c r="B24" i="80"/>
  <c r="P24" i="80" s="1"/>
  <c r="W25" i="80"/>
  <c r="V25" i="80"/>
  <c r="U25" i="80"/>
  <c r="T25" i="80"/>
  <c r="R25" i="80"/>
  <c r="Q25" i="80"/>
  <c r="K25" i="80"/>
  <c r="I25" i="80"/>
  <c r="H25" i="80"/>
  <c r="B25" i="80"/>
  <c r="P25" i="80" s="1"/>
  <c r="W26" i="80"/>
  <c r="V26" i="80"/>
  <c r="U26" i="80"/>
  <c r="T26" i="80"/>
  <c r="R26" i="80"/>
  <c r="Q26" i="80"/>
  <c r="K26" i="80"/>
  <c r="I26" i="80"/>
  <c r="H26" i="80"/>
  <c r="B26" i="80"/>
  <c r="P26" i="80" s="1"/>
  <c r="W27" i="80"/>
  <c r="V27" i="80"/>
  <c r="U27" i="80"/>
  <c r="T27" i="80"/>
  <c r="R27" i="80"/>
  <c r="Q27" i="80"/>
  <c r="K27" i="80"/>
  <c r="I27" i="80"/>
  <c r="H27" i="80"/>
  <c r="B27" i="80"/>
  <c r="P27" i="80" s="1"/>
  <c r="W28" i="80"/>
  <c r="V28" i="80"/>
  <c r="U28" i="80"/>
  <c r="T28" i="80"/>
  <c r="R28" i="80"/>
  <c r="Q28" i="80"/>
  <c r="K28" i="80"/>
  <c r="I28" i="80"/>
  <c r="H28" i="80"/>
  <c r="B28" i="80"/>
  <c r="P28" i="80" s="1"/>
  <c r="W29" i="80"/>
  <c r="V29" i="80"/>
  <c r="U29" i="80"/>
  <c r="T29" i="80"/>
  <c r="R29" i="80"/>
  <c r="Q29" i="80"/>
  <c r="K29" i="80"/>
  <c r="I29" i="80"/>
  <c r="H29" i="80"/>
  <c r="B29" i="80"/>
  <c r="P29" i="80" s="1"/>
  <c r="P11" i="80"/>
  <c r="K11" i="80"/>
  <c r="T11" i="80" s="1"/>
  <c r="I10" i="80"/>
  <c r="R10" i="80" s="1"/>
  <c r="G10" i="80"/>
  <c r="P10" i="80" s="1"/>
  <c r="I9" i="80"/>
  <c r="L13" i="80" s="1"/>
  <c r="G9" i="80"/>
  <c r="P9" i="80" s="1"/>
  <c r="G8" i="80"/>
  <c r="P8" i="80" s="1"/>
  <c r="I7" i="80"/>
  <c r="R7" i="80" s="1"/>
  <c r="W29" i="60"/>
  <c r="V29" i="60"/>
  <c r="U29" i="60"/>
  <c r="T29" i="60"/>
  <c r="R29" i="60"/>
  <c r="Q29" i="60"/>
  <c r="K29" i="60"/>
  <c r="I29" i="60"/>
  <c r="H29" i="60"/>
  <c r="G29" i="60"/>
  <c r="B29" i="60"/>
  <c r="P29" i="60" s="1"/>
  <c r="W28" i="60"/>
  <c r="V28" i="60"/>
  <c r="U28" i="60"/>
  <c r="T28" i="60"/>
  <c r="R28" i="60"/>
  <c r="Q28" i="60"/>
  <c r="K28" i="60"/>
  <c r="I28" i="60"/>
  <c r="H28" i="60"/>
  <c r="B28" i="60"/>
  <c r="P28" i="60" s="1"/>
  <c r="W27" i="60"/>
  <c r="V27" i="60"/>
  <c r="U27" i="60"/>
  <c r="T27" i="60"/>
  <c r="R27" i="60"/>
  <c r="Q27" i="60"/>
  <c r="P27" i="60"/>
  <c r="K27" i="60"/>
  <c r="I27" i="60"/>
  <c r="H27" i="60"/>
  <c r="G27" i="60"/>
  <c r="B27" i="60"/>
  <c r="W26" i="60"/>
  <c r="V26" i="60"/>
  <c r="U26" i="60"/>
  <c r="T26" i="60"/>
  <c r="R26" i="60"/>
  <c r="Q26" i="60"/>
  <c r="K26" i="60"/>
  <c r="I26" i="60"/>
  <c r="H26" i="60"/>
  <c r="B26" i="60"/>
  <c r="P26" i="60" s="1"/>
  <c r="W25" i="60"/>
  <c r="V25" i="60"/>
  <c r="U25" i="60"/>
  <c r="T25" i="60"/>
  <c r="R25" i="60"/>
  <c r="Q25" i="60"/>
  <c r="P25" i="60"/>
  <c r="K25" i="60"/>
  <c r="I25" i="60"/>
  <c r="H25" i="60"/>
  <c r="G25" i="60"/>
  <c r="B25" i="60"/>
  <c r="W24" i="60"/>
  <c r="V24" i="60"/>
  <c r="U24" i="60"/>
  <c r="T24" i="60"/>
  <c r="R24" i="60"/>
  <c r="Q24" i="60"/>
  <c r="K24" i="60"/>
  <c r="I24" i="60"/>
  <c r="H24" i="60"/>
  <c r="B24" i="60"/>
  <c r="P24" i="60" s="1"/>
  <c r="W23" i="60"/>
  <c r="V23" i="60"/>
  <c r="U23" i="60"/>
  <c r="T23" i="60"/>
  <c r="R23" i="60"/>
  <c r="Q23" i="60"/>
  <c r="P23" i="60"/>
  <c r="K23" i="60"/>
  <c r="I23" i="60"/>
  <c r="H23" i="60"/>
  <c r="G23" i="60"/>
  <c r="B23" i="60"/>
  <c r="W22" i="60"/>
  <c r="V22" i="60"/>
  <c r="U22" i="60"/>
  <c r="T22" i="60"/>
  <c r="R22" i="60"/>
  <c r="Q22" i="60"/>
  <c r="K22" i="60"/>
  <c r="I22" i="60"/>
  <c r="H22" i="60"/>
  <c r="B22" i="60"/>
  <c r="P22" i="60" s="1"/>
  <c r="W21" i="60"/>
  <c r="V21" i="60"/>
  <c r="U21" i="60"/>
  <c r="T21" i="60"/>
  <c r="R21" i="60"/>
  <c r="Q21" i="60"/>
  <c r="P21" i="60"/>
  <c r="K21" i="60"/>
  <c r="I21" i="60"/>
  <c r="H21" i="60"/>
  <c r="G21" i="60"/>
  <c r="B21" i="60"/>
  <c r="W20" i="60"/>
  <c r="V20" i="60"/>
  <c r="U20" i="60"/>
  <c r="T20" i="60"/>
  <c r="R20" i="60"/>
  <c r="Q20" i="60"/>
  <c r="K20" i="60"/>
  <c r="I20" i="60"/>
  <c r="H20" i="60"/>
  <c r="B20" i="60"/>
  <c r="P20" i="60" s="1"/>
  <c r="W19" i="60"/>
  <c r="V19" i="60"/>
  <c r="U19" i="60"/>
  <c r="T19" i="60"/>
  <c r="R19" i="60"/>
  <c r="Q19" i="60"/>
  <c r="K19" i="60"/>
  <c r="I19" i="60"/>
  <c r="H19" i="60"/>
  <c r="G19" i="60"/>
  <c r="B19" i="60"/>
  <c r="P19" i="60" s="1"/>
  <c r="W18" i="60"/>
  <c r="V18" i="60"/>
  <c r="U18" i="60"/>
  <c r="T18" i="60"/>
  <c r="R18" i="60"/>
  <c r="Q18" i="60"/>
  <c r="K18" i="60"/>
  <c r="I18" i="60"/>
  <c r="H18" i="60"/>
  <c r="B18" i="60"/>
  <c r="P18" i="60" s="1"/>
  <c r="W17" i="60"/>
  <c r="V17" i="60"/>
  <c r="U17" i="60"/>
  <c r="T17" i="60"/>
  <c r="R17" i="60"/>
  <c r="Q17" i="60"/>
  <c r="K17" i="60"/>
  <c r="I17" i="60"/>
  <c r="H17" i="60"/>
  <c r="G17" i="60"/>
  <c r="B17" i="60"/>
  <c r="P17" i="60" s="1"/>
  <c r="W16" i="60"/>
  <c r="V16" i="60"/>
  <c r="U16" i="60"/>
  <c r="T16" i="60"/>
  <c r="R16" i="60"/>
  <c r="Q16" i="60"/>
  <c r="K16" i="60"/>
  <c r="I16" i="60"/>
  <c r="H16" i="60"/>
  <c r="B16" i="60"/>
  <c r="P16" i="60" s="1"/>
  <c r="W15" i="60"/>
  <c r="V15" i="60"/>
  <c r="U15" i="60"/>
  <c r="T15" i="60"/>
  <c r="R15" i="60"/>
  <c r="Q15" i="60"/>
  <c r="K15" i="60"/>
  <c r="I15" i="60"/>
  <c r="H15" i="60"/>
  <c r="G15" i="60"/>
  <c r="B15" i="60"/>
  <c r="P15" i="60" s="1"/>
  <c r="W14" i="60"/>
  <c r="V14" i="60"/>
  <c r="U14" i="60"/>
  <c r="T14" i="60"/>
  <c r="R14" i="60"/>
  <c r="Q14" i="60"/>
  <c r="K14" i="60"/>
  <c r="I14" i="60"/>
  <c r="H14" i="60"/>
  <c r="B14" i="60"/>
  <c r="P14" i="60" s="1"/>
  <c r="P11" i="60"/>
  <c r="K11" i="60"/>
  <c r="T11" i="60" s="1"/>
  <c r="I10" i="60"/>
  <c r="R10" i="60" s="1"/>
  <c r="G10" i="60"/>
  <c r="P10" i="60" s="1"/>
  <c r="I9" i="60"/>
  <c r="L13" i="60" s="1"/>
  <c r="G9" i="60"/>
  <c r="P9" i="60" s="1"/>
  <c r="G8" i="60"/>
  <c r="P8" i="60" s="1"/>
  <c r="I7" i="60"/>
  <c r="R7" i="60" s="1"/>
  <c r="G20" i="72" l="1"/>
  <c r="G22" i="72"/>
  <c r="G24" i="72"/>
  <c r="G14" i="72"/>
  <c r="G16" i="72"/>
  <c r="G28" i="72"/>
  <c r="P18" i="72"/>
  <c r="P26" i="72"/>
  <c r="G14" i="71"/>
  <c r="P15" i="71"/>
  <c r="G16" i="71"/>
  <c r="P17" i="71"/>
  <c r="G18" i="71"/>
  <c r="P19" i="71"/>
  <c r="G20" i="71"/>
  <c r="P21" i="71"/>
  <c r="G22" i="71"/>
  <c r="P23" i="71"/>
  <c r="G24" i="71"/>
  <c r="P25" i="71"/>
  <c r="G26" i="71"/>
  <c r="P27" i="71"/>
  <c r="G28" i="71"/>
  <c r="P29" i="71"/>
  <c r="G14" i="70"/>
  <c r="G16" i="70"/>
  <c r="G18" i="70"/>
  <c r="G20" i="70"/>
  <c r="G22" i="70"/>
  <c r="G24" i="70"/>
  <c r="G26" i="70"/>
  <c r="G28" i="70"/>
  <c r="R9" i="70"/>
  <c r="G14" i="69"/>
  <c r="G16" i="69"/>
  <c r="P17" i="69"/>
  <c r="G18" i="69"/>
  <c r="G20" i="69"/>
  <c r="P21" i="69"/>
  <c r="G22" i="69"/>
  <c r="P23" i="69"/>
  <c r="G24" i="69"/>
  <c r="P25" i="69"/>
  <c r="G26" i="69"/>
  <c r="P27" i="69"/>
  <c r="G28" i="69"/>
  <c r="P29" i="69"/>
  <c r="R9" i="69"/>
  <c r="G14" i="68"/>
  <c r="P15" i="68"/>
  <c r="G16" i="68"/>
  <c r="P17" i="68"/>
  <c r="G18" i="68"/>
  <c r="P19" i="68"/>
  <c r="G20" i="68"/>
  <c r="P21" i="68"/>
  <c r="G22" i="68"/>
  <c r="P23" i="68"/>
  <c r="G24" i="68"/>
  <c r="P25" i="68"/>
  <c r="G26" i="68"/>
  <c r="P27" i="68"/>
  <c r="G28" i="68"/>
  <c r="P29" i="68"/>
  <c r="G14" i="67"/>
  <c r="G16" i="67"/>
  <c r="G18" i="67"/>
  <c r="G20" i="67"/>
  <c r="G22" i="67"/>
  <c r="G24" i="67"/>
  <c r="G26" i="67"/>
  <c r="G28" i="67"/>
  <c r="R9" i="67"/>
  <c r="G14" i="66"/>
  <c r="G16" i="66"/>
  <c r="G18" i="66"/>
  <c r="G20" i="66"/>
  <c r="G22" i="66"/>
  <c r="G24" i="66"/>
  <c r="G26" i="66"/>
  <c r="G28" i="66"/>
  <c r="R9" i="66"/>
  <c r="G18" i="65"/>
  <c r="G24" i="65"/>
  <c r="G14" i="65"/>
  <c r="G16" i="65"/>
  <c r="G22" i="65"/>
  <c r="G28" i="65"/>
  <c r="P20" i="65"/>
  <c r="P26" i="65"/>
  <c r="R9" i="65"/>
  <c r="G14" i="64"/>
  <c r="G16" i="64"/>
  <c r="G18" i="64"/>
  <c r="P19" i="64"/>
  <c r="G20" i="64"/>
  <c r="P21" i="64"/>
  <c r="G22" i="64"/>
  <c r="P23" i="64"/>
  <c r="G24" i="64"/>
  <c r="P25" i="64"/>
  <c r="G26" i="64"/>
  <c r="P27" i="64"/>
  <c r="G28" i="64"/>
  <c r="P29" i="64"/>
  <c r="R9" i="64"/>
  <c r="G14" i="63"/>
  <c r="G16" i="63"/>
  <c r="G18" i="63"/>
  <c r="G20" i="63"/>
  <c r="G22" i="63"/>
  <c r="G24" i="63"/>
  <c r="G26" i="63"/>
  <c r="G28" i="63"/>
  <c r="P29" i="63"/>
  <c r="R9" i="63"/>
  <c r="G14" i="62"/>
  <c r="G16" i="62"/>
  <c r="G18" i="62"/>
  <c r="G20" i="62"/>
  <c r="G22" i="62"/>
  <c r="G24" i="62"/>
  <c r="G26" i="62"/>
  <c r="G28" i="62"/>
  <c r="P29" i="62"/>
  <c r="R9" i="62"/>
  <c r="G14" i="61"/>
  <c r="G16" i="61"/>
  <c r="G18" i="61"/>
  <c r="G20" i="61"/>
  <c r="G22" i="61"/>
  <c r="G24" i="61"/>
  <c r="G26" i="61"/>
  <c r="G28" i="61"/>
  <c r="R9" i="61"/>
  <c r="G28" i="81"/>
  <c r="G14" i="48"/>
  <c r="G16" i="48"/>
  <c r="G18" i="48"/>
  <c r="G20" i="48"/>
  <c r="G22" i="48"/>
  <c r="G24" i="48"/>
  <c r="G26" i="48"/>
  <c r="G28" i="48"/>
  <c r="P29" i="48"/>
  <c r="R9" i="48"/>
  <c r="R9" i="47"/>
  <c r="G14" i="46"/>
  <c r="G16" i="46"/>
  <c r="G18" i="46"/>
  <c r="G20" i="46"/>
  <c r="G22" i="46"/>
  <c r="G24" i="46"/>
  <c r="G26" i="46"/>
  <c r="G28" i="46"/>
  <c r="R9" i="46"/>
  <c r="G14" i="45"/>
  <c r="G16" i="45"/>
  <c r="G18" i="45"/>
  <c r="G20" i="45"/>
  <c r="G22" i="45"/>
  <c r="G24" i="45"/>
  <c r="G26" i="45"/>
  <c r="G28" i="45"/>
  <c r="R9" i="45"/>
  <c r="G14" i="44"/>
  <c r="G16" i="44"/>
  <c r="G18" i="44"/>
  <c r="G20" i="44"/>
  <c r="G22" i="44"/>
  <c r="G24" i="44"/>
  <c r="G26" i="44"/>
  <c r="G28" i="44"/>
  <c r="R9" i="44"/>
  <c r="G14" i="43"/>
  <c r="G16" i="43"/>
  <c r="G18" i="43"/>
  <c r="G20" i="43"/>
  <c r="G22" i="43"/>
  <c r="G24" i="43"/>
  <c r="G26" i="43"/>
  <c r="G28" i="43"/>
  <c r="P29" i="43"/>
  <c r="G14" i="41"/>
  <c r="P15" i="41"/>
  <c r="G16" i="41"/>
  <c r="P17" i="41"/>
  <c r="G18" i="41"/>
  <c r="G20" i="41"/>
  <c r="G22" i="41"/>
  <c r="G24" i="41"/>
  <c r="G26" i="41"/>
  <c r="G28" i="41"/>
  <c r="P29" i="41"/>
  <c r="R9" i="41"/>
  <c r="G14" i="40"/>
  <c r="G16" i="40"/>
  <c r="G18" i="40"/>
  <c r="G20" i="40"/>
  <c r="G22" i="40"/>
  <c r="G24" i="40"/>
  <c r="G26" i="40"/>
  <c r="G28" i="40"/>
  <c r="R9" i="40"/>
  <c r="G14" i="39"/>
  <c r="G16" i="39"/>
  <c r="G18" i="39"/>
  <c r="G20" i="39"/>
  <c r="G22" i="39"/>
  <c r="G24" i="39"/>
  <c r="G26" i="39"/>
  <c r="G28" i="39"/>
  <c r="P29" i="39"/>
  <c r="G16" i="30"/>
  <c r="G20" i="30"/>
  <c r="P14" i="30"/>
  <c r="P18" i="30"/>
  <c r="P22" i="30"/>
  <c r="P24" i="30"/>
  <c r="P26" i="30"/>
  <c r="P28" i="30"/>
  <c r="G24" i="29"/>
  <c r="G28" i="29"/>
  <c r="G16" i="29"/>
  <c r="P14" i="29"/>
  <c r="P18" i="29"/>
  <c r="P20" i="29"/>
  <c r="P22" i="29"/>
  <c r="P26" i="29"/>
  <c r="R9" i="29"/>
  <c r="R9" i="28"/>
  <c r="G14" i="27"/>
  <c r="G16" i="27"/>
  <c r="G18" i="27"/>
  <c r="G20" i="27"/>
  <c r="P21" i="27"/>
  <c r="G22" i="27"/>
  <c r="P23" i="27"/>
  <c r="G24" i="27"/>
  <c r="P25" i="27"/>
  <c r="G26" i="27"/>
  <c r="P27" i="27"/>
  <c r="G28" i="27"/>
  <c r="P29" i="27"/>
  <c r="R9" i="27"/>
  <c r="G14" i="26"/>
  <c r="P17" i="26"/>
  <c r="P19" i="26"/>
  <c r="G20" i="26"/>
  <c r="P21" i="26"/>
  <c r="P29" i="26"/>
  <c r="R9" i="26"/>
  <c r="G14" i="25"/>
  <c r="G16" i="25"/>
  <c r="G18" i="25"/>
  <c r="G20" i="25"/>
  <c r="G22" i="25"/>
  <c r="G24" i="25"/>
  <c r="G26" i="25"/>
  <c r="G28" i="25"/>
  <c r="R9" i="25"/>
  <c r="G14" i="24"/>
  <c r="G16" i="24"/>
  <c r="G18" i="24"/>
  <c r="G20" i="24"/>
  <c r="G22" i="24"/>
  <c r="G24" i="24"/>
  <c r="G26" i="24"/>
  <c r="G28" i="24"/>
  <c r="G14" i="79"/>
  <c r="G16" i="79"/>
  <c r="G18" i="79"/>
  <c r="G20" i="79"/>
  <c r="G22" i="79"/>
  <c r="G24" i="79"/>
  <c r="G26" i="79"/>
  <c r="G28" i="79"/>
  <c r="P29" i="79"/>
  <c r="G14" i="22"/>
  <c r="G16" i="22"/>
  <c r="G18" i="22"/>
  <c r="G20" i="22"/>
  <c r="G22" i="22"/>
  <c r="G24" i="22"/>
  <c r="G26" i="22"/>
  <c r="G28" i="22"/>
  <c r="R9" i="22"/>
  <c r="G14" i="21"/>
  <c r="P15" i="21"/>
  <c r="G16" i="21"/>
  <c r="P17" i="21"/>
  <c r="G18" i="21"/>
  <c r="P19" i="21"/>
  <c r="G20" i="21"/>
  <c r="P21" i="21"/>
  <c r="G22" i="21"/>
  <c r="P23" i="21"/>
  <c r="G24" i="21"/>
  <c r="P25" i="21"/>
  <c r="G26" i="21"/>
  <c r="P27" i="21"/>
  <c r="G28" i="21"/>
  <c r="P29" i="21"/>
  <c r="R9" i="21"/>
  <c r="G14" i="20"/>
  <c r="P15" i="20"/>
  <c r="G16" i="20"/>
  <c r="P17" i="20"/>
  <c r="G18" i="20"/>
  <c r="P19" i="20"/>
  <c r="G20" i="20"/>
  <c r="P21" i="20"/>
  <c r="G22" i="20"/>
  <c r="P23" i="20"/>
  <c r="G24" i="20"/>
  <c r="P25" i="20"/>
  <c r="G26" i="20"/>
  <c r="P27" i="20"/>
  <c r="G28" i="20"/>
  <c r="P29" i="20"/>
  <c r="R9" i="20"/>
  <c r="G14" i="19"/>
  <c r="P15" i="19"/>
  <c r="G16" i="19"/>
  <c r="P17" i="19"/>
  <c r="G18" i="19"/>
  <c r="P19" i="19"/>
  <c r="G20" i="19"/>
  <c r="P21" i="19"/>
  <c r="G22" i="19"/>
  <c r="P23" i="19"/>
  <c r="G24" i="19"/>
  <c r="P25" i="19"/>
  <c r="G26" i="19"/>
  <c r="P27" i="19"/>
  <c r="G28" i="19"/>
  <c r="P29" i="19"/>
  <c r="G14" i="18"/>
  <c r="G16" i="18"/>
  <c r="G18" i="18"/>
  <c r="G20" i="18"/>
  <c r="G22" i="18"/>
  <c r="G24" i="18"/>
  <c r="G26" i="18"/>
  <c r="G28" i="18"/>
  <c r="R9" i="18"/>
  <c r="G14" i="17"/>
  <c r="G16" i="17"/>
  <c r="G18" i="17"/>
  <c r="G20" i="17"/>
  <c r="G22" i="17"/>
  <c r="G24" i="17"/>
  <c r="G26" i="17"/>
  <c r="G28" i="17"/>
  <c r="P29" i="17"/>
  <c r="R9" i="17"/>
  <c r="G26" i="16"/>
  <c r="G22" i="16"/>
  <c r="G20" i="16"/>
  <c r="G24" i="16"/>
  <c r="G28" i="16"/>
  <c r="P14" i="16"/>
  <c r="P16" i="16"/>
  <c r="P18" i="16"/>
  <c r="R9" i="16"/>
  <c r="G14" i="37"/>
  <c r="G16" i="37"/>
  <c r="G18" i="37"/>
  <c r="P19" i="37"/>
  <c r="G20" i="37"/>
  <c r="P21" i="37"/>
  <c r="G22" i="37"/>
  <c r="G24" i="37"/>
  <c r="P25" i="37"/>
  <c r="G26" i="37"/>
  <c r="P27" i="37"/>
  <c r="G28" i="37"/>
  <c r="P29" i="37"/>
  <c r="G14" i="36"/>
  <c r="P15" i="36"/>
  <c r="G16" i="36"/>
  <c r="P17" i="36"/>
  <c r="G18" i="36"/>
  <c r="P19" i="36"/>
  <c r="G20" i="36"/>
  <c r="P21" i="36"/>
  <c r="G22" i="36"/>
  <c r="P23" i="36"/>
  <c r="G24" i="36"/>
  <c r="P25" i="36"/>
  <c r="G26" i="36"/>
  <c r="P27" i="36"/>
  <c r="G28" i="36"/>
  <c r="P29" i="36"/>
  <c r="R9" i="36"/>
  <c r="G14" i="35"/>
  <c r="P15" i="35"/>
  <c r="G16" i="35"/>
  <c r="P17" i="35"/>
  <c r="G18" i="35"/>
  <c r="P19" i="35"/>
  <c r="G20" i="35"/>
  <c r="P21" i="35"/>
  <c r="G22" i="35"/>
  <c r="P23" i="35"/>
  <c r="G24" i="35"/>
  <c r="P25" i="35"/>
  <c r="G26" i="35"/>
  <c r="P27" i="35"/>
  <c r="G28" i="35"/>
  <c r="P29" i="35"/>
  <c r="R9" i="35"/>
  <c r="G14" i="34"/>
  <c r="G16" i="34"/>
  <c r="G18" i="34"/>
  <c r="G20" i="34"/>
  <c r="G22" i="34"/>
  <c r="G24" i="34"/>
  <c r="G26" i="34"/>
  <c r="G28" i="34"/>
  <c r="P29" i="34"/>
  <c r="R9" i="34"/>
  <c r="G14" i="11"/>
  <c r="P15" i="11"/>
  <c r="G16" i="11"/>
  <c r="P17" i="11"/>
  <c r="G18" i="11"/>
  <c r="P19" i="11"/>
  <c r="G20" i="11"/>
  <c r="P21" i="11"/>
  <c r="G22" i="11"/>
  <c r="P23" i="11"/>
  <c r="G24" i="11"/>
  <c r="P25" i="11"/>
  <c r="G26" i="11"/>
  <c r="P27" i="11"/>
  <c r="G28" i="11"/>
  <c r="P29" i="11"/>
  <c r="G14" i="10"/>
  <c r="P15" i="10"/>
  <c r="G16" i="10"/>
  <c r="P17" i="10"/>
  <c r="G18" i="10"/>
  <c r="P19" i="10"/>
  <c r="G20" i="10"/>
  <c r="P21" i="10"/>
  <c r="G22" i="10"/>
  <c r="P23" i="10"/>
  <c r="G24" i="10"/>
  <c r="P25" i="10"/>
  <c r="G26" i="10"/>
  <c r="P27" i="10"/>
  <c r="G28" i="10"/>
  <c r="P29" i="10"/>
  <c r="R9" i="10"/>
  <c r="G14" i="9"/>
  <c r="G16" i="9"/>
  <c r="G18" i="9"/>
  <c r="G20" i="9"/>
  <c r="G22" i="9"/>
  <c r="G24" i="9"/>
  <c r="G26" i="9"/>
  <c r="G28" i="9"/>
  <c r="P29" i="9"/>
  <c r="R9" i="9"/>
  <c r="G14" i="8"/>
  <c r="P15" i="8"/>
  <c r="G16" i="8"/>
  <c r="P17" i="8"/>
  <c r="G18" i="8"/>
  <c r="P19" i="8"/>
  <c r="G20" i="8"/>
  <c r="P21" i="8"/>
  <c r="G22" i="8"/>
  <c r="P23" i="8"/>
  <c r="G24" i="8"/>
  <c r="P25" i="8"/>
  <c r="G26" i="8"/>
  <c r="P27" i="8"/>
  <c r="G28" i="8"/>
  <c r="P29" i="8"/>
  <c r="R9" i="8"/>
  <c r="R9" i="7"/>
  <c r="G14" i="6"/>
  <c r="G16" i="6"/>
  <c r="G18" i="6"/>
  <c r="P19" i="6"/>
  <c r="G20" i="6"/>
  <c r="P21" i="6"/>
  <c r="G22" i="6"/>
  <c r="P23" i="6"/>
  <c r="G24" i="6"/>
  <c r="P25" i="6"/>
  <c r="G26" i="6"/>
  <c r="P27" i="6"/>
  <c r="G28" i="6"/>
  <c r="P29" i="6"/>
  <c r="R9" i="6"/>
  <c r="G14" i="5"/>
  <c r="P15" i="5"/>
  <c r="G16" i="5"/>
  <c r="P17" i="5"/>
  <c r="G18" i="5"/>
  <c r="P19" i="5"/>
  <c r="G20" i="5"/>
  <c r="P21" i="5"/>
  <c r="G22" i="5"/>
  <c r="P23" i="5"/>
  <c r="G24" i="5"/>
  <c r="P25" i="5"/>
  <c r="G26" i="5"/>
  <c r="P27" i="5"/>
  <c r="G28" i="5"/>
  <c r="P29" i="5"/>
  <c r="G14" i="4"/>
  <c r="G16" i="4"/>
  <c r="G18" i="4"/>
  <c r="G20" i="4"/>
  <c r="G22" i="4"/>
  <c r="G24" i="4"/>
  <c r="G26" i="4"/>
  <c r="G28" i="4"/>
  <c r="R9" i="4"/>
  <c r="G14" i="3"/>
  <c r="P15" i="3"/>
  <c r="G16" i="3"/>
  <c r="P17" i="3"/>
  <c r="G18" i="3"/>
  <c r="P19" i="3"/>
  <c r="G20" i="3"/>
  <c r="P21" i="3"/>
  <c r="G22" i="3"/>
  <c r="P23" i="3"/>
  <c r="G24" i="3"/>
  <c r="P25" i="3"/>
  <c r="G26" i="3"/>
  <c r="P27" i="3"/>
  <c r="G28" i="3"/>
  <c r="P29" i="3"/>
  <c r="R9" i="3"/>
  <c r="P29" i="33"/>
  <c r="R9" i="33"/>
  <c r="R9" i="80"/>
  <c r="G24" i="80"/>
  <c r="G28" i="80"/>
  <c r="G26" i="80"/>
  <c r="G29" i="80"/>
  <c r="G27" i="80"/>
  <c r="G25" i="80"/>
  <c r="G23" i="80"/>
  <c r="P22" i="80"/>
  <c r="G21" i="80"/>
  <c r="P20" i="80"/>
  <c r="G19" i="80"/>
  <c r="P18" i="80"/>
  <c r="G17" i="80"/>
  <c r="P16" i="80"/>
  <c r="G15" i="80"/>
  <c r="P14" i="80"/>
  <c r="G14" i="60"/>
  <c r="G16" i="60"/>
  <c r="G18" i="60"/>
  <c r="G20" i="60"/>
  <c r="G22" i="60"/>
  <c r="G24" i="60"/>
  <c r="G26" i="60"/>
  <c r="G28" i="60"/>
  <c r="R9" i="60"/>
  <c r="B5" i="32"/>
  <c r="C5" i="32"/>
  <c r="D5" i="32"/>
  <c r="E5" i="32"/>
  <c r="D41" i="32" l="1"/>
  <c r="D55" i="32" l="1"/>
  <c r="D54" i="32"/>
  <c r="D53" i="32"/>
  <c r="D52" i="32"/>
  <c r="D51" i="32"/>
  <c r="D50" i="32"/>
  <c r="D49" i="32"/>
  <c r="D48" i="32"/>
  <c r="D47" i="32"/>
  <c r="D46" i="32"/>
  <c r="D45" i="32"/>
  <c r="D44" i="32"/>
  <c r="D43" i="32"/>
  <c r="E42" i="32" l="1"/>
  <c r="D42" i="32"/>
  <c r="C42" i="32"/>
  <c r="B42" i="32"/>
  <c r="D34" i="32"/>
  <c r="D40" i="32"/>
  <c r="D39" i="32"/>
  <c r="D38" i="32"/>
  <c r="D37" i="32"/>
  <c r="D36" i="32"/>
  <c r="D35" i="32"/>
  <c r="D33" i="32"/>
  <c r="D32" i="32"/>
  <c r="D31" i="32"/>
  <c r="D30" i="32"/>
  <c r="D29" i="32"/>
  <c r="D28" i="32"/>
  <c r="D27" i="32"/>
  <c r="D26" i="32"/>
  <c r="D25" i="32"/>
  <c r="D24" i="32"/>
  <c r="D23" i="32"/>
  <c r="D22" i="32"/>
  <c r="D21" i="32"/>
  <c r="D20" i="32"/>
  <c r="D19" i="32"/>
  <c r="D18" i="32"/>
  <c r="D17" i="32"/>
  <c r="D16" i="32"/>
  <c r="D15" i="32"/>
  <c r="D14" i="32"/>
  <c r="D13" i="32"/>
  <c r="D12" i="32"/>
  <c r="D11" i="32"/>
  <c r="D9" i="32"/>
  <c r="D10" i="32"/>
  <c r="D8" i="32"/>
  <c r="D7" i="32"/>
  <c r="D6" i="32"/>
  <c r="C6" i="32"/>
  <c r="C4"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3" i="32"/>
  <c r="C44" i="32"/>
  <c r="C45" i="32"/>
  <c r="C46" i="32"/>
  <c r="C47" i="32"/>
  <c r="C48" i="32"/>
  <c r="C49" i="32"/>
  <c r="C50" i="32"/>
  <c r="C51" i="32"/>
  <c r="C52" i="32"/>
  <c r="C53" i="32"/>
  <c r="C54" i="32"/>
  <c r="C55" i="32"/>
  <c r="D4" i="32"/>
  <c r="D3" i="32"/>
  <c r="C3" i="32"/>
  <c r="B55" i="32" l="1"/>
  <c r="E55" i="32"/>
  <c r="B25" i="32"/>
  <c r="E25" i="32"/>
  <c r="E3" i="32"/>
  <c r="B3" i="32"/>
  <c r="B53" i="32" l="1"/>
  <c r="B54" i="32"/>
  <c r="E54" i="32" l="1"/>
  <c r="E53" i="32"/>
  <c r="E52" i="32"/>
  <c r="E51" i="32"/>
  <c r="E50" i="32"/>
  <c r="E49" i="32"/>
  <c r="E48" i="32"/>
  <c r="E47" i="32"/>
  <c r="E46" i="32"/>
  <c r="E45" i="32"/>
  <c r="E44" i="32"/>
  <c r="E43" i="32"/>
  <c r="E41" i="32"/>
  <c r="E40" i="32"/>
  <c r="E39" i="32"/>
  <c r="E38" i="32"/>
  <c r="E37" i="32"/>
  <c r="E36" i="32"/>
  <c r="E35" i="32"/>
  <c r="E34" i="32"/>
  <c r="E33" i="32"/>
  <c r="E32" i="32"/>
  <c r="E31" i="32"/>
  <c r="E30" i="32"/>
  <c r="E29" i="32"/>
  <c r="E28" i="32"/>
  <c r="E27" i="32"/>
  <c r="E26" i="32"/>
  <c r="E24" i="32"/>
  <c r="E23" i="32"/>
  <c r="E22" i="32"/>
  <c r="E21" i="32"/>
  <c r="E20" i="32"/>
  <c r="E19" i="32"/>
  <c r="E18" i="32"/>
  <c r="E17" i="32"/>
  <c r="E16" i="32"/>
  <c r="E15" i="32"/>
  <c r="E14" i="32"/>
  <c r="E13" i="32"/>
  <c r="E12" i="32"/>
  <c r="E11" i="32"/>
  <c r="E10" i="32"/>
  <c r="E9" i="32"/>
  <c r="E8" i="32"/>
  <c r="E7" i="32"/>
  <c r="E6" i="32"/>
  <c r="E4" i="32"/>
  <c r="B52" i="32"/>
  <c r="B51" i="32"/>
  <c r="B50" i="32"/>
  <c r="B49" i="32"/>
  <c r="B48" i="32"/>
  <c r="B47" i="32"/>
  <c r="B46" i="32"/>
  <c r="B45" i="32"/>
  <c r="B44" i="32"/>
  <c r="B43" i="32"/>
  <c r="B6" i="32" l="1"/>
  <c r="B17" i="32" l="1"/>
  <c r="B41" i="32"/>
  <c r="B40" i="32"/>
  <c r="B39" i="32"/>
  <c r="B38" i="32"/>
  <c r="B37" i="32"/>
  <c r="B34" i="32"/>
  <c r="B36" i="32"/>
  <c r="B35" i="32"/>
  <c r="B33" i="32"/>
  <c r="B16" i="32"/>
  <c r="B15" i="32"/>
  <c r="B14" i="32"/>
  <c r="B28" i="32"/>
  <c r="B29" i="32"/>
  <c r="B30" i="32"/>
  <c r="B31" i="32"/>
  <c r="B32" i="32"/>
  <c r="B27" i="32"/>
  <c r="B26" i="32"/>
  <c r="B24" i="32"/>
  <c r="B23" i="32"/>
  <c r="B22" i="32"/>
  <c r="B21" i="32"/>
  <c r="B20" i="32"/>
  <c r="B19" i="32"/>
  <c r="B18" i="32"/>
  <c r="B13" i="32"/>
  <c r="B12" i="32"/>
  <c r="B11" i="32"/>
  <c r="B10" i="32"/>
  <c r="B9" i="32"/>
  <c r="B8" i="32"/>
  <c r="B7" i="32"/>
  <c r="B4" i="32"/>
</calcChain>
</file>

<file path=xl/sharedStrings.xml><?xml version="1.0" encoding="utf-8"?>
<sst xmlns="http://schemas.openxmlformats.org/spreadsheetml/2006/main" count="3728" uniqueCount="69">
  <si>
    <t>DANH SACH CAC SHEET</t>
  </si>
  <si>
    <t>Ấn vào tên lớp để nhảy ra sheet danh sách</t>
  </si>
  <si>
    <t>Ấn vào logo VIAGS để trở về mục lục</t>
  </si>
  <si>
    <t>STT</t>
  </si>
  <si>
    <t>Lớp học</t>
  </si>
  <si>
    <t>Ngày học</t>
  </si>
  <si>
    <t>Địa điểm</t>
  </si>
  <si>
    <t>Giáo viên</t>
  </si>
  <si>
    <t>DANH SÁCH HỌC VIÊN</t>
  </si>
  <si>
    <t>Biểu mẫu</t>
  </si>
  <si>
    <t>Mã số: V.TMM-F10</t>
  </si>
  <si>
    <t>Mã số: V.TMM-F05a</t>
  </si>
  <si>
    <t>ĐIỂM DANH HỌC VIÊN</t>
  </si>
  <si>
    <t>Ban hành: 04</t>
  </si>
  <si>
    <t>KẾT QUẢ ĐÀO TẠO</t>
  </si>
  <si>
    <t>Hiệu lực: 28/12/2024</t>
  </si>
  <si>
    <t>Trang: 1/1</t>
  </si>
  <si>
    <t xml:space="preserve"> </t>
  </si>
  <si>
    <t>- Môn/Khóa học:</t>
  </si>
  <si>
    <t>An toàn hàng không</t>
  </si>
  <si>
    <t xml:space="preserve"> - Môn/Khóa học: </t>
  </si>
  <si>
    <t>Xóa bớt HV bằng cách xóa cả dòng</t>
  </si>
  <si>
    <t>- Loại hình/hình thức đào tạo: Phục hồi/Trực tiếp</t>
  </si>
  <si>
    <t>Thêm HV bằng cách copy cả dòng--&gt;bấm phải chuột--&gt;insert copied cells</t>
  </si>
  <si>
    <t>- Thời gian:</t>
  </si>
  <si>
    <t>Điểm trung bình xếp loại, ghi chú, số học viên tham dự tự động điền sau khi nhập điểm LT, TH</t>
  </si>
  <si>
    <t>- Địa điểm:</t>
  </si>
  <si>
    <t>TTĐT MB</t>
  </si>
  <si>
    <t>Bôi tất cả các dòng có HV--&gt;Custom Sort theo cột V, cột W</t>
  </si>
  <si>
    <t>- Giáo viên:</t>
  </si>
  <si>
    <t>- Số học viên tham dự/tổng số học viên:</t>
  </si>
  <si>
    <t>Nhập điểm các lần thi ở đây</t>
  </si>
  <si>
    <t>Mã NV</t>
  </si>
  <si>
    <t>Họ tên</t>
  </si>
  <si>
    <t>Đơn vị</t>
  </si>
  <si>
    <t>Ghi chú</t>
  </si>
  <si>
    <t>Mã nhân viên</t>
  </si>
  <si>
    <t>Ngày</t>
  </si>
  <si>
    <t>Điểm</t>
  </si>
  <si>
    <t>Xếp loại</t>
  </si>
  <si>
    <t>L1</t>
  </si>
  <si>
    <t>L2</t>
  </si>
  <si>
    <t>L3</t>
  </si>
  <si>
    <t>Trưởng Trung tâm đào tạo</t>
  </si>
  <si>
    <t>Người lập</t>
  </si>
  <si>
    <t xml:space="preserve">Chữ ký giáo viên:
</t>
  </si>
  <si>
    <t>Giáo viên hướng dẫn:</t>
  </si>
  <si>
    <t>Trưởng bộ môn:</t>
  </si>
  <si>
    <t>Trưởng TTĐT:</t>
  </si>
  <si>
    <t>Lưu ý:</t>
  </si>
  <si>
    <r>
      <t>-</t>
    </r>
    <r>
      <rPr>
        <sz val="7"/>
        <color theme="1"/>
        <rFont val="Times New Roman"/>
        <family val="1"/>
      </rPr>
      <t xml:space="preserve">  </t>
    </r>
    <r>
      <rPr>
        <sz val="12"/>
        <color theme="1"/>
        <rFont val="Times New Roman"/>
        <family val="1"/>
      </rPr>
      <t>Giáo viên điểm danh theo ngày và đánh dấu: X: có mặt; V: vắng mặt</t>
    </r>
  </si>
  <si>
    <t xml:space="preserve">    Nguyễn Chí Kiên</t>
  </si>
  <si>
    <t xml:space="preserve">                                                            </t>
  </si>
  <si>
    <t>Nguyễn Cao Bình</t>
  </si>
  <si>
    <r>
      <t>-</t>
    </r>
    <r>
      <rPr>
        <sz val="7"/>
        <color theme="1"/>
        <rFont val="Times New Roman"/>
        <family val="1"/>
      </rPr>
      <t>  </t>
    </r>
    <r>
      <rPr>
        <sz val="12"/>
        <color theme="1"/>
        <rFont val="Times New Roman"/>
        <family val="1"/>
      </rPr>
      <t xml:space="preserve">Trang thiết bị thực hành (áp dụng đối với nội dung thực hành Nghiệp vụ điều khiển/vận hành thiết bị): </t>
    </r>
  </si>
  <si>
    <t>Họ tên:</t>
  </si>
  <si>
    <t>Họ tên: Nguyễn Chí Kiên</t>
  </si>
  <si>
    <t>…………………………………………………………………………………............................................</t>
  </si>
  <si>
    <t xml:space="preserve">Ngày:  </t>
  </si>
  <si>
    <t>Ngày :</t>
  </si>
  <si>
    <t>Yếu tố con người</t>
  </si>
  <si>
    <t>Công tác khẩn nguy tại cảng hàng không, sân bay</t>
  </si>
  <si>
    <t>Pháp luật về hàng không dân dụng</t>
  </si>
  <si>
    <t>An ninh hàng không dành cho nhân viên phục vụ kỹ thuật thương mại mặt đất của các đơn vị cung cấp dịch vụ hàng không tại cảng hàng không, sân bay</t>
  </si>
  <si>
    <t>Hàng nguy hiểm dành cho người thực hiện nhiệm vụ có tiếp xúc trực tiếp với hành khách tại sân bay</t>
  </si>
  <si>
    <t>HNH dành cho người chịu trách nhiệm chấp nhận hành lý của hành khách và tổ bay, kiểm soát khu vực cửa khởi hành</t>
  </si>
  <si>
    <t xml:space="preserve">Nghiệp vụ làm thủ tục hành khách QN </t>
  </si>
  <si>
    <t xml:space="preserve">Nghiệp vụ làm thủ tục hành khách Quốc tế </t>
  </si>
  <si>
    <t>- Loại hình/hình thức đào tạo: Định kỳ/Elearning+Trực tiếp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</si>
</sst>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_);_(* \(#,##0.00\);_(* &quot;-&quot;??_);_(@_)"/>
    <numFmt numFmtId="165" formatCode="_-* #,##0.00\ _p_t_a_-;\-* #,##0.00\ _p_t_a_-;_-* &quot;-&quot;??\ _p_t_a_-;_-@_-"/>
    <numFmt numFmtId="166" formatCode="\$#,##0\ ;\(\$#,##0\)"/>
    <numFmt numFmtId="167" formatCode="&quot;\&quot;#,##0;[Red]&quot;\&quot;&quot;\&quot;\-#,##0"/>
    <numFmt numFmtId="168" formatCode="&quot;\&quot;#,##0.00;[Red]&quot;\&quot;&quot;\&quot;&quot;\&quot;&quot;\&quot;&quot;\&quot;&quot;\&quot;\-#,##0.00"/>
    <numFmt numFmtId="169" formatCode="&quot;\&quot;#,##0.00;[Red]&quot;\&quot;\-#,##0.00"/>
    <numFmt numFmtId="170" formatCode="&quot;\&quot;#,##0;[Red]&quot;\&quot;\-#,##0"/>
    <numFmt numFmtId="171" formatCode="dd\/mm\/yyyy"/>
    <numFmt numFmtId="172" formatCode="dd/mm"/>
  </numFmts>
  <fonts count="48">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b/>
      <sz val="18"/>
      <color theme="1"/>
      <name val="Times New Roman"/>
      <family val="1"/>
    </font>
    <font>
      <i/>
      <sz val="13"/>
      <color theme="1"/>
      <name val="Times New Roman"/>
      <family val="1"/>
    </font>
    <font>
      <sz val="11"/>
      <color theme="1"/>
      <name val="Times New Roman"/>
      <family val="1"/>
    </font>
    <font>
      <b/>
      <sz val="14"/>
      <color theme="1"/>
      <name val="Times New Roman"/>
      <family val="1"/>
    </font>
    <font>
      <sz val="12"/>
      <name val="Times New Roman"/>
      <family val="1"/>
    </font>
    <font>
      <sz val="12"/>
      <color theme="1"/>
      <name val="Times New Roman"/>
      <family val="1"/>
    </font>
    <font>
      <b/>
      <sz val="10"/>
      <color theme="1"/>
      <name val="Times New Roman"/>
      <family val="1"/>
    </font>
    <font>
      <b/>
      <sz val="12"/>
      <name val="Times New Roman"/>
      <family val="1"/>
    </font>
    <font>
      <b/>
      <sz val="12"/>
      <color theme="1"/>
      <name val="Times New Roman"/>
      <family val="1"/>
    </font>
    <font>
      <sz val="11"/>
      <color rgb="FF0000FF"/>
      <name val="Calibri"/>
      <family val="2"/>
      <scheme val="minor"/>
    </font>
    <font>
      <sz val="11"/>
      <color theme="1"/>
      <name val="Calibri"/>
      <family val="2"/>
      <charset val="163"/>
      <scheme val="minor"/>
    </font>
    <font>
      <b/>
      <sz val="14"/>
      <name val="Times New Roman"/>
      <family val="1"/>
    </font>
    <font>
      <sz val="14"/>
      <name val="Times New Roman"/>
      <family val="1"/>
    </font>
    <font>
      <sz val="10"/>
      <name val="Arial"/>
      <family val="2"/>
    </font>
    <font>
      <sz val="12"/>
      <name val=".VnTime"/>
      <family val="2"/>
    </font>
    <font>
      <sz val="10"/>
      <name val="Helv"/>
      <family val="2"/>
    </font>
    <font>
      <sz val="10"/>
      <color indexed="8"/>
      <name val="Arial"/>
      <family val="2"/>
    </font>
    <font>
      <sz val="14"/>
      <name val="뼻뮝"/>
      <family val="3"/>
      <charset val="129"/>
    </font>
    <font>
      <sz val="12"/>
      <name val="뼻뮝"/>
      <family val="1"/>
      <charset val="129"/>
    </font>
    <font>
      <sz val="12"/>
      <name val="바탕체"/>
      <family val="1"/>
      <charset val="129"/>
    </font>
    <font>
      <sz val="10"/>
      <name val="굴림체"/>
      <family val="3"/>
      <charset val="129"/>
    </font>
    <font>
      <sz val="8"/>
      <color indexed="8"/>
      <name val="Tahoma"/>
      <family val="2"/>
    </font>
    <font>
      <sz val="8"/>
      <color indexed="8"/>
      <name val="Tahoma"/>
      <family val="2"/>
      <charset val="163"/>
    </font>
    <font>
      <sz val="10"/>
      <name val="Arial"/>
      <family val="2"/>
      <charset val="163"/>
    </font>
    <font>
      <u/>
      <sz val="11"/>
      <color theme="10"/>
      <name val="Calibri"/>
      <family val="2"/>
    </font>
    <font>
      <sz val="12"/>
      <color theme="1"/>
      <name val="Times New Roman"/>
      <family val="2"/>
    </font>
    <font>
      <sz val="12"/>
      <color rgb="FF000000"/>
      <name val="Times New Roman"/>
      <family val="1"/>
    </font>
    <font>
      <sz val="10"/>
      <color rgb="FF000000"/>
      <name val="Arial"/>
      <family val="2"/>
    </font>
    <font>
      <sz val="12"/>
      <color rgb="FFFF0000"/>
      <name val="Times New Roman"/>
      <family val="1"/>
    </font>
    <font>
      <sz val="10"/>
      <color theme="1"/>
      <name val="Times New Roman"/>
      <family val="1"/>
    </font>
    <font>
      <sz val="10"/>
      <name val="Times New Roman"/>
      <family val="1"/>
    </font>
    <font>
      <i/>
      <sz val="14"/>
      <color theme="1"/>
      <name val="Times New Roman"/>
      <family val="1"/>
    </font>
    <font>
      <sz val="8"/>
      <name val="Calibri"/>
      <family val="2"/>
      <scheme val="minor"/>
    </font>
    <font>
      <b/>
      <sz val="12"/>
      <color theme="1"/>
      <name val="Calibri"/>
      <family val="2"/>
      <scheme val="minor"/>
    </font>
    <font>
      <u/>
      <sz val="12"/>
      <color theme="10"/>
      <name val="Calibri"/>
      <family val="2"/>
      <scheme val="minor"/>
    </font>
    <font>
      <b/>
      <u/>
      <sz val="12"/>
      <color theme="1"/>
      <name val="Times New Roman"/>
      <family val="1"/>
    </font>
    <font>
      <sz val="7"/>
      <color theme="1"/>
      <name val="Times New Roman"/>
      <family val="1"/>
    </font>
    <font>
      <b/>
      <sz val="10"/>
      <name val="Times New Roman"/>
      <family val="1"/>
    </font>
    <font>
      <sz val="11"/>
      <name val="Calibri"/>
      <family val="2"/>
      <scheme val="minor"/>
    </font>
    <font>
      <sz val="12"/>
      <color theme="1"/>
      <name val="Times New Roman"/>
      <family val="1"/>
      <charset val="163"/>
    </font>
    <font>
      <u/>
      <sz val="11"/>
      <name val="Calibri"/>
      <family val="2"/>
      <scheme val="minor"/>
    </font>
    <font>
      <b/>
      <sz val="11"/>
      <color theme="1"/>
      <name val="Times New Roman"/>
      <family val="1"/>
    </font>
    <font>
      <sz val="11"/>
      <color rgb="FF0000FF"/>
      <name val="Times New Roman"/>
      <family val="1"/>
    </font>
  </fonts>
  <fills count="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FF00"/>
        <bgColor indexed="64"/>
      </patternFill>
    </fill>
    <fill>
      <patternFill patternType="solid">
        <fgColor rgb="FFFFFFFF"/>
        <bgColor rgb="FF000000"/>
      </patternFill>
    </fill>
  </fills>
  <borders count="1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48">
    <xf numFmtId="0" fontId="0" fillId="0" borderId="0"/>
    <xf numFmtId="0" fontId="3" fillId="0" borderId="0" applyNumberFormat="0" applyFill="0" applyBorder="0" applyAlignment="0" applyProtection="0"/>
    <xf numFmtId="0" fontId="1" fillId="0" borderId="0"/>
    <xf numFmtId="0" fontId="15" fillId="0" borderId="0"/>
    <xf numFmtId="0" fontId="1" fillId="0" borderId="0"/>
    <xf numFmtId="165" fontId="18" fillId="0" borderId="0" applyFont="0" applyFill="0" applyBorder="0" applyAlignment="0" applyProtection="0"/>
    <xf numFmtId="43" fontId="18" fillId="0" borderId="0" applyFont="0" applyFill="0" applyBorder="0" applyAlignment="0" applyProtection="0"/>
    <xf numFmtId="164" fontId="1" fillId="0" borderId="0" applyFont="0" applyFill="0" applyBorder="0" applyAlignment="0" applyProtection="0"/>
    <xf numFmtId="3" fontId="18" fillId="0" borderId="0" applyFont="0" applyFill="0" applyBorder="0" applyAlignment="0" applyProtection="0"/>
    <xf numFmtId="166" fontId="18" fillId="0" borderId="0" applyFont="0" applyFill="0" applyBorder="0" applyAlignment="0" applyProtection="0"/>
    <xf numFmtId="0" fontId="18" fillId="0" borderId="0" applyFont="0" applyFill="0" applyBorder="0" applyAlignment="0" applyProtection="0"/>
    <xf numFmtId="2" fontId="18" fillId="0" borderId="0" applyFont="0" applyFill="0" applyBorder="0" applyAlignment="0" applyProtection="0"/>
    <xf numFmtId="0" fontId="29" fillId="0" borderId="0" applyNumberFormat="0" applyFill="0" applyBorder="0" applyAlignment="0" applyProtection="0">
      <alignment vertical="top"/>
      <protection locked="0"/>
    </xf>
    <xf numFmtId="0" fontId="21" fillId="0" borderId="0"/>
    <xf numFmtId="0" fontId="28" fillId="0" borderId="0"/>
    <xf numFmtId="0" fontId="19" fillId="0" borderId="0"/>
    <xf numFmtId="0" fontId="30" fillId="0" borderId="0"/>
    <xf numFmtId="0" fontId="18" fillId="0" borderId="0"/>
    <xf numFmtId="0" fontId="18" fillId="0" borderId="0"/>
    <xf numFmtId="0" fontId="18" fillId="0" borderId="0"/>
    <xf numFmtId="0" fontId="9" fillId="0" borderId="0"/>
    <xf numFmtId="0" fontId="26" fillId="0" borderId="0"/>
    <xf numFmtId="0" fontId="18" fillId="0" borderId="0"/>
    <xf numFmtId="0" fontId="19" fillId="0" borderId="0"/>
    <xf numFmtId="0" fontId="18" fillId="0" borderId="0"/>
    <xf numFmtId="0" fontId="1" fillId="0" borderId="0"/>
    <xf numFmtId="0" fontId="30" fillId="0" borderId="0"/>
    <xf numFmtId="0" fontId="18" fillId="0" borderId="0"/>
    <xf numFmtId="0" fontId="21" fillId="0" borderId="0">
      <alignment vertical="top"/>
    </xf>
    <xf numFmtId="0" fontId="19" fillId="0" borderId="0"/>
    <xf numFmtId="0" fontId="27" fillId="0" borderId="0"/>
    <xf numFmtId="0" fontId="18" fillId="0" borderId="0"/>
    <xf numFmtId="9" fontId="28" fillId="0" borderId="0" applyFont="0" applyFill="0" applyBorder="0" applyAlignment="0" applyProtection="0"/>
    <xf numFmtId="0" fontId="20" fillId="0" borderId="0"/>
    <xf numFmtId="40" fontId="22" fillId="0" borderId="0" applyFont="0" applyFill="0" applyBorder="0" applyAlignment="0" applyProtection="0"/>
    <xf numFmtId="38"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10" fontId="18" fillId="0" borderId="0" applyFont="0" applyFill="0" applyBorder="0" applyAlignment="0" applyProtection="0"/>
    <xf numFmtId="0" fontId="23" fillId="0" borderId="0"/>
    <xf numFmtId="167" fontId="18" fillId="0" borderId="0" applyFont="0" applyFill="0" applyBorder="0" applyAlignment="0" applyProtection="0"/>
    <xf numFmtId="168" fontId="18" fillId="0" borderId="0" applyFont="0" applyFill="0" applyBorder="0" applyAlignment="0" applyProtection="0"/>
    <xf numFmtId="169" fontId="24" fillId="0" borderId="0" applyFont="0" applyFill="0" applyBorder="0" applyAlignment="0" applyProtection="0"/>
    <xf numFmtId="170" fontId="24" fillId="0" borderId="0" applyFont="0" applyFill="0" applyBorder="0" applyAlignment="0" applyProtection="0"/>
    <xf numFmtId="0" fontId="25" fillId="0" borderId="0"/>
    <xf numFmtId="0" fontId="28" fillId="0" borderId="0"/>
    <xf numFmtId="0" fontId="28" fillId="0" borderId="0"/>
    <xf numFmtId="0" fontId="19" fillId="0" borderId="0"/>
  </cellStyleXfs>
  <cellXfs count="177">
    <xf numFmtId="0" fontId="0" fillId="0" borderId="0" xfId="0"/>
    <xf numFmtId="0" fontId="4" fillId="0" borderId="0" xfId="0" applyFont="1"/>
    <xf numFmtId="0" fontId="9" fillId="0" borderId="0" xfId="0" applyFont="1" applyAlignment="1">
      <alignment horizontal="center" vertical="top"/>
    </xf>
    <xf numFmtId="0" fontId="10" fillId="0" borderId="0" xfId="0" applyFont="1" applyAlignment="1">
      <alignment vertical="center" wrapText="1"/>
    </xf>
    <xf numFmtId="0" fontId="9" fillId="0" borderId="0" xfId="0" applyFont="1" applyAlignment="1">
      <alignment vertical="top"/>
    </xf>
    <xf numFmtId="14" fontId="9" fillId="0" borderId="0" xfId="0" applyNumberFormat="1" applyFont="1" applyAlignment="1">
      <alignment vertical="top"/>
    </xf>
    <xf numFmtId="0" fontId="14" fillId="0" borderId="0" xfId="0" applyFont="1"/>
    <xf numFmtId="0" fontId="16" fillId="0" borderId="0" xfId="0" applyFont="1" applyAlignment="1">
      <alignment horizontal="center"/>
    </xf>
    <xf numFmtId="49" fontId="16" fillId="0" borderId="0" xfId="0" applyNumberFormat="1" applyFont="1" applyAlignment="1">
      <alignment horizontal="left"/>
    </xf>
    <xf numFmtId="0" fontId="17" fillId="0" borderId="0" xfId="0" applyFont="1" applyAlignment="1">
      <alignment vertical="top" wrapText="1"/>
    </xf>
    <xf numFmtId="49" fontId="16" fillId="0" borderId="0" xfId="0" applyNumberFormat="1" applyFont="1" applyAlignment="1">
      <alignment horizontal="center"/>
    </xf>
    <xf numFmtId="0" fontId="10" fillId="0" borderId="0" xfId="0" applyFont="1"/>
    <xf numFmtId="0" fontId="8" fillId="0" borderId="0" xfId="0" applyFont="1" applyAlignment="1">
      <alignment horizontal="center"/>
    </xf>
    <xf numFmtId="0" fontId="6" fillId="0" borderId="2" xfId="0" applyFont="1" applyBorder="1" applyAlignment="1">
      <alignment vertical="top"/>
    </xf>
    <xf numFmtId="0" fontId="6" fillId="0" borderId="3" xfId="0" applyFont="1" applyBorder="1" applyAlignment="1">
      <alignment vertical="top"/>
    </xf>
    <xf numFmtId="0" fontId="0" fillId="0" borderId="0" xfId="0" applyAlignment="1">
      <alignment horizontal="center"/>
    </xf>
    <xf numFmtId="16" fontId="11" fillId="0" borderId="1" xfId="0" applyNumberFormat="1" applyFont="1" applyBorder="1" applyAlignment="1">
      <alignment horizontal="center" vertical="top" wrapText="1"/>
    </xf>
    <xf numFmtId="0" fontId="13" fillId="0" borderId="1" xfId="0" applyFont="1" applyBorder="1" applyAlignment="1">
      <alignment vertical="top" wrapText="1"/>
    </xf>
    <xf numFmtId="0" fontId="10" fillId="0" borderId="1" xfId="0" applyFont="1" applyBorder="1" applyAlignment="1">
      <alignment horizontal="center" vertical="center" wrapText="1"/>
    </xf>
    <xf numFmtId="0" fontId="10" fillId="3" borderId="6"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0" fillId="0" borderId="13" xfId="0" applyFont="1" applyBorder="1" applyAlignment="1">
      <alignment horizontal="center" vertical="center" wrapText="1"/>
    </xf>
    <xf numFmtId="0" fontId="2" fillId="0" borderId="0" xfId="0" applyFont="1" applyAlignment="1">
      <alignment horizontal="center"/>
    </xf>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18" fillId="0" borderId="0" xfId="13" applyFont="1" applyAlignment="1">
      <alignment horizontal="left"/>
    </xf>
    <xf numFmtId="0" fontId="10" fillId="0" borderId="1" xfId="0" applyFont="1" applyBorder="1"/>
    <xf numFmtId="14" fontId="18" fillId="0" borderId="0" xfId="13" applyNumberFormat="1" applyFont="1" applyAlignment="1">
      <alignment horizontal="left"/>
    </xf>
    <xf numFmtId="0" fontId="32" fillId="0" borderId="0" xfId="13" applyFont="1" applyAlignment="1">
      <alignment horizontal="left"/>
    </xf>
    <xf numFmtId="14" fontId="32" fillId="0" borderId="0" xfId="13" applyNumberFormat="1" applyFont="1" applyAlignment="1">
      <alignment horizontal="left"/>
    </xf>
    <xf numFmtId="14" fontId="32" fillId="0" borderId="0" xfId="13" applyNumberFormat="1" applyFont="1" applyAlignment="1">
      <alignment horizontal="left" vertical="center"/>
    </xf>
    <xf numFmtId="0" fontId="35" fillId="0" borderId="0" xfId="0" applyFont="1"/>
    <xf numFmtId="0" fontId="35" fillId="0" borderId="0" xfId="0" applyFont="1" applyAlignment="1">
      <alignment horizontal="center"/>
    </xf>
    <xf numFmtId="0" fontId="36" fillId="0" borderId="4" xfId="0" applyFont="1" applyBorder="1" applyAlignment="1">
      <alignment vertical="top"/>
    </xf>
    <xf numFmtId="14" fontId="31" fillId="0" borderId="1" xfId="0" applyNumberFormat="1" applyFont="1" applyBorder="1" applyAlignment="1">
      <alignment horizontal="center" wrapText="1"/>
    </xf>
    <xf numFmtId="0" fontId="31" fillId="0" borderId="13" xfId="0" applyFont="1" applyBorder="1" applyAlignment="1">
      <alignment horizontal="center" wrapText="1"/>
    </xf>
    <xf numFmtId="16" fontId="34" fillId="0" borderId="6" xfId="0" applyNumberFormat="1" applyFont="1" applyBorder="1" applyAlignment="1">
      <alignment horizontal="center" vertical="center" wrapText="1"/>
    </xf>
    <xf numFmtId="0" fontId="9" fillId="0" borderId="10" xfId="0" applyFont="1" applyBorder="1"/>
    <xf numFmtId="0" fontId="38" fillId="0" borderId="0" xfId="0" applyFont="1" applyAlignment="1">
      <alignment horizontal="center"/>
    </xf>
    <xf numFmtId="0" fontId="39" fillId="0" borderId="0" xfId="1" applyFont="1" applyAlignment="1">
      <alignment horizontal="left" vertical="top" wrapText="1"/>
    </xf>
    <xf numFmtId="0" fontId="3" fillId="0" borderId="0" xfId="1" applyAlignment="1">
      <alignment horizontal="left" vertical="top" wrapText="1"/>
    </xf>
    <xf numFmtId="0" fontId="9" fillId="0" borderId="0" xfId="0" quotePrefix="1" applyFont="1" applyAlignment="1">
      <alignment horizontal="left" vertical="top"/>
    </xf>
    <xf numFmtId="0" fontId="7" fillId="0" borderId="0" xfId="0" applyFont="1" applyAlignment="1">
      <alignment horizontal="center" vertical="center"/>
    </xf>
    <xf numFmtId="0" fontId="40" fillId="0" borderId="0" xfId="0" applyFont="1" applyAlignment="1">
      <alignment vertical="center"/>
    </xf>
    <xf numFmtId="0" fontId="10" fillId="0" borderId="0" xfId="0" quotePrefix="1" applyFont="1" applyAlignment="1">
      <alignment horizontal="left" vertical="center"/>
    </xf>
    <xf numFmtId="0" fontId="9" fillId="0" borderId="0" xfId="0" applyFont="1" applyAlignment="1">
      <alignment horizontal="left" vertical="top"/>
    </xf>
    <xf numFmtId="16" fontId="11" fillId="0" borderId="0" xfId="0" applyNumberFormat="1" applyFont="1" applyAlignment="1">
      <alignment vertical="top" wrapText="1"/>
    </xf>
    <xf numFmtId="0" fontId="12" fillId="0" borderId="0" xfId="0" applyFont="1" applyAlignment="1">
      <alignment vertical="top" wrapText="1"/>
    </xf>
    <xf numFmtId="16" fontId="42" fillId="0" borderId="0" xfId="0" applyNumberFormat="1" applyFont="1" applyAlignment="1">
      <alignment horizontal="center" vertical="top" wrapText="1"/>
    </xf>
    <xf numFmtId="0" fontId="9" fillId="4" borderId="0" xfId="0" applyFont="1" applyFill="1"/>
    <xf numFmtId="14" fontId="9" fillId="0" borderId="0" xfId="0" quotePrefix="1" applyNumberFormat="1" applyFont="1" applyAlignment="1">
      <alignment horizontal="left" vertical="top"/>
    </xf>
    <xf numFmtId="0" fontId="9" fillId="4" borderId="0" xfId="0" applyFont="1" applyFill="1" applyAlignment="1">
      <alignment horizontal="left"/>
    </xf>
    <xf numFmtId="0" fontId="43" fillId="0" borderId="0" xfId="0" applyFont="1"/>
    <xf numFmtId="1" fontId="9" fillId="0" borderId="1" xfId="0" applyNumberFormat="1" applyFont="1" applyBorder="1" applyAlignment="1">
      <alignment horizontal="center" vertical="center" wrapText="1"/>
    </xf>
    <xf numFmtId="0" fontId="44" fillId="0" borderId="8" xfId="0" applyFont="1" applyBorder="1" applyAlignment="1">
      <alignment vertical="center"/>
    </xf>
    <xf numFmtId="0" fontId="44" fillId="0" borderId="8" xfId="0" applyFont="1" applyBorder="1" applyAlignment="1">
      <alignment vertical="center" wrapText="1"/>
    </xf>
    <xf numFmtId="0" fontId="9" fillId="0" borderId="0" xfId="0" applyFont="1"/>
    <xf numFmtId="0" fontId="4" fillId="0" borderId="7" xfId="0" applyFont="1" applyBorder="1"/>
    <xf numFmtId="0" fontId="13" fillId="0" borderId="0" xfId="0" applyFont="1"/>
    <xf numFmtId="0" fontId="9" fillId="0" borderId="7" xfId="0" applyFont="1" applyBorder="1"/>
    <xf numFmtId="0" fontId="44" fillId="0" borderId="11" xfId="0" applyFont="1" applyBorder="1"/>
    <xf numFmtId="0" fontId="9" fillId="0" borderId="9" xfId="0" applyFont="1" applyBorder="1"/>
    <xf numFmtId="0" fontId="44" fillId="0" borderId="11" xfId="0" applyFont="1" applyBorder="1" applyAlignment="1">
      <alignment vertical="center" wrapText="1"/>
    </xf>
    <xf numFmtId="0" fontId="43" fillId="0" borderId="0" xfId="0" applyFont="1" applyAlignment="1">
      <alignment horizontal="center"/>
    </xf>
    <xf numFmtId="0" fontId="45" fillId="0" borderId="0" xfId="1" applyFont="1" applyAlignment="1">
      <alignment horizontal="left"/>
    </xf>
    <xf numFmtId="14" fontId="9" fillId="0" borderId="0" xfId="0" quotePrefix="1" applyNumberFormat="1" applyFont="1" applyAlignment="1">
      <alignment vertical="top"/>
    </xf>
    <xf numFmtId="0" fontId="9" fillId="0" borderId="1" xfId="0" applyFont="1" applyBorder="1" applyAlignment="1">
      <alignment vertical="center"/>
    </xf>
    <xf numFmtId="0" fontId="9" fillId="0" borderId="0" xfId="0" applyFont="1" applyAlignment="1">
      <alignment vertical="center"/>
    </xf>
    <xf numFmtId="0" fontId="44" fillId="0" borderId="1" xfId="0" applyFont="1" applyBorder="1" applyAlignment="1">
      <alignment horizontal="center" vertical="center" wrapText="1"/>
    </xf>
    <xf numFmtId="0" fontId="9" fillId="0" borderId="1" xfId="0" applyFont="1" applyBorder="1" applyAlignment="1">
      <alignment horizontal="center" vertical="center" wrapText="1"/>
    </xf>
    <xf numFmtId="1" fontId="33" fillId="0" borderId="0" xfId="0" applyNumberFormat="1" applyFont="1" applyAlignment="1">
      <alignment horizontal="center" vertical="center"/>
    </xf>
    <xf numFmtId="1" fontId="33" fillId="0" borderId="0" xfId="0" applyNumberFormat="1" applyFont="1" applyAlignment="1">
      <alignment horizontal="center" vertical="center" wrapText="1"/>
    </xf>
    <xf numFmtId="0" fontId="4" fillId="0" borderId="3" xfId="0" applyFont="1" applyBorder="1"/>
    <xf numFmtId="0" fontId="44" fillId="0" borderId="0" xfId="0" applyFont="1" applyAlignment="1">
      <alignment vertical="center" wrapText="1"/>
    </xf>
    <xf numFmtId="0" fontId="44" fillId="0" borderId="0" xfId="0" applyFont="1" applyAlignment="1">
      <alignment vertical="center"/>
    </xf>
    <xf numFmtId="0" fontId="44" fillId="0" borderId="9" xfId="0" applyFont="1" applyBorder="1" applyAlignment="1">
      <alignment vertical="center" wrapText="1"/>
    </xf>
    <xf numFmtId="0" fontId="10" fillId="0" borderId="0" xfId="0" applyFont="1" applyAlignment="1">
      <alignment horizontal="center" vertical="center"/>
    </xf>
    <xf numFmtId="0" fontId="8" fillId="0" borderId="0" xfId="0" applyFont="1"/>
    <xf numFmtId="0" fontId="36" fillId="0" borderId="2" xfId="0" applyFont="1" applyBorder="1" applyAlignment="1">
      <alignment vertical="top"/>
    </xf>
    <xf numFmtId="0" fontId="7" fillId="0" borderId="11" xfId="0" applyFont="1" applyBorder="1" applyAlignment="1">
      <alignment vertical="center"/>
    </xf>
    <xf numFmtId="0" fontId="7" fillId="0" borderId="1" xfId="0" applyFont="1" applyBorder="1" applyAlignment="1">
      <alignment vertical="center"/>
    </xf>
    <xf numFmtId="0" fontId="7" fillId="0" borderId="0" xfId="0" applyFont="1"/>
    <xf numFmtId="0" fontId="7" fillId="0" borderId="2" xfId="0" applyFont="1" applyBorder="1"/>
    <xf numFmtId="0" fontId="46" fillId="0" borderId="0" xfId="0" applyFont="1" applyAlignment="1">
      <alignment horizontal="center" vertical="center"/>
    </xf>
    <xf numFmtId="0" fontId="10" fillId="0" borderId="0" xfId="0" applyFont="1" applyAlignment="1">
      <alignment vertical="center"/>
    </xf>
    <xf numFmtId="0" fontId="47" fillId="0" borderId="0" xfId="0" applyFont="1"/>
    <xf numFmtId="0" fontId="7" fillId="0" borderId="13" xfId="0" applyFont="1" applyBorder="1"/>
    <xf numFmtId="0" fontId="7" fillId="0" borderId="0" xfId="0" applyFont="1" applyAlignment="1">
      <alignment horizontal="center"/>
    </xf>
    <xf numFmtId="0" fontId="9" fillId="2" borderId="1" xfId="3" applyFont="1" applyFill="1" applyBorder="1" applyAlignment="1">
      <alignment horizontal="center" vertical="center" wrapText="1"/>
    </xf>
    <xf numFmtId="171" fontId="10" fillId="0" borderId="0" xfId="0" applyNumberFormat="1" applyFont="1" applyAlignment="1">
      <alignment horizontal="left" vertical="center"/>
    </xf>
    <xf numFmtId="0" fontId="9" fillId="0" borderId="0" xfId="0" quotePrefix="1" applyFont="1" applyAlignment="1">
      <alignment horizontal="left" vertical="center"/>
    </xf>
    <xf numFmtId="0" fontId="9" fillId="0" borderId="0" xfId="0" applyFont="1" applyAlignment="1">
      <alignment vertical="center" wrapText="1"/>
    </xf>
    <xf numFmtId="0" fontId="9" fillId="0" borderId="0" xfId="0" applyFont="1" applyAlignment="1">
      <alignment horizontal="left" vertical="center"/>
    </xf>
    <xf numFmtId="0" fontId="13" fillId="0" borderId="0" xfId="0" applyFont="1" applyAlignment="1">
      <alignment vertical="center" wrapText="1"/>
    </xf>
    <xf numFmtId="16" fontId="13" fillId="0" borderId="0" xfId="0" applyNumberFormat="1" applyFont="1" applyAlignment="1">
      <alignment horizontal="center" vertical="center" wrapText="1"/>
    </xf>
    <xf numFmtId="171" fontId="9" fillId="0" borderId="0" xfId="0" quotePrefix="1" applyNumberFormat="1" applyFont="1" applyAlignment="1">
      <alignment horizontal="left" vertical="center"/>
    </xf>
    <xf numFmtId="14" fontId="9" fillId="0" borderId="0" xfId="0" applyNumberFormat="1" applyFont="1" applyAlignment="1">
      <alignment vertical="center"/>
    </xf>
    <xf numFmtId="14" fontId="9" fillId="0" borderId="0" xfId="0" applyNumberFormat="1" applyFont="1" applyAlignment="1">
      <alignment horizontal="left" vertical="center"/>
    </xf>
    <xf numFmtId="0" fontId="44" fillId="0" borderId="4" xfId="0" applyFont="1" applyBorder="1" applyAlignment="1">
      <alignment vertical="top"/>
    </xf>
    <xf numFmtId="0" fontId="13" fillId="0" borderId="2" xfId="0" applyFont="1" applyBorder="1" applyAlignment="1">
      <alignment vertical="top"/>
    </xf>
    <xf numFmtId="0" fontId="44" fillId="0" borderId="2" xfId="0" applyFont="1" applyBorder="1" applyAlignment="1">
      <alignment vertical="top"/>
    </xf>
    <xf numFmtId="0" fontId="4" fillId="0" borderId="2" xfId="0" applyFont="1" applyBorder="1" applyAlignment="1">
      <alignment vertical="top"/>
    </xf>
    <xf numFmtId="0" fontId="9" fillId="0" borderId="3" xfId="0" applyFont="1" applyBorder="1" applyAlignment="1">
      <alignment vertical="top"/>
    </xf>
    <xf numFmtId="0" fontId="10" fillId="0" borderId="4" xfId="0" applyFont="1" applyBorder="1" applyAlignment="1">
      <alignment vertical="top"/>
    </xf>
    <xf numFmtId="0" fontId="10" fillId="2" borderId="1" xfId="0" applyFont="1" applyFill="1" applyBorder="1" applyAlignment="1">
      <alignment horizontal="center" vertical="center"/>
    </xf>
    <xf numFmtId="0" fontId="10" fillId="0" borderId="1" xfId="47" applyFont="1" applyBorder="1" applyAlignment="1">
      <alignment vertical="center" wrapText="1"/>
    </xf>
    <xf numFmtId="49" fontId="16" fillId="0" borderId="0" xfId="0" applyNumberFormat="1" applyFont="1" applyAlignment="1">
      <alignment horizontal="left" vertical="center"/>
    </xf>
    <xf numFmtId="49" fontId="16" fillId="0" borderId="0" xfId="0" applyNumberFormat="1" applyFont="1" applyAlignment="1">
      <alignment horizontal="center" vertical="center"/>
    </xf>
    <xf numFmtId="14" fontId="0" fillId="0" borderId="0" xfId="0" applyNumberFormat="1" applyAlignment="1">
      <alignment horizontal="left" vertical="center"/>
    </xf>
    <xf numFmtId="14" fontId="2" fillId="0" borderId="0" xfId="0" applyNumberFormat="1" applyFont="1" applyAlignment="1">
      <alignment horizontal="left"/>
    </xf>
    <xf numFmtId="14" fontId="0" fillId="0" borderId="0" xfId="0" applyNumberFormat="1" applyAlignment="1">
      <alignment vertical="center"/>
    </xf>
    <xf numFmtId="14" fontId="0" fillId="0" borderId="0" xfId="0" applyNumberFormat="1" applyAlignment="1">
      <alignment horizontal="left"/>
    </xf>
    <xf numFmtId="172" fontId="10" fillId="0" borderId="1" xfId="0" quotePrefix="1" applyNumberFormat="1" applyFont="1" applyBorder="1" applyAlignment="1">
      <alignment horizontal="center" vertical="center" wrapText="1"/>
    </xf>
    <xf numFmtId="0" fontId="9" fillId="0" borderId="1" xfId="0" applyFont="1" applyBorder="1" applyAlignment="1">
      <alignment horizontal="center" vertical="center"/>
    </xf>
    <xf numFmtId="0" fontId="10" fillId="0" borderId="5" xfId="0" applyFont="1" applyBorder="1" applyAlignment="1">
      <alignment horizontal="left" vertical="center"/>
    </xf>
    <xf numFmtId="0" fontId="10" fillId="0" borderId="6" xfId="0" applyFont="1" applyBorder="1" applyAlignment="1">
      <alignment horizontal="left" vertical="center"/>
    </xf>
    <xf numFmtId="0" fontId="9" fillId="2" borderId="5" xfId="3" applyFont="1" applyFill="1" applyBorder="1" applyAlignment="1">
      <alignment horizontal="left" vertical="center"/>
    </xf>
    <xf numFmtId="0" fontId="9" fillId="2" borderId="6" xfId="3" applyFont="1" applyFill="1" applyBorder="1" applyAlignment="1">
      <alignment horizontal="left" vertical="center"/>
    </xf>
    <xf numFmtId="0" fontId="31" fillId="0" borderId="1" xfId="0" applyFont="1" applyBorder="1" applyAlignment="1">
      <alignment horizontal="center" wrapText="1"/>
    </xf>
    <xf numFmtId="14" fontId="31" fillId="0" borderId="13" xfId="0" applyNumberFormat="1" applyFont="1" applyBorder="1" applyAlignment="1">
      <alignment horizontal="center" wrapText="1"/>
    </xf>
    <xf numFmtId="0" fontId="2" fillId="0" borderId="0" xfId="0" applyFont="1" applyAlignment="1">
      <alignment horizontal="center" vertical="center"/>
    </xf>
    <xf numFmtId="0" fontId="0" fillId="0" borderId="4"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0" fillId="0" borderId="7" xfId="0" applyBorder="1" applyAlignment="1">
      <alignment horizontal="center"/>
    </xf>
    <xf numFmtId="0" fontId="0" fillId="0" borderId="11"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10"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0"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13"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13" xfId="0" applyFont="1" applyBorder="1" applyAlignment="1">
      <alignment horizontal="center" vertical="center" wrapText="1"/>
    </xf>
    <xf numFmtId="0" fontId="8" fillId="0" borderId="8" xfId="0" applyFont="1" applyBorder="1" applyAlignment="1">
      <alignment horizontal="center" vertical="center" wrapText="1"/>
    </xf>
    <xf numFmtId="0" fontId="8" fillId="0" borderId="0" xfId="0" applyFont="1" applyAlignment="1">
      <alignment horizontal="center" vertical="center" wrapText="1"/>
    </xf>
    <xf numFmtId="0" fontId="8" fillId="0" borderId="7"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10"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10" fillId="0" borderId="5" xfId="0" applyFont="1" applyBorder="1" applyAlignment="1">
      <alignment horizontal="left"/>
    </xf>
    <xf numFmtId="0" fontId="10" fillId="0" borderId="6" xfId="0" applyFont="1" applyBorder="1" applyAlignment="1">
      <alignment horizontal="left"/>
    </xf>
    <xf numFmtId="0" fontId="7" fillId="0" borderId="4" xfId="0" applyFont="1" applyBorder="1" applyAlignment="1">
      <alignment horizontal="center"/>
    </xf>
    <xf numFmtId="0" fontId="7" fillId="0" borderId="2" xfId="0" applyFont="1" applyBorder="1" applyAlignment="1">
      <alignment horizontal="center"/>
    </xf>
    <xf numFmtId="0" fontId="7" fillId="0" borderId="3" xfId="0" applyFont="1" applyBorder="1" applyAlignment="1">
      <alignment horizontal="center"/>
    </xf>
    <xf numFmtId="0" fontId="7" fillId="0" borderId="8" xfId="0" applyFont="1" applyBorder="1" applyAlignment="1">
      <alignment horizontal="center"/>
    </xf>
    <xf numFmtId="0" fontId="7" fillId="0" borderId="0" xfId="0" applyFont="1" applyAlignment="1">
      <alignment horizontal="center"/>
    </xf>
    <xf numFmtId="0" fontId="7" fillId="0" borderId="7" xfId="0" applyFont="1" applyBorder="1" applyAlignment="1">
      <alignment horizontal="center"/>
    </xf>
    <xf numFmtId="0" fontId="7" fillId="0" borderId="11" xfId="0" applyFont="1" applyBorder="1" applyAlignment="1">
      <alignment horizontal="center"/>
    </xf>
    <xf numFmtId="0" fontId="7" fillId="0" borderId="9" xfId="0" applyFont="1" applyBorder="1" applyAlignment="1">
      <alignment horizontal="center"/>
    </xf>
    <xf numFmtId="0" fontId="7" fillId="0" borderId="10" xfId="0" applyFont="1" applyBorder="1" applyAlignment="1">
      <alignment horizontal="center"/>
    </xf>
    <xf numFmtId="0" fontId="10" fillId="0" borderId="5" xfId="0" applyFont="1" applyBorder="1" applyAlignment="1">
      <alignment horizontal="left" vertical="top" wrapText="1"/>
    </xf>
    <xf numFmtId="0" fontId="10" fillId="0" borderId="14" xfId="0" applyFont="1" applyBorder="1" applyAlignment="1">
      <alignment horizontal="left" vertical="top"/>
    </xf>
    <xf numFmtId="0" fontId="10" fillId="0" borderId="6" xfId="0" applyFont="1" applyBorder="1" applyAlignment="1">
      <alignment horizontal="left" vertical="top"/>
    </xf>
    <xf numFmtId="16" fontId="11" fillId="0" borderId="0" xfId="0" applyNumberFormat="1" applyFont="1" applyAlignment="1">
      <alignment horizontal="center" vertical="top" wrapText="1"/>
    </xf>
    <xf numFmtId="0" fontId="9" fillId="0" borderId="0" xfId="0" quotePrefix="1" applyFont="1" applyAlignment="1">
      <alignment horizontal="left" vertical="center"/>
    </xf>
    <xf numFmtId="0" fontId="9" fillId="0" borderId="0" xfId="0" applyFont="1" applyAlignment="1">
      <alignment horizontal="left" vertical="center"/>
    </xf>
    <xf numFmtId="0" fontId="12" fillId="2" borderId="12" xfId="0" applyFont="1" applyFill="1" applyBorder="1" applyAlignment="1">
      <alignment horizontal="center" vertical="center"/>
    </xf>
    <xf numFmtId="0" fontId="12" fillId="2" borderId="13" xfId="0" applyFont="1" applyFill="1" applyBorder="1" applyAlignment="1">
      <alignment horizontal="center" vertical="center"/>
    </xf>
    <xf numFmtId="0" fontId="12" fillId="2" borderId="12" xfId="0" applyFont="1" applyFill="1" applyBorder="1" applyAlignment="1">
      <alignment horizontal="center" vertical="center" wrapText="1"/>
    </xf>
    <xf numFmtId="0" fontId="12" fillId="2" borderId="13" xfId="0" applyFont="1" applyFill="1" applyBorder="1" applyAlignment="1">
      <alignment horizontal="center" vertical="center" wrapText="1"/>
    </xf>
    <xf numFmtId="0" fontId="12" fillId="0" borderId="12" xfId="2" applyFont="1" applyBorder="1" applyAlignment="1">
      <alignment horizontal="center" vertical="center" wrapText="1"/>
    </xf>
    <xf numFmtId="0" fontId="12" fillId="0" borderId="13" xfId="2" applyFont="1" applyBorder="1" applyAlignment="1">
      <alignment horizontal="center" vertical="center" wrapText="1"/>
    </xf>
    <xf numFmtId="0" fontId="9" fillId="0" borderId="0" xfId="0" applyFont="1" applyAlignment="1">
      <alignment horizontal="left" vertical="top" wrapText="1"/>
    </xf>
    <xf numFmtId="0" fontId="9" fillId="5" borderId="0" xfId="0" applyFont="1" applyFill="1" applyAlignment="1">
      <alignment horizontal="left" vertical="top" wrapText="1"/>
    </xf>
  </cellXfs>
  <cellStyles count="48">
    <cellStyle name="Bình thường 2" xfId="4" xr:uid="{00000000-0005-0000-0000-000000000000}"/>
    <cellStyle name="Comma 2" xfId="5" xr:uid="{00000000-0005-0000-0000-000001000000}"/>
    <cellStyle name="Comma 2 2" xfId="6" xr:uid="{00000000-0005-0000-0000-000002000000}"/>
    <cellStyle name="Comma 3" xfId="7" xr:uid="{00000000-0005-0000-0000-000003000000}"/>
    <cellStyle name="Comma0" xfId="8" xr:uid="{00000000-0005-0000-0000-000004000000}"/>
    <cellStyle name="Currency0" xfId="9" xr:uid="{00000000-0005-0000-0000-000005000000}"/>
    <cellStyle name="Date" xfId="10" xr:uid="{00000000-0005-0000-0000-000006000000}"/>
    <cellStyle name="Fixed" xfId="11" xr:uid="{00000000-0005-0000-0000-000007000000}"/>
    <cellStyle name="Hyperlink" xfId="1" builtinId="8"/>
    <cellStyle name="Hyperlink 2" xfId="12" xr:uid="{00000000-0005-0000-0000-000009000000}"/>
    <cellStyle name="Normal" xfId="0" builtinId="0"/>
    <cellStyle name="Normal 10" xfId="13" xr:uid="{00000000-0005-0000-0000-00000B000000}"/>
    <cellStyle name="Normal 14" xfId="14" xr:uid="{00000000-0005-0000-0000-00000C000000}"/>
    <cellStyle name="Normal 14 2" xfId="45" xr:uid="{00000000-0005-0000-0000-00000D000000}"/>
    <cellStyle name="Normal 2" xfId="2" xr:uid="{00000000-0005-0000-0000-00000E000000}"/>
    <cellStyle name="Normal 2 2" xfId="3" xr:uid="{00000000-0005-0000-0000-00000F000000}"/>
    <cellStyle name="Normal 2 3" xfId="15" xr:uid="{00000000-0005-0000-0000-000010000000}"/>
    <cellStyle name="Normal 2 4" xfId="16" xr:uid="{00000000-0005-0000-0000-000011000000}"/>
    <cellStyle name="Normal 2 5" xfId="17" xr:uid="{00000000-0005-0000-0000-000012000000}"/>
    <cellStyle name="Normal 20" xfId="18" xr:uid="{00000000-0005-0000-0000-000013000000}"/>
    <cellStyle name="Normal 3" xfId="19" xr:uid="{00000000-0005-0000-0000-000014000000}"/>
    <cellStyle name="Normal 3 2" xfId="20" xr:uid="{00000000-0005-0000-0000-000015000000}"/>
    <cellStyle name="Normal 3 3" xfId="21" xr:uid="{00000000-0005-0000-0000-000016000000}"/>
    <cellStyle name="Normal 33" xfId="22" xr:uid="{00000000-0005-0000-0000-000017000000}"/>
    <cellStyle name="Normal 39" xfId="23" xr:uid="{00000000-0005-0000-0000-000018000000}"/>
    <cellStyle name="Normal 4" xfId="24" xr:uid="{00000000-0005-0000-0000-000019000000}"/>
    <cellStyle name="Normal 4 2" xfId="25" xr:uid="{00000000-0005-0000-0000-00001A000000}"/>
    <cellStyle name="Normal 5" xfId="26" xr:uid="{00000000-0005-0000-0000-00001B000000}"/>
    <cellStyle name="Normal 5 2" xfId="27" xr:uid="{00000000-0005-0000-0000-00001C000000}"/>
    <cellStyle name="Normal 5 3" xfId="46" xr:uid="{00000000-0005-0000-0000-00001D000000}"/>
    <cellStyle name="Normal 6" xfId="28" xr:uid="{00000000-0005-0000-0000-00001E000000}"/>
    <cellStyle name="Normal 7" xfId="29" xr:uid="{00000000-0005-0000-0000-00001F000000}"/>
    <cellStyle name="Normal 7 2" xfId="30" xr:uid="{00000000-0005-0000-0000-000020000000}"/>
    <cellStyle name="Normal 8" xfId="31" xr:uid="{00000000-0005-0000-0000-000021000000}"/>
    <cellStyle name="Normal_Sheet1" xfId="47" xr:uid="{BC2FFFC0-FE9C-43AC-9A26-7F651294F27B}"/>
    <cellStyle name="Percent 2" xfId="32" xr:uid="{00000000-0005-0000-0000-000023000000}"/>
    <cellStyle name="Style 1" xfId="33" xr:uid="{00000000-0005-0000-0000-000024000000}"/>
    <cellStyle name="똿뗦먛귟 [0.00]_PRODUCT DETAIL Q1" xfId="34" xr:uid="{00000000-0005-0000-0000-000025000000}"/>
    <cellStyle name="똿뗦먛귟_PRODUCT DETAIL Q1" xfId="35" xr:uid="{00000000-0005-0000-0000-000026000000}"/>
    <cellStyle name="믅됞 [0.00]_PRODUCT DETAIL Q1" xfId="36" xr:uid="{00000000-0005-0000-0000-000027000000}"/>
    <cellStyle name="믅됞_PRODUCT DETAIL Q1" xfId="37" xr:uid="{00000000-0005-0000-0000-000028000000}"/>
    <cellStyle name="백분율_HOBONG" xfId="38" xr:uid="{00000000-0005-0000-0000-000029000000}"/>
    <cellStyle name="뷭?_BOOKSHIP" xfId="39" xr:uid="{00000000-0005-0000-0000-00002A000000}"/>
    <cellStyle name="콤마 [0]_1202" xfId="40" xr:uid="{00000000-0005-0000-0000-00002B000000}"/>
    <cellStyle name="콤마_1202" xfId="41" xr:uid="{00000000-0005-0000-0000-00002C000000}"/>
    <cellStyle name="통화 [0]_1202" xfId="42" xr:uid="{00000000-0005-0000-0000-00002D000000}"/>
    <cellStyle name="통화_1202" xfId="43" xr:uid="{00000000-0005-0000-0000-00002E000000}"/>
    <cellStyle name="표준_(정보부문)월별인원계획" xfId="44" xr:uid="{00000000-0005-0000-0000-00002F000000}"/>
  </cellStyles>
  <dxfs count="212">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hyperlink" Target="#'Muc luc'!A1"/><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 Id="rId4"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 Id="rId4" Type="http://schemas.openxmlformats.org/officeDocument/2006/relationships/image" Target="../media/image3.png"/></Relationships>
</file>

<file path=xl/drawings/_rels/drawing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10.xml.rels><?xml version="1.0" encoding="UTF-8" standalone="yes"?>
<Relationships xmlns="http://schemas.openxmlformats.org/package/2006/relationships"><Relationship Id="rId3" Type="http://schemas.openxmlformats.org/officeDocument/2006/relationships/hyperlink" Target="#'Muc luc'!A1"/><Relationship Id="rId2" Type="http://schemas.openxmlformats.org/officeDocument/2006/relationships/image" Target="../media/image4.png"/><Relationship Id="rId1" Type="http://schemas.openxmlformats.org/officeDocument/2006/relationships/image" Target="../media/image2.png"/><Relationship Id="rId5" Type="http://schemas.openxmlformats.org/officeDocument/2006/relationships/image" Target="../media/image3.png"/><Relationship Id="rId4"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 Id="rId4" Type="http://schemas.openxmlformats.org/officeDocument/2006/relationships/image" Target="../media/image3.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drawings/_rels/drawing1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drawings/_rels/drawing1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1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1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 Id="rId4" Type="http://schemas.openxmlformats.org/officeDocument/2006/relationships/image" Target="../media/image3.png"/></Relationships>
</file>

<file path=xl/drawings/_rels/drawing1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 Id="rId4" Type="http://schemas.openxmlformats.org/officeDocument/2006/relationships/image" Target="../media/image3.png"/></Relationships>
</file>

<file path=xl/drawings/_rels/drawing1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 Id="rId4" Type="http://schemas.openxmlformats.org/officeDocument/2006/relationships/image" Target="../media/image3.png"/></Relationships>
</file>

<file path=xl/drawings/_rels/drawing1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 Id="rId4" Type="http://schemas.openxmlformats.org/officeDocument/2006/relationships/image" Target="../media/image3.png"/></Relationships>
</file>

<file path=xl/drawings/_rels/drawing20.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 Id="rId4" Type="http://schemas.openxmlformats.org/officeDocument/2006/relationships/image" Target="../media/image3.png"/></Relationships>
</file>

<file path=xl/drawings/_rels/drawing2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 Id="rId4" Type="http://schemas.openxmlformats.org/officeDocument/2006/relationships/image" Target="../media/image3.png"/></Relationships>
</file>

<file path=xl/drawings/_rels/drawing2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 Id="rId4" Type="http://schemas.openxmlformats.org/officeDocument/2006/relationships/image" Target="../media/image3.png"/></Relationships>
</file>

<file path=xl/drawings/_rels/drawing2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2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2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2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2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2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2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hyperlink" Target="#'Muc luc'!A1"/><Relationship Id="rId5" Type="http://schemas.openxmlformats.org/officeDocument/2006/relationships/image" Target="../media/image3.png"/><Relationship Id="rId4" Type="http://schemas.openxmlformats.org/officeDocument/2006/relationships/image" Target="../media/image1.png"/></Relationships>
</file>

<file path=xl/drawings/_rels/drawing3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hyperlink" Target="#'Muc luc'!A1"/><Relationship Id="rId5" Type="http://schemas.openxmlformats.org/officeDocument/2006/relationships/image" Target="../media/image3.png"/><Relationship Id="rId4" Type="http://schemas.openxmlformats.org/officeDocument/2006/relationships/image" Target="../media/image1.png"/></Relationships>
</file>

<file path=xl/drawings/_rels/drawing3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7.png"/><Relationship Id="rId1" Type="http://schemas.openxmlformats.org/officeDocument/2006/relationships/hyperlink" Target="#'Muc luc'!A1"/><Relationship Id="rId5" Type="http://schemas.openxmlformats.org/officeDocument/2006/relationships/image" Target="../media/image3.png"/><Relationship Id="rId4" Type="http://schemas.openxmlformats.org/officeDocument/2006/relationships/image" Target="../media/image1.png"/></Relationships>
</file>

<file path=xl/drawings/_rels/drawing3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8.png"/><Relationship Id="rId1" Type="http://schemas.openxmlformats.org/officeDocument/2006/relationships/hyperlink" Target="#'Muc luc'!A1"/><Relationship Id="rId5" Type="http://schemas.openxmlformats.org/officeDocument/2006/relationships/image" Target="../media/image3.png"/><Relationship Id="rId4" Type="http://schemas.openxmlformats.org/officeDocument/2006/relationships/image" Target="../media/image1.png"/></Relationships>
</file>

<file path=xl/drawings/_rels/drawing3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 Id="rId4" Type="http://schemas.openxmlformats.org/officeDocument/2006/relationships/image" Target="../media/image3.png"/></Relationships>
</file>

<file path=xl/drawings/_rels/drawing3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9.png"/><Relationship Id="rId1" Type="http://schemas.openxmlformats.org/officeDocument/2006/relationships/hyperlink" Target="#'Muc luc'!A1"/><Relationship Id="rId5" Type="http://schemas.openxmlformats.org/officeDocument/2006/relationships/image" Target="../media/image3.png"/><Relationship Id="rId4" Type="http://schemas.openxmlformats.org/officeDocument/2006/relationships/image" Target="../media/image1.png"/></Relationships>
</file>

<file path=xl/drawings/_rels/drawing3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8.png"/><Relationship Id="rId1" Type="http://schemas.openxmlformats.org/officeDocument/2006/relationships/hyperlink" Target="#'Muc luc'!A1"/><Relationship Id="rId5" Type="http://schemas.openxmlformats.org/officeDocument/2006/relationships/image" Target="../media/image3.png"/><Relationship Id="rId4" Type="http://schemas.openxmlformats.org/officeDocument/2006/relationships/image" Target="../media/image1.png"/></Relationships>
</file>

<file path=xl/drawings/_rels/drawing3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0.png"/><Relationship Id="rId1" Type="http://schemas.openxmlformats.org/officeDocument/2006/relationships/hyperlink" Target="#'Muc luc'!A1"/><Relationship Id="rId5" Type="http://schemas.openxmlformats.org/officeDocument/2006/relationships/image" Target="../media/image3.png"/><Relationship Id="rId4" Type="http://schemas.openxmlformats.org/officeDocument/2006/relationships/image" Target="../media/image1.png"/></Relationships>
</file>

<file path=xl/drawings/_rels/drawing3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0.png"/><Relationship Id="rId1" Type="http://schemas.openxmlformats.org/officeDocument/2006/relationships/hyperlink" Target="#'Muc luc'!A1"/><Relationship Id="rId5" Type="http://schemas.openxmlformats.org/officeDocument/2006/relationships/image" Target="../media/image3.png"/><Relationship Id="rId4" Type="http://schemas.openxmlformats.org/officeDocument/2006/relationships/image" Target="../media/image1.png"/></Relationships>
</file>

<file path=xl/drawings/_rels/drawing3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1.png"/><Relationship Id="rId1" Type="http://schemas.openxmlformats.org/officeDocument/2006/relationships/hyperlink" Target="#'Muc luc'!A1"/><Relationship Id="rId5" Type="http://schemas.openxmlformats.org/officeDocument/2006/relationships/image" Target="../media/image3.png"/><Relationship Id="rId4" Type="http://schemas.openxmlformats.org/officeDocument/2006/relationships/image" Target="../media/image1.png"/></Relationships>
</file>

<file path=xl/drawings/_rels/drawing3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2.png"/><Relationship Id="rId1" Type="http://schemas.openxmlformats.org/officeDocument/2006/relationships/hyperlink" Target="#'Muc luc'!A1"/><Relationship Id="rId6" Type="http://schemas.openxmlformats.org/officeDocument/2006/relationships/image" Target="../media/image1.png"/><Relationship Id="rId5" Type="http://schemas.openxmlformats.org/officeDocument/2006/relationships/image" Target="../media/image3.png"/><Relationship Id="rId4" Type="http://schemas.openxmlformats.org/officeDocument/2006/relationships/image" Target="../media/image4.png"/></Relationships>
</file>

<file path=xl/drawings/_rels/drawing4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4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3.png"/><Relationship Id="rId1" Type="http://schemas.openxmlformats.org/officeDocument/2006/relationships/hyperlink" Target="#'Muc luc'!A1"/><Relationship Id="rId5" Type="http://schemas.openxmlformats.org/officeDocument/2006/relationships/image" Target="../media/image1.png"/><Relationship Id="rId4" Type="http://schemas.openxmlformats.org/officeDocument/2006/relationships/image" Target="../media/image3.png"/></Relationships>
</file>

<file path=xl/drawings/_rels/drawing4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4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4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4.png"/><Relationship Id="rId1" Type="http://schemas.openxmlformats.org/officeDocument/2006/relationships/hyperlink" Target="#'Muc luc'!A1"/><Relationship Id="rId5" Type="http://schemas.openxmlformats.org/officeDocument/2006/relationships/image" Target="../media/image1.png"/><Relationship Id="rId4" Type="http://schemas.openxmlformats.org/officeDocument/2006/relationships/image" Target="../media/image3.png"/></Relationships>
</file>

<file path=xl/drawings/_rels/drawing4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4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4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4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4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5" Type="http://schemas.openxmlformats.org/officeDocument/2006/relationships/image" Target="../media/image3.png"/><Relationship Id="rId4" Type="http://schemas.openxmlformats.org/officeDocument/2006/relationships/image" Target="../media/image4.png"/></Relationships>
</file>

<file path=xl/drawings/_rels/drawing5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5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5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5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7199" y="230488"/>
          <a:ext cx="2079171"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3" name="Picture 4" descr="VIAGS xanh">
          <a:extLst>
            <a:ext uri="{FF2B5EF4-FFF2-40B4-BE49-F238E27FC236}">
              <a16:creationId xmlns:a16="http://schemas.microsoft.com/office/drawing/2014/main" id="{00000000-0008-0000-0100-000003000000}"/>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613071" y="239486"/>
          <a:ext cx="1968496"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8" name="Picture 27" descr="VIAGS xanh">
          <a:extLst>
            <a:ext uri="{FF2B5EF4-FFF2-40B4-BE49-F238E27FC236}">
              <a16:creationId xmlns:a16="http://schemas.microsoft.com/office/drawing/2014/main" id="{550FCB6E-4C27-40AD-A813-7B446F73500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213123" y="246587"/>
          <a:ext cx="1796295"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059F5B25-5556-4EBE-9752-81D5FCBB320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348866A2-050A-48D4-A9D3-396078FA204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BC3DD07F-436C-4326-8F66-FC01E25EED1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4">
          <a:extLst>
            <a:ext uri="{FF2B5EF4-FFF2-40B4-BE49-F238E27FC236}">
              <a16:creationId xmlns:a16="http://schemas.microsoft.com/office/drawing/2014/main" id="{90882E02-5100-43CE-A6C2-0719DCF66C6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7">
          <a:extLst>
            <a:ext uri="{FF2B5EF4-FFF2-40B4-BE49-F238E27FC236}">
              <a16:creationId xmlns:a16="http://schemas.microsoft.com/office/drawing/2014/main" id="{0370EC7F-6169-418C-961B-B030063B77D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8">
          <a:extLst>
            <a:ext uri="{FF2B5EF4-FFF2-40B4-BE49-F238E27FC236}">
              <a16:creationId xmlns:a16="http://schemas.microsoft.com/office/drawing/2014/main" id="{35435070-6EB8-4956-B021-B7CB23CD4C5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 name="TextBox 4">
          <a:extLst>
            <a:ext uri="{FF2B5EF4-FFF2-40B4-BE49-F238E27FC236}">
              <a16:creationId xmlns:a16="http://schemas.microsoft.com/office/drawing/2014/main" id="{3DA568D3-003D-4641-ABDC-89C6C000E15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7">
          <a:extLst>
            <a:ext uri="{FF2B5EF4-FFF2-40B4-BE49-F238E27FC236}">
              <a16:creationId xmlns:a16="http://schemas.microsoft.com/office/drawing/2014/main" id="{CE86D763-73BD-48E5-A1E1-36C3CDA3D8F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8">
          <a:extLst>
            <a:ext uri="{FF2B5EF4-FFF2-40B4-BE49-F238E27FC236}">
              <a16:creationId xmlns:a16="http://schemas.microsoft.com/office/drawing/2014/main" id="{9E16A646-2C1A-49B3-80C3-F3B4B72C989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6">
          <a:extLst>
            <a:ext uri="{FF2B5EF4-FFF2-40B4-BE49-F238E27FC236}">
              <a16:creationId xmlns:a16="http://schemas.microsoft.com/office/drawing/2014/main" id="{02DDA33C-7198-42DC-8EE4-55C7F702961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12EDFC78-C6D4-4147-8C3E-A01922B5566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4</xdr:col>
      <xdr:colOff>20432</xdr:colOff>
      <xdr:row>1</xdr:row>
      <xdr:rowOff>188301</xdr:rowOff>
    </xdr:from>
    <xdr:ext cx="184731" cy="264560"/>
    <xdr:sp macro="" textlink="">
      <xdr:nvSpPr>
        <xdr:cNvPr id="9" name="TextBox 8">
          <a:extLst>
            <a:ext uri="{FF2B5EF4-FFF2-40B4-BE49-F238E27FC236}">
              <a16:creationId xmlns:a16="http://schemas.microsoft.com/office/drawing/2014/main" id="{2553BECA-0DE1-41D3-9767-353130E9CC63}"/>
            </a:ext>
            <a:ext uri="{147F2762-F138-4A5C-976F-8EAC2B608ADB}">
              <a16:predDERef xmlns:a16="http://schemas.microsoft.com/office/drawing/2014/main" pred="{12EDFC78-C6D4-4147-8C3E-A01922B55662}"/>
            </a:ext>
          </a:extLst>
        </xdr:cNvPr>
        <xdr:cNvSpPr txBox="1"/>
      </xdr:nvSpPr>
      <xdr:spPr>
        <a:xfrm>
          <a:off x="3411332" y="29307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10885</xdr:colOff>
      <xdr:row>1</xdr:row>
      <xdr:rowOff>132517</xdr:rowOff>
    </xdr:from>
    <xdr:to>
      <xdr:col>3</xdr:col>
      <xdr:colOff>1338941</xdr:colOff>
      <xdr:row>4</xdr:row>
      <xdr:rowOff>104775</xdr:rowOff>
    </xdr:to>
    <xdr:pic>
      <xdr:nvPicPr>
        <xdr:cNvPr id="18" name="Picture 10" descr="VIAGS xanh">
          <a:hlinkClick xmlns:r="http://schemas.openxmlformats.org/officeDocument/2006/relationships" r:id="rId1"/>
          <a:extLst>
            <a:ext uri="{FF2B5EF4-FFF2-40B4-BE49-F238E27FC236}">
              <a16:creationId xmlns:a16="http://schemas.microsoft.com/office/drawing/2014/main" id="{F791F86A-808B-4E53-9122-2BFFB5F1DF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9" name="Picture 4" descr="VIAGS xanh">
          <a:extLst>
            <a:ext uri="{FF2B5EF4-FFF2-40B4-BE49-F238E27FC236}">
              <a16:creationId xmlns:a16="http://schemas.microsoft.com/office/drawing/2014/main" id="{C83381E0-BB1C-45E3-ACF7-AE96B629E441}"/>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4449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0" name="Picture 19" descr="VIAGS xanh">
          <a:extLst>
            <a:ext uri="{FF2B5EF4-FFF2-40B4-BE49-F238E27FC236}">
              <a16:creationId xmlns:a16="http://schemas.microsoft.com/office/drawing/2014/main" id="{FD0BE073-1943-4401-8E3B-62C28544032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10644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79ECBCA2-31C8-422A-8B40-24823246353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7">
          <a:extLst>
            <a:ext uri="{FF2B5EF4-FFF2-40B4-BE49-F238E27FC236}">
              <a16:creationId xmlns:a16="http://schemas.microsoft.com/office/drawing/2014/main" id="{57D82F57-4664-49B4-A38E-2291018E6F2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 name="TextBox 8">
          <a:extLst>
            <a:ext uri="{FF2B5EF4-FFF2-40B4-BE49-F238E27FC236}">
              <a16:creationId xmlns:a16="http://schemas.microsoft.com/office/drawing/2014/main" id="{B5A43280-C234-42C4-B631-EF84A8A18A3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AB5BDA0F-B7A8-4DAF-970A-F7A9FE11DA3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5D445613-4557-46A7-97AC-C36047B3AD2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FCAF9AE0-0D85-411E-BB96-545BE3C3455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4">
          <a:extLst>
            <a:ext uri="{FF2B5EF4-FFF2-40B4-BE49-F238E27FC236}">
              <a16:creationId xmlns:a16="http://schemas.microsoft.com/office/drawing/2014/main" id="{5CD2E18A-E07C-4E86-968E-8D167A9D444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7">
          <a:extLst>
            <a:ext uri="{FF2B5EF4-FFF2-40B4-BE49-F238E27FC236}">
              <a16:creationId xmlns:a16="http://schemas.microsoft.com/office/drawing/2014/main" id="{889CDE14-4E13-49AE-81E3-CC31C56B178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8">
          <a:extLst>
            <a:ext uri="{FF2B5EF4-FFF2-40B4-BE49-F238E27FC236}">
              <a16:creationId xmlns:a16="http://schemas.microsoft.com/office/drawing/2014/main" id="{E0BA0AC6-EB8E-4488-9FC5-B1CDDA138B2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4">
          <a:extLst>
            <a:ext uri="{FF2B5EF4-FFF2-40B4-BE49-F238E27FC236}">
              <a16:creationId xmlns:a16="http://schemas.microsoft.com/office/drawing/2014/main" id="{0515281E-41D4-41C9-A99B-D8FB13B6E5E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7">
          <a:extLst>
            <a:ext uri="{FF2B5EF4-FFF2-40B4-BE49-F238E27FC236}">
              <a16:creationId xmlns:a16="http://schemas.microsoft.com/office/drawing/2014/main" id="{E149F242-C75A-492A-8594-8409AAEC5DD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8">
          <a:extLst>
            <a:ext uri="{FF2B5EF4-FFF2-40B4-BE49-F238E27FC236}">
              <a16:creationId xmlns:a16="http://schemas.microsoft.com/office/drawing/2014/main" id="{CE28825D-5DE6-46A9-B718-3456B5B3E08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4">
          <a:extLst>
            <a:ext uri="{FF2B5EF4-FFF2-40B4-BE49-F238E27FC236}">
              <a16:creationId xmlns:a16="http://schemas.microsoft.com/office/drawing/2014/main" id="{131B8B22-49D1-4406-B2DA-9E866ED9BC3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7">
          <a:extLst>
            <a:ext uri="{FF2B5EF4-FFF2-40B4-BE49-F238E27FC236}">
              <a16:creationId xmlns:a16="http://schemas.microsoft.com/office/drawing/2014/main" id="{2016593E-E60D-4F57-82AB-D08A3919064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8">
          <a:extLst>
            <a:ext uri="{FF2B5EF4-FFF2-40B4-BE49-F238E27FC236}">
              <a16:creationId xmlns:a16="http://schemas.microsoft.com/office/drawing/2014/main" id="{19FFE0B9-8998-4257-AA6D-7C755AAD69C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16">
          <a:extLst>
            <a:ext uri="{FF2B5EF4-FFF2-40B4-BE49-F238E27FC236}">
              <a16:creationId xmlns:a16="http://schemas.microsoft.com/office/drawing/2014/main" id="{C98FFA85-B1CC-4755-9B5E-AB7BFCE14EE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20">
          <a:extLst>
            <a:ext uri="{FF2B5EF4-FFF2-40B4-BE49-F238E27FC236}">
              <a16:creationId xmlns:a16="http://schemas.microsoft.com/office/drawing/2014/main" id="{E4258294-03B1-4516-8663-5BF109DD7E3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21">
          <a:extLst>
            <a:ext uri="{FF2B5EF4-FFF2-40B4-BE49-F238E27FC236}">
              <a16:creationId xmlns:a16="http://schemas.microsoft.com/office/drawing/2014/main" id="{648EADFE-B5C6-471D-B118-2001485A1E0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4">
          <a:extLst>
            <a:ext uri="{FF2B5EF4-FFF2-40B4-BE49-F238E27FC236}">
              <a16:creationId xmlns:a16="http://schemas.microsoft.com/office/drawing/2014/main" id="{EBD9F0A4-F0D7-4120-808B-BA4BE7876BE3}"/>
            </a:ext>
            <a:ext uri="{147F2762-F138-4A5C-976F-8EAC2B608ADB}">
              <a16:predDERef xmlns:a16="http://schemas.microsoft.com/office/drawing/2014/main" pred="{648EADFE-B5C6-471D-B118-2001485A1E0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7">
          <a:extLst>
            <a:ext uri="{FF2B5EF4-FFF2-40B4-BE49-F238E27FC236}">
              <a16:creationId xmlns:a16="http://schemas.microsoft.com/office/drawing/2014/main" id="{09768449-08B7-48B7-862B-EAA1F576D782}"/>
            </a:ext>
            <a:ext uri="{147F2762-F138-4A5C-976F-8EAC2B608ADB}">
              <a16:predDERef xmlns:a16="http://schemas.microsoft.com/office/drawing/2014/main" pred="{EBD9F0A4-F0D7-4120-808B-BA4BE7876BE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8">
          <a:extLst>
            <a:ext uri="{FF2B5EF4-FFF2-40B4-BE49-F238E27FC236}">
              <a16:creationId xmlns:a16="http://schemas.microsoft.com/office/drawing/2014/main" id="{4A882AA9-EA3E-4867-AE64-A82381A8684C}"/>
            </a:ext>
            <a:ext uri="{147F2762-F138-4A5C-976F-8EAC2B608ADB}">
              <a16:predDERef xmlns:a16="http://schemas.microsoft.com/office/drawing/2014/main" pred="{09768449-08B7-48B7-862B-EAA1F576D78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4">
          <a:extLst>
            <a:ext uri="{FF2B5EF4-FFF2-40B4-BE49-F238E27FC236}">
              <a16:creationId xmlns:a16="http://schemas.microsoft.com/office/drawing/2014/main" id="{ADC22E5F-44D5-498B-B59B-7A1753DB40AF}"/>
            </a:ext>
            <a:ext uri="{147F2762-F138-4A5C-976F-8EAC2B608ADB}">
              <a16:predDERef xmlns:a16="http://schemas.microsoft.com/office/drawing/2014/main" pred="{4A882AA9-EA3E-4867-AE64-A82381A8684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7">
          <a:extLst>
            <a:ext uri="{FF2B5EF4-FFF2-40B4-BE49-F238E27FC236}">
              <a16:creationId xmlns:a16="http://schemas.microsoft.com/office/drawing/2014/main" id="{BC40B607-DC05-46B8-9DE1-18D1ED560986}"/>
            </a:ext>
            <a:ext uri="{147F2762-F138-4A5C-976F-8EAC2B608ADB}">
              <a16:predDERef xmlns:a16="http://schemas.microsoft.com/office/drawing/2014/main" pred="{ADC22E5F-44D5-498B-B59B-7A1753DB40A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8">
          <a:extLst>
            <a:ext uri="{FF2B5EF4-FFF2-40B4-BE49-F238E27FC236}">
              <a16:creationId xmlns:a16="http://schemas.microsoft.com/office/drawing/2014/main" id="{BA421794-5D61-4BE2-9D8D-5A1867788094}"/>
            </a:ext>
            <a:ext uri="{147F2762-F138-4A5C-976F-8EAC2B608ADB}">
              <a16:predDERef xmlns:a16="http://schemas.microsoft.com/office/drawing/2014/main" pred="{BC40B607-DC05-46B8-9DE1-18D1ED56098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FBC26CA9-DD48-4808-870B-CBAC87B9D462}"/>
            </a:ext>
            <a:ext uri="{147F2762-F138-4A5C-976F-8EAC2B608ADB}">
              <a16:predDERef xmlns:a16="http://schemas.microsoft.com/office/drawing/2014/main" pred="{BA421794-5D61-4BE2-9D8D-5A186778809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6BA2AA78-9C2D-47FF-B49A-E6ADB6962925}"/>
            </a:ext>
            <a:ext uri="{147F2762-F138-4A5C-976F-8EAC2B608ADB}">
              <a16:predDERef xmlns:a16="http://schemas.microsoft.com/office/drawing/2014/main" pred="{FBC26CA9-DD48-4808-870B-CBAC87B9D46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D9E949D0-C8F0-4766-8272-B1447B6D319E}"/>
            </a:ext>
            <a:ext uri="{147F2762-F138-4A5C-976F-8EAC2B608ADB}">
              <a16:predDERef xmlns:a16="http://schemas.microsoft.com/office/drawing/2014/main" pred="{6BA2AA78-9C2D-47FF-B49A-E6ADB696292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6">
          <a:extLst>
            <a:ext uri="{FF2B5EF4-FFF2-40B4-BE49-F238E27FC236}">
              <a16:creationId xmlns:a16="http://schemas.microsoft.com/office/drawing/2014/main" id="{A13C31D4-1BF4-4B9A-8CB6-262DC6E950AB}"/>
            </a:ext>
            <a:ext uri="{147F2762-F138-4A5C-976F-8EAC2B608ADB}">
              <a16:predDERef xmlns:a16="http://schemas.microsoft.com/office/drawing/2014/main" pred="{D9E949D0-C8F0-4766-8272-B1447B6D319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7">
          <a:extLst>
            <a:ext uri="{FF2B5EF4-FFF2-40B4-BE49-F238E27FC236}">
              <a16:creationId xmlns:a16="http://schemas.microsoft.com/office/drawing/2014/main" id="{E4371543-623F-4F0D-88A2-AB6222F57AF6}"/>
            </a:ext>
            <a:ext uri="{147F2762-F138-4A5C-976F-8EAC2B608ADB}">
              <a16:predDERef xmlns:a16="http://schemas.microsoft.com/office/drawing/2014/main" pred="{A13C31D4-1BF4-4B9A-8CB6-262DC6E950A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4" name="TextBox 4">
          <a:extLst>
            <a:ext uri="{FF2B5EF4-FFF2-40B4-BE49-F238E27FC236}">
              <a16:creationId xmlns:a16="http://schemas.microsoft.com/office/drawing/2014/main" id="{00000000-0008-0000-0300-00000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7">
          <a:extLst>
            <a:ext uri="{FF2B5EF4-FFF2-40B4-BE49-F238E27FC236}">
              <a16:creationId xmlns:a16="http://schemas.microsoft.com/office/drawing/2014/main" id="{00000000-0008-0000-0300-00000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8">
          <a:extLst>
            <a:ext uri="{FF2B5EF4-FFF2-40B4-BE49-F238E27FC236}">
              <a16:creationId xmlns:a16="http://schemas.microsoft.com/office/drawing/2014/main" id="{00000000-0008-0000-0300-00000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4">
          <a:extLst>
            <a:ext uri="{FF2B5EF4-FFF2-40B4-BE49-F238E27FC236}">
              <a16:creationId xmlns:a16="http://schemas.microsoft.com/office/drawing/2014/main" id="{00000000-0008-0000-0300-000007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7">
          <a:extLst>
            <a:ext uri="{FF2B5EF4-FFF2-40B4-BE49-F238E27FC236}">
              <a16:creationId xmlns:a16="http://schemas.microsoft.com/office/drawing/2014/main" id="{00000000-0008-0000-0300-000009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8">
          <a:extLst>
            <a:ext uri="{FF2B5EF4-FFF2-40B4-BE49-F238E27FC236}">
              <a16:creationId xmlns:a16="http://schemas.microsoft.com/office/drawing/2014/main" id="{00000000-0008-0000-0300-00000A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3" name="Picture 10" descr="VIAGS xanh">
          <a:hlinkClick xmlns:r="http://schemas.openxmlformats.org/officeDocument/2006/relationships" r:id="rId1"/>
          <a:extLst>
            <a:ext uri="{FF2B5EF4-FFF2-40B4-BE49-F238E27FC236}">
              <a16:creationId xmlns:a16="http://schemas.microsoft.com/office/drawing/2014/main" id="{20600C45-5744-4C8E-922B-2D631F53A9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4" name="Picture 4" descr="VIAGS xanh">
          <a:extLst>
            <a:ext uri="{FF2B5EF4-FFF2-40B4-BE49-F238E27FC236}">
              <a16:creationId xmlns:a16="http://schemas.microsoft.com/office/drawing/2014/main" id="{69CB2529-C09F-4EE9-A986-F93F4E1BEAF0}"/>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77309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5" name="Picture 14" descr="VIAGS xanh">
          <a:extLst>
            <a:ext uri="{FF2B5EF4-FFF2-40B4-BE49-F238E27FC236}">
              <a16:creationId xmlns:a16="http://schemas.microsoft.com/office/drawing/2014/main" id="{287542CB-FB44-4DA2-959B-B77D1B564F8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38076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7A674BA0-DDB3-4C38-835E-4BD55D95BFE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7">
          <a:extLst>
            <a:ext uri="{FF2B5EF4-FFF2-40B4-BE49-F238E27FC236}">
              <a16:creationId xmlns:a16="http://schemas.microsoft.com/office/drawing/2014/main" id="{3D0BC861-8ED5-439A-B2DD-161FCC99C31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8">
          <a:extLst>
            <a:ext uri="{FF2B5EF4-FFF2-40B4-BE49-F238E27FC236}">
              <a16:creationId xmlns:a16="http://schemas.microsoft.com/office/drawing/2014/main" id="{BA90258B-4972-4C62-9472-9B42095D6D3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10">
          <a:extLst>
            <a:ext uri="{FF2B5EF4-FFF2-40B4-BE49-F238E27FC236}">
              <a16:creationId xmlns:a16="http://schemas.microsoft.com/office/drawing/2014/main" id="{0FF7296B-E5EC-42DA-B882-6E2191187E4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7">
          <a:extLst>
            <a:ext uri="{FF2B5EF4-FFF2-40B4-BE49-F238E27FC236}">
              <a16:creationId xmlns:a16="http://schemas.microsoft.com/office/drawing/2014/main" id="{2F65EF65-CCAF-444B-8625-4260FD13D43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8">
          <a:extLst>
            <a:ext uri="{FF2B5EF4-FFF2-40B4-BE49-F238E27FC236}">
              <a16:creationId xmlns:a16="http://schemas.microsoft.com/office/drawing/2014/main" id="{08C53839-0CAE-4F41-9A94-58DA3B0AD2C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4">
          <a:extLst>
            <a:ext uri="{FF2B5EF4-FFF2-40B4-BE49-F238E27FC236}">
              <a16:creationId xmlns:a16="http://schemas.microsoft.com/office/drawing/2014/main" id="{F17BA7A0-326C-4439-8BB9-DCC86403503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7">
          <a:extLst>
            <a:ext uri="{FF2B5EF4-FFF2-40B4-BE49-F238E27FC236}">
              <a16:creationId xmlns:a16="http://schemas.microsoft.com/office/drawing/2014/main" id="{24D50484-87E8-4AC3-98C3-3728686F7A5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8">
          <a:extLst>
            <a:ext uri="{FF2B5EF4-FFF2-40B4-BE49-F238E27FC236}">
              <a16:creationId xmlns:a16="http://schemas.microsoft.com/office/drawing/2014/main" id="{8DC597AF-BCB5-47E4-90AF-201D694D9F2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4">
          <a:extLst>
            <a:ext uri="{FF2B5EF4-FFF2-40B4-BE49-F238E27FC236}">
              <a16:creationId xmlns:a16="http://schemas.microsoft.com/office/drawing/2014/main" id="{855BF05C-2434-4FA3-AD11-FDF5042AD69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7">
          <a:extLst>
            <a:ext uri="{FF2B5EF4-FFF2-40B4-BE49-F238E27FC236}">
              <a16:creationId xmlns:a16="http://schemas.microsoft.com/office/drawing/2014/main" id="{D6881430-68D2-47BC-935A-2ABBB7E41B5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8">
          <a:extLst>
            <a:ext uri="{FF2B5EF4-FFF2-40B4-BE49-F238E27FC236}">
              <a16:creationId xmlns:a16="http://schemas.microsoft.com/office/drawing/2014/main" id="{EEA76FE2-9DC7-4992-A27D-A2FBF2A83E9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4">
          <a:extLst>
            <a:ext uri="{FF2B5EF4-FFF2-40B4-BE49-F238E27FC236}">
              <a16:creationId xmlns:a16="http://schemas.microsoft.com/office/drawing/2014/main" id="{8D3B036B-3975-4A9C-A231-F8006AB581B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7">
          <a:extLst>
            <a:ext uri="{FF2B5EF4-FFF2-40B4-BE49-F238E27FC236}">
              <a16:creationId xmlns:a16="http://schemas.microsoft.com/office/drawing/2014/main" id="{851CA23B-91B9-4B11-80F8-E0EBABA630C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8">
          <a:extLst>
            <a:ext uri="{FF2B5EF4-FFF2-40B4-BE49-F238E27FC236}">
              <a16:creationId xmlns:a16="http://schemas.microsoft.com/office/drawing/2014/main" id="{4D47DF0F-CEFE-4F50-A223-757A7B01DE4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25">
          <a:extLst>
            <a:ext uri="{FF2B5EF4-FFF2-40B4-BE49-F238E27FC236}">
              <a16:creationId xmlns:a16="http://schemas.microsoft.com/office/drawing/2014/main" id="{F5BC9D8B-32CB-45D7-BC21-2DA40C5E8C2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26">
          <a:extLst>
            <a:ext uri="{FF2B5EF4-FFF2-40B4-BE49-F238E27FC236}">
              <a16:creationId xmlns:a16="http://schemas.microsoft.com/office/drawing/2014/main" id="{4AFFACCE-534C-4A65-A2B3-F9784C41E0A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3</xdr:col>
      <xdr:colOff>1258682</xdr:colOff>
      <xdr:row>7</xdr:row>
      <xdr:rowOff>7326</xdr:rowOff>
    </xdr:from>
    <xdr:ext cx="184731" cy="264560"/>
    <xdr:sp macro="" textlink="">
      <xdr:nvSpPr>
        <xdr:cNvPr id="28" name="TextBox 27">
          <a:extLst>
            <a:ext uri="{FF2B5EF4-FFF2-40B4-BE49-F238E27FC236}">
              <a16:creationId xmlns:a16="http://schemas.microsoft.com/office/drawing/2014/main" id="{C2CC02C9-22AD-48D5-AF53-BA874FB9BE69}"/>
            </a:ext>
            <a:ext uri="{147F2762-F138-4A5C-976F-8EAC2B608ADB}">
              <a16:predDERef xmlns:a16="http://schemas.microsoft.com/office/drawing/2014/main" pred="{4AFFACCE-534C-4A65-A2B3-F9784C41E0AE}"/>
            </a:ext>
          </a:extLst>
        </xdr:cNvPr>
        <xdr:cNvSpPr txBox="1"/>
      </xdr:nvSpPr>
      <xdr:spPr>
        <a:xfrm>
          <a:off x="2592182" y="14932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69F069C4-4717-4B79-98C3-81AA234150E5}"/>
            </a:ext>
            <a:ext uri="{147F2762-F138-4A5C-976F-8EAC2B608ADB}">
              <a16:predDERef xmlns:a16="http://schemas.microsoft.com/office/drawing/2014/main" pred="{C2CC02C9-22AD-48D5-AF53-BA874FB9BE6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0465586A-4090-4835-ACD5-500B176D418E}"/>
            </a:ext>
            <a:ext uri="{147F2762-F138-4A5C-976F-8EAC2B608ADB}">
              <a16:predDERef xmlns:a16="http://schemas.microsoft.com/office/drawing/2014/main" pred="{69F069C4-4717-4B79-98C3-81AA234150E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2CB2AAEF-6FED-4BCB-ACC4-4AF602032CE2}"/>
            </a:ext>
            <a:ext uri="{147F2762-F138-4A5C-976F-8EAC2B608ADB}">
              <a16:predDERef xmlns:a16="http://schemas.microsoft.com/office/drawing/2014/main" pred="{0465586A-4090-4835-ACD5-500B176D418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4">
          <a:extLst>
            <a:ext uri="{FF2B5EF4-FFF2-40B4-BE49-F238E27FC236}">
              <a16:creationId xmlns:a16="http://schemas.microsoft.com/office/drawing/2014/main" id="{6D68865B-FAD8-4E71-A61E-A70E44C13373}"/>
            </a:ext>
            <a:ext uri="{147F2762-F138-4A5C-976F-8EAC2B608ADB}">
              <a16:predDERef xmlns:a16="http://schemas.microsoft.com/office/drawing/2014/main" pred="{2CB2AAEF-6FED-4BCB-ACC4-4AF602032CE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7">
          <a:extLst>
            <a:ext uri="{FF2B5EF4-FFF2-40B4-BE49-F238E27FC236}">
              <a16:creationId xmlns:a16="http://schemas.microsoft.com/office/drawing/2014/main" id="{8CECCA5B-2B82-4339-8248-902273A3BB10}"/>
            </a:ext>
            <a:ext uri="{147F2762-F138-4A5C-976F-8EAC2B608ADB}">
              <a16:predDERef xmlns:a16="http://schemas.microsoft.com/office/drawing/2014/main" pred="{6D68865B-FAD8-4E71-A61E-A70E44C1337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8">
          <a:extLst>
            <a:ext uri="{FF2B5EF4-FFF2-40B4-BE49-F238E27FC236}">
              <a16:creationId xmlns:a16="http://schemas.microsoft.com/office/drawing/2014/main" id="{FDE9F6E4-C25F-4A75-9F1C-7EC97E415014}"/>
            </a:ext>
            <a:ext uri="{147F2762-F138-4A5C-976F-8EAC2B608ADB}">
              <a16:predDERef xmlns:a16="http://schemas.microsoft.com/office/drawing/2014/main" pred="{8CECCA5B-2B82-4339-8248-902273A3BB1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4">
          <a:extLst>
            <a:ext uri="{FF2B5EF4-FFF2-40B4-BE49-F238E27FC236}">
              <a16:creationId xmlns:a16="http://schemas.microsoft.com/office/drawing/2014/main" id="{1B121B43-01BC-4D92-AF3A-4F09408617E9}"/>
            </a:ext>
            <a:ext uri="{147F2762-F138-4A5C-976F-8EAC2B608ADB}">
              <a16:predDERef xmlns:a16="http://schemas.microsoft.com/office/drawing/2014/main" pred="{FDE9F6E4-C25F-4A75-9F1C-7EC97E41501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7">
          <a:extLst>
            <a:ext uri="{FF2B5EF4-FFF2-40B4-BE49-F238E27FC236}">
              <a16:creationId xmlns:a16="http://schemas.microsoft.com/office/drawing/2014/main" id="{F226A2B4-F162-447D-AF4E-4B9A780D35D1}"/>
            </a:ext>
            <a:ext uri="{147F2762-F138-4A5C-976F-8EAC2B608ADB}">
              <a16:predDERef xmlns:a16="http://schemas.microsoft.com/office/drawing/2014/main" pred="{1B121B43-01BC-4D92-AF3A-4F09408617E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8">
          <a:extLst>
            <a:ext uri="{FF2B5EF4-FFF2-40B4-BE49-F238E27FC236}">
              <a16:creationId xmlns:a16="http://schemas.microsoft.com/office/drawing/2014/main" id="{CF3AF60E-338C-4998-B78F-FC4BCCF23F6E}"/>
            </a:ext>
            <a:ext uri="{147F2762-F138-4A5C-976F-8EAC2B608ADB}">
              <a16:predDERef xmlns:a16="http://schemas.microsoft.com/office/drawing/2014/main" pred="{F226A2B4-F162-447D-AF4E-4B9A780D35D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6">
          <a:extLst>
            <a:ext uri="{FF2B5EF4-FFF2-40B4-BE49-F238E27FC236}">
              <a16:creationId xmlns:a16="http://schemas.microsoft.com/office/drawing/2014/main" id="{E4E88B20-22C0-406D-A7BF-C42E388CB1A9}"/>
            </a:ext>
            <a:ext uri="{147F2762-F138-4A5C-976F-8EAC2B608ADB}">
              <a16:predDERef xmlns:a16="http://schemas.microsoft.com/office/drawing/2014/main" pred="{CF3AF60E-338C-4998-B78F-FC4BCCF23F6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7">
          <a:extLst>
            <a:ext uri="{FF2B5EF4-FFF2-40B4-BE49-F238E27FC236}">
              <a16:creationId xmlns:a16="http://schemas.microsoft.com/office/drawing/2014/main" id="{1FB8FF36-5D66-420F-B9A7-BE8C0771D1BF}"/>
            </a:ext>
            <a:ext uri="{147F2762-F138-4A5C-976F-8EAC2B608ADB}">
              <a16:predDERef xmlns:a16="http://schemas.microsoft.com/office/drawing/2014/main" pred="{E4E88B20-22C0-406D-A7BF-C42E388CB1A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6</xdr:col>
      <xdr:colOff>295275</xdr:colOff>
      <xdr:row>1</xdr:row>
      <xdr:rowOff>142875</xdr:rowOff>
    </xdr:from>
    <xdr:to>
      <xdr:col>8</xdr:col>
      <xdr:colOff>847725</xdr:colOff>
      <xdr:row>4</xdr:row>
      <xdr:rowOff>85725</xdr:rowOff>
    </xdr:to>
    <xdr:pic>
      <xdr:nvPicPr>
        <xdr:cNvPr id="4" name="Picture 4" descr="VIAGS xanh">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247650"/>
          <a:ext cx="16383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04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04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04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4">
          <a:extLst>
            <a:ext uri="{FF2B5EF4-FFF2-40B4-BE49-F238E27FC236}">
              <a16:creationId xmlns:a16="http://schemas.microsoft.com/office/drawing/2014/main" id="{00000000-0008-0000-0400-000008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7">
          <a:extLst>
            <a:ext uri="{FF2B5EF4-FFF2-40B4-BE49-F238E27FC236}">
              <a16:creationId xmlns:a16="http://schemas.microsoft.com/office/drawing/2014/main" id="{00000000-0008-0000-0400-000009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8">
          <a:extLst>
            <a:ext uri="{FF2B5EF4-FFF2-40B4-BE49-F238E27FC236}">
              <a16:creationId xmlns:a16="http://schemas.microsoft.com/office/drawing/2014/main" id="{00000000-0008-0000-0400-00000A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14</xdr:col>
      <xdr:colOff>182923</xdr:colOff>
      <xdr:row>1</xdr:row>
      <xdr:rowOff>148616</xdr:rowOff>
    </xdr:from>
    <xdr:to>
      <xdr:col>16</xdr:col>
      <xdr:colOff>847104</xdr:colOff>
      <xdr:row>4</xdr:row>
      <xdr:rowOff>43544</xdr:rowOff>
    </xdr:to>
    <xdr:pic>
      <xdr:nvPicPr>
        <xdr:cNvPr id="12" name="Picture 11" descr="VIAGS xanh">
          <a:extLst>
            <a:ext uri="{FF2B5EF4-FFF2-40B4-BE49-F238E27FC236}">
              <a16:creationId xmlns:a16="http://schemas.microsoft.com/office/drawing/2014/main" id="{A964D154-B9C4-43CF-B001-12749EBC903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20550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5" name="Picture 27" descr="VIAGS xanh">
          <a:extLst>
            <a:ext uri="{FF2B5EF4-FFF2-40B4-BE49-F238E27FC236}">
              <a16:creationId xmlns:a16="http://schemas.microsoft.com/office/drawing/2014/main" id="{A6526F2B-7A63-485B-9409-2FA81F8ED238}"/>
            </a:ext>
            <a:ext uri="{147F2762-F138-4A5C-976F-8EAC2B608ADB}">
              <a16:predDERef xmlns:a16="http://schemas.microsoft.com/office/drawing/2014/main" pred="{822C3A18-109A-4F0D-ABFE-D5F8CB79AC3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6" name="TextBox 4">
          <a:extLst>
            <a:ext uri="{FF2B5EF4-FFF2-40B4-BE49-F238E27FC236}">
              <a16:creationId xmlns:a16="http://schemas.microsoft.com/office/drawing/2014/main" id="{8AB626FA-3804-4771-8668-7F987CC638FB}"/>
            </a:ext>
            <a:ext uri="{147F2762-F138-4A5C-976F-8EAC2B608ADB}">
              <a16:predDERef xmlns:a16="http://schemas.microsoft.com/office/drawing/2014/main" pred="{A6526F2B-7A63-485B-9409-2FA81F8ED23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7">
          <a:extLst>
            <a:ext uri="{FF2B5EF4-FFF2-40B4-BE49-F238E27FC236}">
              <a16:creationId xmlns:a16="http://schemas.microsoft.com/office/drawing/2014/main" id="{D3879626-691B-490F-8EC3-E4BD39E129B5}"/>
            </a:ext>
            <a:ext uri="{147F2762-F138-4A5C-976F-8EAC2B608ADB}">
              <a16:predDERef xmlns:a16="http://schemas.microsoft.com/office/drawing/2014/main" pred="{8AB626FA-3804-4771-8668-7F987CC638F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8">
          <a:extLst>
            <a:ext uri="{FF2B5EF4-FFF2-40B4-BE49-F238E27FC236}">
              <a16:creationId xmlns:a16="http://schemas.microsoft.com/office/drawing/2014/main" id="{AAF7945E-9F81-4226-981B-1A1D09FBB554}"/>
            </a:ext>
            <a:ext uri="{147F2762-F138-4A5C-976F-8EAC2B608ADB}">
              <a16:predDERef xmlns:a16="http://schemas.microsoft.com/office/drawing/2014/main" pred="{D3879626-691B-490F-8EC3-E4BD39E129B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EA57CD7A-0631-4CA0-930D-B86E76E0280A}"/>
            </a:ext>
            <a:ext uri="{147F2762-F138-4A5C-976F-8EAC2B608ADB}">
              <a16:predDERef xmlns:a16="http://schemas.microsoft.com/office/drawing/2014/main" pred="{AAF7945E-9F81-4226-981B-1A1D09FBB55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DF41C049-EA78-4EC6-9126-1035A0FBB5DB}"/>
            </a:ext>
            <a:ext uri="{147F2762-F138-4A5C-976F-8EAC2B608ADB}">
              <a16:predDERef xmlns:a16="http://schemas.microsoft.com/office/drawing/2014/main" pred="{EA57CD7A-0631-4CA0-930D-B86E76E0280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FF2583D1-F2B3-4995-8F47-FA4BCC74BB49}"/>
            </a:ext>
            <a:ext uri="{147F2762-F138-4A5C-976F-8EAC2B608ADB}">
              <a16:predDERef xmlns:a16="http://schemas.microsoft.com/office/drawing/2014/main" pred="{DF41C049-EA78-4EC6-9126-1035A0FBB5D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3"/>
          <a:extLst>
            <a:ext uri="{FF2B5EF4-FFF2-40B4-BE49-F238E27FC236}">
              <a16:creationId xmlns:a16="http://schemas.microsoft.com/office/drawing/2014/main" id="{FA397652-D788-436A-8308-6BE0418066D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1" name="Picture 10" descr="VIAGS xanh">
          <a:extLst>
            <a:ext uri="{FF2B5EF4-FFF2-40B4-BE49-F238E27FC236}">
              <a16:creationId xmlns:a16="http://schemas.microsoft.com/office/drawing/2014/main" id="{01056C4D-4043-427A-94E6-660EB575D6C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4" name="TextBox 4">
          <a:extLst>
            <a:ext uri="{FF2B5EF4-FFF2-40B4-BE49-F238E27FC236}">
              <a16:creationId xmlns:a16="http://schemas.microsoft.com/office/drawing/2014/main" id="{E4E8BFDD-1AE6-470B-86A5-148E77F866D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C7A04420-EBD2-40AA-B708-C6E1B286974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296E3D25-8272-4D56-A695-7772877465B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9B7B238C-076A-4414-9096-491BFB23703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4761B7B8-88E2-43C8-B741-AB400DCFCC1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BD652AC9-802F-4B2D-B76C-C8F02ACE981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4">
          <a:extLst>
            <a:ext uri="{FF2B5EF4-FFF2-40B4-BE49-F238E27FC236}">
              <a16:creationId xmlns:a16="http://schemas.microsoft.com/office/drawing/2014/main" id="{4FD72C42-2079-4A0C-B979-7D6BDF4E5E3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7FB56FDC-9282-4F63-8465-35A4ADD9FA0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6634F1D6-90C1-4E4C-B281-757507C6F18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29">
          <a:extLst>
            <a:ext uri="{FF2B5EF4-FFF2-40B4-BE49-F238E27FC236}">
              <a16:creationId xmlns:a16="http://schemas.microsoft.com/office/drawing/2014/main" id="{2BACD74F-B6C8-4606-A637-4F723904562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06B23A34-24BA-47CB-B147-4DEBB7B74F0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C8FF1391-339F-43A8-9949-431959F20D0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82EE0B63-392E-4846-B6EC-748632E737D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34F09C9E-FEEE-4C54-979F-CDC740321D2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7E6BA93A-4E32-4690-9FE4-8B993C8B79F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FF5F4F1D-8A98-4958-85F7-E8434F2A6BD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5BA263FB-6A38-4990-9F93-A84059AD36C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915D3E96-CC1A-4983-A06E-64C4977E3EC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A43E7546-89C5-499A-90D7-0C2C61E50F0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65D22B5F-E30D-4BA4-AF14-21AA5DECBB4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B2E9AFB4-1B47-441E-B0F3-72172ABD04C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9652646E-2F68-47D4-8F60-E88D599AEE5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2">
          <a:extLst>
            <a:ext uri="{FF2B5EF4-FFF2-40B4-BE49-F238E27FC236}">
              <a16:creationId xmlns:a16="http://schemas.microsoft.com/office/drawing/2014/main" id="{E0296AAD-6EED-44F7-8339-C2C1A9F43CC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3</xdr:col>
      <xdr:colOff>1306307</xdr:colOff>
      <xdr:row>6</xdr:row>
      <xdr:rowOff>178776</xdr:rowOff>
    </xdr:from>
    <xdr:ext cx="184731" cy="264560"/>
    <xdr:sp macro="" textlink="">
      <xdr:nvSpPr>
        <xdr:cNvPr id="44" name="TextBox 43">
          <a:extLst>
            <a:ext uri="{FF2B5EF4-FFF2-40B4-BE49-F238E27FC236}">
              <a16:creationId xmlns:a16="http://schemas.microsoft.com/office/drawing/2014/main" id="{21DD5EDE-5FEB-4784-85AA-7CFB76690E71}"/>
            </a:ext>
            <a:ext uri="{147F2762-F138-4A5C-976F-8EAC2B608ADB}">
              <a16:predDERef xmlns:a16="http://schemas.microsoft.com/office/drawing/2014/main" pred="{E0296AAD-6EED-44F7-8339-C2C1A9F43CC7}"/>
            </a:ext>
          </a:extLst>
        </xdr:cNvPr>
        <xdr:cNvSpPr txBox="1"/>
      </xdr:nvSpPr>
      <xdr:spPr>
        <a:xfrm>
          <a:off x="2639807" y="135987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6EC9BD7A-9976-4716-8435-09060B8C3602}"/>
            </a:ext>
            <a:ext uri="{147F2762-F138-4A5C-976F-8EAC2B608ADB}">
              <a16:predDERef xmlns:a16="http://schemas.microsoft.com/office/drawing/2014/main" pred="{21DD5EDE-5FEB-4784-85AA-7CFB76690E7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1CA4ADC0-163E-4225-9091-73F7585B06E7}"/>
            </a:ext>
            <a:ext uri="{147F2762-F138-4A5C-976F-8EAC2B608ADB}">
              <a16:predDERef xmlns:a16="http://schemas.microsoft.com/office/drawing/2014/main" pred="{6EC9BD7A-9976-4716-8435-09060B8C360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F7068934-C3D2-4317-BA05-880D1BEFF5DC}"/>
            </a:ext>
            <a:ext uri="{147F2762-F138-4A5C-976F-8EAC2B608ADB}">
              <a16:predDERef xmlns:a16="http://schemas.microsoft.com/office/drawing/2014/main" pred="{1CA4ADC0-163E-4225-9091-73F7585B06E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75738893-DFE0-4B26-85FA-358173DD28E6}"/>
            </a:ext>
            <a:ext uri="{147F2762-F138-4A5C-976F-8EAC2B608ADB}">
              <a16:predDERef xmlns:a16="http://schemas.microsoft.com/office/drawing/2014/main" pred="{F7068934-C3D2-4317-BA05-880D1BEFF5D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DB9CD6BA-8C42-4A68-AD29-90381B426B5E}"/>
            </a:ext>
            <a:ext uri="{147F2762-F138-4A5C-976F-8EAC2B608ADB}">
              <a16:predDERef xmlns:a16="http://schemas.microsoft.com/office/drawing/2014/main" pred="{75738893-DFE0-4B26-85FA-358173DD28E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873CDB01-927B-4813-9EB6-7D74C60E8400}"/>
            </a:ext>
            <a:ext uri="{147F2762-F138-4A5C-976F-8EAC2B608ADB}">
              <a16:predDERef xmlns:a16="http://schemas.microsoft.com/office/drawing/2014/main" pred="{DB9CD6BA-8C42-4A68-AD29-90381B426B5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2BFD86CF-A21D-4606-A677-6D2DE10972DD}"/>
            </a:ext>
            <a:ext uri="{147F2762-F138-4A5C-976F-8EAC2B608ADB}">
              <a16:predDERef xmlns:a16="http://schemas.microsoft.com/office/drawing/2014/main" pred="{873CDB01-927B-4813-9EB6-7D74C60E840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121A455D-FB18-4FB7-A34D-363EAA414A6C}"/>
            </a:ext>
            <a:ext uri="{147F2762-F138-4A5C-976F-8EAC2B608ADB}">
              <a16:predDERef xmlns:a16="http://schemas.microsoft.com/office/drawing/2014/main" pred="{2BFD86CF-A21D-4606-A677-6D2DE10972D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A171ABEC-2094-4E07-B85D-9017FFB9C32F}"/>
            </a:ext>
            <a:ext uri="{147F2762-F138-4A5C-976F-8EAC2B608ADB}">
              <a16:predDERef xmlns:a16="http://schemas.microsoft.com/office/drawing/2014/main" pred="{121A455D-FB18-4FB7-A34D-363EAA414A6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6">
          <a:extLst>
            <a:ext uri="{FF2B5EF4-FFF2-40B4-BE49-F238E27FC236}">
              <a16:creationId xmlns:a16="http://schemas.microsoft.com/office/drawing/2014/main" id="{F126F6E3-9DEC-41FB-B402-7094A0BAF4C8}"/>
            </a:ext>
            <a:ext uri="{147F2762-F138-4A5C-976F-8EAC2B608ADB}">
              <a16:predDERef xmlns:a16="http://schemas.microsoft.com/office/drawing/2014/main" pred="{A171ABEC-2094-4E07-B85D-9017FFB9C32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6C5D32D4-8F28-4942-A2E2-5E9696C6A2D4}"/>
            </a:ext>
            <a:ext uri="{147F2762-F138-4A5C-976F-8EAC2B608ADB}">
              <a16:predDERef xmlns:a16="http://schemas.microsoft.com/office/drawing/2014/main" pred="{F126F6E3-9DEC-41FB-B402-7094A0BAF4C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6</xdr:col>
      <xdr:colOff>190500</xdr:colOff>
      <xdr:row>1</xdr:row>
      <xdr:rowOff>114300</xdr:rowOff>
    </xdr:from>
    <xdr:to>
      <xdr:col>8</xdr:col>
      <xdr:colOff>876300</xdr:colOff>
      <xdr:row>4</xdr:row>
      <xdr:rowOff>57150</xdr:rowOff>
    </xdr:to>
    <xdr:pic>
      <xdr:nvPicPr>
        <xdr:cNvPr id="4" name="Picture 4" descr="VIAGS xanh">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86525" y="219075"/>
          <a:ext cx="17716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05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05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05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4">
          <a:extLst>
            <a:ext uri="{FF2B5EF4-FFF2-40B4-BE49-F238E27FC236}">
              <a16:creationId xmlns:a16="http://schemas.microsoft.com/office/drawing/2014/main" id="{00000000-0008-0000-0500-000008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7">
          <a:extLst>
            <a:ext uri="{FF2B5EF4-FFF2-40B4-BE49-F238E27FC236}">
              <a16:creationId xmlns:a16="http://schemas.microsoft.com/office/drawing/2014/main" id="{00000000-0008-0000-0500-000009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8">
          <a:extLst>
            <a:ext uri="{FF2B5EF4-FFF2-40B4-BE49-F238E27FC236}">
              <a16:creationId xmlns:a16="http://schemas.microsoft.com/office/drawing/2014/main" id="{00000000-0008-0000-0500-00000A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2"/>
          <a:extLst>
            <a:ext uri="{FF2B5EF4-FFF2-40B4-BE49-F238E27FC236}">
              <a16:creationId xmlns:a16="http://schemas.microsoft.com/office/drawing/2014/main" id="{820AC0B6-3594-4058-A3FA-AB02C84868F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833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2" name="Picture 11" descr="VIAGS xanh">
          <a:extLst>
            <a:ext uri="{FF2B5EF4-FFF2-40B4-BE49-F238E27FC236}">
              <a16:creationId xmlns:a16="http://schemas.microsoft.com/office/drawing/2014/main" id="{B09C14E7-1776-425C-B014-E0C540F73AD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22836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10885</xdr:colOff>
      <xdr:row>1</xdr:row>
      <xdr:rowOff>132517</xdr:rowOff>
    </xdr:from>
    <xdr:to>
      <xdr:col>3</xdr:col>
      <xdr:colOff>1338941</xdr:colOff>
      <xdr:row>4</xdr:row>
      <xdr:rowOff>104775</xdr:rowOff>
    </xdr:to>
    <xdr:pic>
      <xdr:nvPicPr>
        <xdr:cNvPr id="13" name="Picture 10" descr="VIAGS xanh">
          <a:hlinkClick xmlns:r="http://schemas.openxmlformats.org/officeDocument/2006/relationships" r:id="rId2"/>
          <a:extLst>
            <a:ext uri="{FF2B5EF4-FFF2-40B4-BE49-F238E27FC236}">
              <a16:creationId xmlns:a16="http://schemas.microsoft.com/office/drawing/2014/main" id="{9416D584-795E-4B15-B4AB-6FA6A99CA825}"/>
            </a:ext>
            <a:ext uri="{147F2762-F138-4A5C-976F-8EAC2B608ADB}">
              <a16:predDERef xmlns:a16="http://schemas.microsoft.com/office/drawing/2014/main" pred="{B09C14E7-1776-425C-B014-E0C540F73AD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5" name="Picture 27" descr="VIAGS xanh">
          <a:extLst>
            <a:ext uri="{FF2B5EF4-FFF2-40B4-BE49-F238E27FC236}">
              <a16:creationId xmlns:a16="http://schemas.microsoft.com/office/drawing/2014/main" id="{DE88BD2F-04C3-4278-91C0-B15CDCF9EB9C}"/>
            </a:ext>
            <a:ext uri="{147F2762-F138-4A5C-976F-8EAC2B608ADB}">
              <a16:predDERef xmlns:a16="http://schemas.microsoft.com/office/drawing/2014/main" pred="{58B2D4E4-1064-40B3-AB0D-C930C520A35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6" name="TextBox 4">
          <a:extLst>
            <a:ext uri="{FF2B5EF4-FFF2-40B4-BE49-F238E27FC236}">
              <a16:creationId xmlns:a16="http://schemas.microsoft.com/office/drawing/2014/main" id="{1CAEC891-BC46-4E88-B852-D504D32DF20D}"/>
            </a:ext>
            <a:ext uri="{147F2762-F138-4A5C-976F-8EAC2B608ADB}">
              <a16:predDERef xmlns:a16="http://schemas.microsoft.com/office/drawing/2014/main" pred="{DE88BD2F-04C3-4278-91C0-B15CDCF9EB9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7">
          <a:extLst>
            <a:ext uri="{FF2B5EF4-FFF2-40B4-BE49-F238E27FC236}">
              <a16:creationId xmlns:a16="http://schemas.microsoft.com/office/drawing/2014/main" id="{9E20FE47-F806-43FE-A3E5-B464402733E8}"/>
            </a:ext>
            <a:ext uri="{147F2762-F138-4A5C-976F-8EAC2B608ADB}">
              <a16:predDERef xmlns:a16="http://schemas.microsoft.com/office/drawing/2014/main" pred="{1CAEC891-BC46-4E88-B852-D504D32DF20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8">
          <a:extLst>
            <a:ext uri="{FF2B5EF4-FFF2-40B4-BE49-F238E27FC236}">
              <a16:creationId xmlns:a16="http://schemas.microsoft.com/office/drawing/2014/main" id="{03AC8FAF-86D4-4AD3-9DFC-C41456E9D71A}"/>
            </a:ext>
            <a:ext uri="{147F2762-F138-4A5C-976F-8EAC2B608ADB}">
              <a16:predDERef xmlns:a16="http://schemas.microsoft.com/office/drawing/2014/main" pred="{9E20FE47-F806-43FE-A3E5-B464402733E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75E78917-EAD3-4117-BAA1-ACA3442F8DBA}"/>
            </a:ext>
            <a:ext uri="{147F2762-F138-4A5C-976F-8EAC2B608ADB}">
              <a16:predDERef xmlns:a16="http://schemas.microsoft.com/office/drawing/2014/main" pred="{03AC8FAF-86D4-4AD3-9DFC-C41456E9D71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781EEDB3-6677-4D2B-A851-A83878CB2A7E}"/>
            </a:ext>
            <a:ext uri="{147F2762-F138-4A5C-976F-8EAC2B608ADB}">
              <a16:predDERef xmlns:a16="http://schemas.microsoft.com/office/drawing/2014/main" pred="{75E78917-EAD3-4117-BAA1-ACA3442F8DB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41F7BFE8-CE5C-4168-AFF1-064CA7B257EF}"/>
            </a:ext>
            <a:ext uri="{147F2762-F138-4A5C-976F-8EAC2B608ADB}">
              <a16:predDERef xmlns:a16="http://schemas.microsoft.com/office/drawing/2014/main" pred="{781EEDB3-6677-4D2B-A851-A83878CB2A7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6FEEE51D-C97E-4CFF-986C-A81AC18153F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F74AE061-9C09-4D36-A287-BC32ACF3F9A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98106742-F309-4E61-8BBA-FA820F45C92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24">
          <a:extLst>
            <a:ext uri="{FF2B5EF4-FFF2-40B4-BE49-F238E27FC236}">
              <a16:creationId xmlns:a16="http://schemas.microsoft.com/office/drawing/2014/main" id="{D5885BD6-94F6-4592-9B4D-971089346DC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48D4EF7B-EA97-4E99-865A-C8AED0C3772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D9010F17-2E57-41DC-8A45-C60E2534258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4">
          <a:extLst>
            <a:ext uri="{FF2B5EF4-FFF2-40B4-BE49-F238E27FC236}">
              <a16:creationId xmlns:a16="http://schemas.microsoft.com/office/drawing/2014/main" id="{DA92DC34-A337-42E3-B455-823F59EA4B5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10699085-B40D-465A-95AD-830D1003DB2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964FB1E9-4D73-4AC4-94CA-691DA09114B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8CF3669B-6BFE-4819-983A-6AEDD282D33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7C14F716-9E5C-4833-8F70-68C1BF687FF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155C4278-0AA7-4C24-B06E-4D484973648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E8EBBDD8-54BB-458A-B145-913609C6CC8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218742A7-95FF-4BF3-AB0C-DF93F805FFF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386B514D-5844-4AE6-9E71-D1C7BEE8E96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36">
          <a:extLst>
            <a:ext uri="{FF2B5EF4-FFF2-40B4-BE49-F238E27FC236}">
              <a16:creationId xmlns:a16="http://schemas.microsoft.com/office/drawing/2014/main" id="{C4DAD309-8C69-42CD-8B13-29F3F73CFE2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37">
          <a:extLst>
            <a:ext uri="{FF2B5EF4-FFF2-40B4-BE49-F238E27FC236}">
              <a16:creationId xmlns:a16="http://schemas.microsoft.com/office/drawing/2014/main" id="{026CE9FB-DEAC-4749-879E-1C84EE40487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38">
          <a:extLst>
            <a:ext uri="{FF2B5EF4-FFF2-40B4-BE49-F238E27FC236}">
              <a16:creationId xmlns:a16="http://schemas.microsoft.com/office/drawing/2014/main" id="{47F97022-20D6-4061-9517-667999C90DC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849AD98A-61AF-447B-B0FA-110354BF8166}"/>
            </a:ext>
            <a:ext uri="{147F2762-F138-4A5C-976F-8EAC2B608ADB}">
              <a16:predDERef xmlns:a16="http://schemas.microsoft.com/office/drawing/2014/main" pred="{47F97022-20D6-4061-9517-667999C90DC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D6E8DBDB-62D7-479B-96C0-9F13B388BB11}"/>
            </a:ext>
            <a:ext uri="{147F2762-F138-4A5C-976F-8EAC2B608ADB}">
              <a16:predDERef xmlns:a16="http://schemas.microsoft.com/office/drawing/2014/main" pred="{849AD98A-61AF-447B-B0FA-110354BF816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266078C8-43C6-4415-B6BD-7FE27014B834}"/>
            </a:ext>
            <a:ext uri="{147F2762-F138-4A5C-976F-8EAC2B608ADB}">
              <a16:predDERef xmlns:a16="http://schemas.microsoft.com/office/drawing/2014/main" pred="{D6E8DBDB-62D7-479B-96C0-9F13B388BB1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56F60964-79E5-4E1E-BA87-6A8170CE1756}"/>
            </a:ext>
            <a:ext uri="{147F2762-F138-4A5C-976F-8EAC2B608ADB}">
              <a16:predDERef xmlns:a16="http://schemas.microsoft.com/office/drawing/2014/main" pred="{266078C8-43C6-4415-B6BD-7FE27014B83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1C9C7D65-E318-4716-8469-AA6E36A32008}"/>
            </a:ext>
            <a:ext uri="{147F2762-F138-4A5C-976F-8EAC2B608ADB}">
              <a16:predDERef xmlns:a16="http://schemas.microsoft.com/office/drawing/2014/main" pred="{56F60964-79E5-4E1E-BA87-6A8170CE175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F041F1EA-E1EC-4FA1-A850-096386CCFF3B}"/>
            </a:ext>
            <a:ext uri="{147F2762-F138-4A5C-976F-8EAC2B608ADB}">
              <a16:predDERef xmlns:a16="http://schemas.microsoft.com/office/drawing/2014/main" pred="{1C9C7D65-E318-4716-8469-AA6E36A3200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
          <a:extLst>
            <a:ext uri="{FF2B5EF4-FFF2-40B4-BE49-F238E27FC236}">
              <a16:creationId xmlns:a16="http://schemas.microsoft.com/office/drawing/2014/main" id="{80BD3EEB-052D-4EED-A250-7432A1E9A2A4}"/>
            </a:ext>
            <a:ext uri="{147F2762-F138-4A5C-976F-8EAC2B608ADB}">
              <a16:predDERef xmlns:a16="http://schemas.microsoft.com/office/drawing/2014/main" pred="{F041F1EA-E1EC-4FA1-A850-096386CCFF3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7">
          <a:extLst>
            <a:ext uri="{FF2B5EF4-FFF2-40B4-BE49-F238E27FC236}">
              <a16:creationId xmlns:a16="http://schemas.microsoft.com/office/drawing/2014/main" id="{83E6153C-6377-445F-9B24-D36E3B06A5A3}"/>
            </a:ext>
            <a:ext uri="{147F2762-F138-4A5C-976F-8EAC2B608ADB}">
              <a16:predDERef xmlns:a16="http://schemas.microsoft.com/office/drawing/2014/main" pred="{80BD3EEB-052D-4EED-A250-7432A1E9A2A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8">
          <a:extLst>
            <a:ext uri="{FF2B5EF4-FFF2-40B4-BE49-F238E27FC236}">
              <a16:creationId xmlns:a16="http://schemas.microsoft.com/office/drawing/2014/main" id="{6A8CE538-4207-4109-8F41-52C7719D41E0}"/>
            </a:ext>
            <a:ext uri="{147F2762-F138-4A5C-976F-8EAC2B608ADB}">
              <a16:predDERef xmlns:a16="http://schemas.microsoft.com/office/drawing/2014/main" pred="{83E6153C-6377-445F-9B24-D36E3B06A5A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6">
          <a:extLst>
            <a:ext uri="{FF2B5EF4-FFF2-40B4-BE49-F238E27FC236}">
              <a16:creationId xmlns:a16="http://schemas.microsoft.com/office/drawing/2014/main" id="{93C898DF-9568-466E-A054-7679AC497D79}"/>
            </a:ext>
            <a:ext uri="{147F2762-F138-4A5C-976F-8EAC2B608ADB}">
              <a16:predDERef xmlns:a16="http://schemas.microsoft.com/office/drawing/2014/main" pred="{6A8CE538-4207-4109-8F41-52C7719D41E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7">
          <a:extLst>
            <a:ext uri="{FF2B5EF4-FFF2-40B4-BE49-F238E27FC236}">
              <a16:creationId xmlns:a16="http://schemas.microsoft.com/office/drawing/2014/main" id="{28045B6E-091B-4A15-B82C-AB4B3D5BCC3D}"/>
            </a:ext>
            <a:ext uri="{147F2762-F138-4A5C-976F-8EAC2B608ADB}">
              <a16:predDERef xmlns:a16="http://schemas.microsoft.com/office/drawing/2014/main" pred="{93C898DF-9568-466E-A054-7679AC497D7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6</xdr:col>
      <xdr:colOff>190500</xdr:colOff>
      <xdr:row>1</xdr:row>
      <xdr:rowOff>114300</xdr:rowOff>
    </xdr:from>
    <xdr:to>
      <xdr:col>8</xdr:col>
      <xdr:colOff>866775</xdr:colOff>
      <xdr:row>4</xdr:row>
      <xdr:rowOff>57150</xdr:rowOff>
    </xdr:to>
    <xdr:pic>
      <xdr:nvPicPr>
        <xdr:cNvPr id="4" name="Picture 4" descr="VIAGS xanh">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0325" y="219075"/>
          <a:ext cx="1762125"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06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06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06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4">
          <a:extLst>
            <a:ext uri="{FF2B5EF4-FFF2-40B4-BE49-F238E27FC236}">
              <a16:creationId xmlns:a16="http://schemas.microsoft.com/office/drawing/2014/main" id="{00000000-0008-0000-0600-000008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7">
          <a:extLst>
            <a:ext uri="{FF2B5EF4-FFF2-40B4-BE49-F238E27FC236}">
              <a16:creationId xmlns:a16="http://schemas.microsoft.com/office/drawing/2014/main" id="{00000000-0008-0000-0600-000009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8">
          <a:extLst>
            <a:ext uri="{FF2B5EF4-FFF2-40B4-BE49-F238E27FC236}">
              <a16:creationId xmlns:a16="http://schemas.microsoft.com/office/drawing/2014/main" id="{00000000-0008-0000-0600-00000A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2"/>
          <a:extLst>
            <a:ext uri="{FF2B5EF4-FFF2-40B4-BE49-F238E27FC236}">
              <a16:creationId xmlns:a16="http://schemas.microsoft.com/office/drawing/2014/main" id="{A881F752-3C18-4426-AFCB-1C19E76B476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2" name="Picture 11" descr="VIAGS xanh">
          <a:extLst>
            <a:ext uri="{FF2B5EF4-FFF2-40B4-BE49-F238E27FC236}">
              <a16:creationId xmlns:a16="http://schemas.microsoft.com/office/drawing/2014/main" id="{705D7973-474F-409E-87D3-D15D379FE25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38076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10885</xdr:colOff>
      <xdr:row>1</xdr:row>
      <xdr:rowOff>132517</xdr:rowOff>
    </xdr:from>
    <xdr:to>
      <xdr:col>3</xdr:col>
      <xdr:colOff>1338941</xdr:colOff>
      <xdr:row>4</xdr:row>
      <xdr:rowOff>104775</xdr:rowOff>
    </xdr:to>
    <xdr:pic>
      <xdr:nvPicPr>
        <xdr:cNvPr id="3" name="Picture 10" descr="VIAGS xanh">
          <a:hlinkClick xmlns:r="http://schemas.openxmlformats.org/officeDocument/2006/relationships" r:id="rId2"/>
          <a:extLst>
            <a:ext uri="{FF2B5EF4-FFF2-40B4-BE49-F238E27FC236}">
              <a16:creationId xmlns:a16="http://schemas.microsoft.com/office/drawing/2014/main" id="{24DA61A4-100D-4F45-B141-E36C41665BD7}"/>
            </a:ext>
            <a:ext uri="{147F2762-F138-4A5C-976F-8EAC2B608ADB}">
              <a16:predDERef xmlns:a16="http://schemas.microsoft.com/office/drawing/2014/main" pred="{705D7973-474F-409E-87D3-D15D379FE25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4" name="Picture 27" descr="VIAGS xanh">
          <a:extLst>
            <a:ext uri="{FF2B5EF4-FFF2-40B4-BE49-F238E27FC236}">
              <a16:creationId xmlns:a16="http://schemas.microsoft.com/office/drawing/2014/main" id="{2299D6B4-41BE-4603-AD7D-8888F4485E26}"/>
            </a:ext>
            <a:ext uri="{147F2762-F138-4A5C-976F-8EAC2B608ADB}">
              <a16:predDERef xmlns:a16="http://schemas.microsoft.com/office/drawing/2014/main" pred="{A77C22E2-7CF4-43F7-BA33-CEF20B1388E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849F6178-C9A3-4AEA-AFC5-6451A39428A4}"/>
            </a:ext>
            <a:ext uri="{147F2762-F138-4A5C-976F-8EAC2B608ADB}">
              <a16:predDERef xmlns:a16="http://schemas.microsoft.com/office/drawing/2014/main" pred="{2299D6B4-41BE-4603-AD7D-8888F4485E2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46409D33-9AC1-404E-9593-AAD4FAE3F0B4}"/>
            </a:ext>
            <a:ext uri="{147F2762-F138-4A5C-976F-8EAC2B608ADB}">
              <a16:predDERef xmlns:a16="http://schemas.microsoft.com/office/drawing/2014/main" pred="{849F6178-C9A3-4AEA-AFC5-6451A39428A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047C1C30-C662-40F6-9AFE-FF9C0C6956FC}"/>
            </a:ext>
            <a:ext uri="{147F2762-F138-4A5C-976F-8EAC2B608ADB}">
              <a16:predDERef xmlns:a16="http://schemas.microsoft.com/office/drawing/2014/main" pred="{46409D33-9AC1-404E-9593-AAD4FAE3F0B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D0E93E22-E4AA-43AC-945B-92F12F839830}"/>
            </a:ext>
            <a:ext uri="{147F2762-F138-4A5C-976F-8EAC2B608ADB}">
              <a16:predDERef xmlns:a16="http://schemas.microsoft.com/office/drawing/2014/main" pred="{047C1C30-C662-40F6-9AFE-FF9C0C6956F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D0150CE5-DC98-4DA4-8438-9F6BC496AD64}"/>
            </a:ext>
            <a:ext uri="{147F2762-F138-4A5C-976F-8EAC2B608ADB}">
              <a16:predDERef xmlns:a16="http://schemas.microsoft.com/office/drawing/2014/main" pred="{D0E93E22-E4AA-43AC-945B-92F12F83983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9F4E5D0A-E2C0-4678-A7E1-38C5A60D1C95}"/>
            </a:ext>
            <a:ext uri="{147F2762-F138-4A5C-976F-8EAC2B608ADB}">
              <a16:predDERef xmlns:a16="http://schemas.microsoft.com/office/drawing/2014/main" pred="{D0150CE5-DC98-4DA4-8438-9F6BC496AD6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1" name="Picture 10" descr="VIAGS xanh">
          <a:hlinkClick xmlns:r="http://schemas.openxmlformats.org/officeDocument/2006/relationships" r:id="rId2"/>
          <a:extLst>
            <a:ext uri="{FF2B5EF4-FFF2-40B4-BE49-F238E27FC236}">
              <a16:creationId xmlns:a16="http://schemas.microsoft.com/office/drawing/2014/main" id="{46F123F3-8A24-4D34-8503-626BE1F5F97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3" name="Picture 22" descr="VIAGS xanh">
          <a:extLst>
            <a:ext uri="{FF2B5EF4-FFF2-40B4-BE49-F238E27FC236}">
              <a16:creationId xmlns:a16="http://schemas.microsoft.com/office/drawing/2014/main" id="{F5170334-7F82-4019-8CD3-502056F0E56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AAE21BD2-00C3-47EB-A62C-83D22CEAA62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907F621F-03F5-4B9A-AE13-F329916E14E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9A08CFEC-25D6-4E62-A914-007E1241AB6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4">
          <a:extLst>
            <a:ext uri="{FF2B5EF4-FFF2-40B4-BE49-F238E27FC236}">
              <a16:creationId xmlns:a16="http://schemas.microsoft.com/office/drawing/2014/main" id="{ECB301A3-3E3D-43E5-AF94-6DE97C45E44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B3DA1FBD-105B-4E87-BB0E-F5DF9DBB174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1614E3BF-6CD7-4C15-887A-45A1DD11BFE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4">
          <a:extLst>
            <a:ext uri="{FF2B5EF4-FFF2-40B4-BE49-F238E27FC236}">
              <a16:creationId xmlns:a16="http://schemas.microsoft.com/office/drawing/2014/main" id="{262B012A-88D6-4C25-9047-7D00269AC3C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94FB016E-920A-4962-A8CA-AF20751EAFF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832DAFFA-B417-47EB-ACD8-C077B840D84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32">
          <a:extLst>
            <a:ext uri="{FF2B5EF4-FFF2-40B4-BE49-F238E27FC236}">
              <a16:creationId xmlns:a16="http://schemas.microsoft.com/office/drawing/2014/main" id="{3426C1B4-B8FA-418A-8D9F-FC74DF4CAB3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A26A466A-9D5D-4313-8624-22317F5F34A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BD397903-6309-4BB9-B7F0-BA2ECC35785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026F899C-5261-4B02-B085-EB802634B90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BC10C5EC-6A95-43A2-87FD-3007576A60B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FBED76C9-7722-4DCD-B57B-CB2A773D908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A0D0FD38-FD65-4D32-8CBD-93F9F2F7805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B271DA5C-1881-4F31-B9CE-4D4F7F485CE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EFB0273D-00BC-4CFE-B080-4B88520F67F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98F1B530-92E9-49F6-8AC8-C7432289D16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38C1C9BD-D3B4-4326-BB96-8573139A16E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3AC61CEB-0549-4E05-A7B2-D7F68C523F5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4">
          <a:extLst>
            <a:ext uri="{FF2B5EF4-FFF2-40B4-BE49-F238E27FC236}">
              <a16:creationId xmlns:a16="http://schemas.microsoft.com/office/drawing/2014/main" id="{249773BE-80E7-4F13-998C-87C63049457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5">
          <a:extLst>
            <a:ext uri="{FF2B5EF4-FFF2-40B4-BE49-F238E27FC236}">
              <a16:creationId xmlns:a16="http://schemas.microsoft.com/office/drawing/2014/main" id="{EB2C3820-822B-469B-93D9-4BC0F02D665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46">
          <a:extLst>
            <a:ext uri="{FF2B5EF4-FFF2-40B4-BE49-F238E27FC236}">
              <a16:creationId xmlns:a16="http://schemas.microsoft.com/office/drawing/2014/main" id="{E408E4AF-6F3D-4DFE-919B-42F0C3AE8BB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8DE84F9C-5E4B-404C-92F3-7C65E639DFC5}"/>
            </a:ext>
            <a:ext uri="{147F2762-F138-4A5C-976F-8EAC2B608ADB}">
              <a16:predDERef xmlns:a16="http://schemas.microsoft.com/office/drawing/2014/main" pred="{E408E4AF-6F3D-4DFE-919B-42F0C3AE8BB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260315FD-3DAE-48FD-95E7-A8B303905A8E}"/>
            </a:ext>
            <a:ext uri="{147F2762-F138-4A5C-976F-8EAC2B608ADB}">
              <a16:predDERef xmlns:a16="http://schemas.microsoft.com/office/drawing/2014/main" pred="{8DE84F9C-5E4B-404C-92F3-7C65E639DFC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DB0712A1-4768-4369-B773-49B5BEFA5F3A}"/>
            </a:ext>
            <a:ext uri="{147F2762-F138-4A5C-976F-8EAC2B608ADB}">
              <a16:predDERef xmlns:a16="http://schemas.microsoft.com/office/drawing/2014/main" pred="{260315FD-3DAE-48FD-95E7-A8B303905A8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A191F491-9F48-45D8-BD27-921F08A5E938}"/>
            </a:ext>
            <a:ext uri="{147F2762-F138-4A5C-976F-8EAC2B608ADB}">
              <a16:predDERef xmlns:a16="http://schemas.microsoft.com/office/drawing/2014/main" pred="{DB0712A1-4768-4369-B773-49B5BEFA5F3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48D5800C-1994-4BD5-8A87-D89027155DCD}"/>
            </a:ext>
            <a:ext uri="{147F2762-F138-4A5C-976F-8EAC2B608ADB}">
              <a16:predDERef xmlns:a16="http://schemas.microsoft.com/office/drawing/2014/main" pred="{A191F491-9F48-45D8-BD27-921F08A5E93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7599F7CC-9391-4968-8C2A-325A8260356A}"/>
            </a:ext>
            <a:ext uri="{147F2762-F138-4A5C-976F-8EAC2B608ADB}">
              <a16:predDERef xmlns:a16="http://schemas.microsoft.com/office/drawing/2014/main" pred="{48D5800C-1994-4BD5-8A87-D89027155DC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4">
          <a:extLst>
            <a:ext uri="{FF2B5EF4-FFF2-40B4-BE49-F238E27FC236}">
              <a16:creationId xmlns:a16="http://schemas.microsoft.com/office/drawing/2014/main" id="{E9C99831-73E5-4A26-88FB-1D23E98097E7}"/>
            </a:ext>
            <a:ext uri="{147F2762-F138-4A5C-976F-8EAC2B608ADB}">
              <a16:predDERef xmlns:a16="http://schemas.microsoft.com/office/drawing/2014/main" pred="{7599F7CC-9391-4968-8C2A-325A8260356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C6DB8C35-7515-4CA5-9C2F-BAB674097526}"/>
            </a:ext>
            <a:ext uri="{147F2762-F138-4A5C-976F-8EAC2B608ADB}">
              <a16:predDERef xmlns:a16="http://schemas.microsoft.com/office/drawing/2014/main" pred="{E9C99831-73E5-4A26-88FB-1D23E98097E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6059D023-29C6-407F-B457-8A19CC5DCCC4}"/>
            </a:ext>
            <a:ext uri="{147F2762-F138-4A5C-976F-8EAC2B608ADB}">
              <a16:predDERef xmlns:a16="http://schemas.microsoft.com/office/drawing/2014/main" pred="{C6DB8C35-7515-4CA5-9C2F-BAB67409752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6">
          <a:extLst>
            <a:ext uri="{FF2B5EF4-FFF2-40B4-BE49-F238E27FC236}">
              <a16:creationId xmlns:a16="http://schemas.microsoft.com/office/drawing/2014/main" id="{F66B78F3-397E-4D40-A7A7-99A020677231}"/>
            </a:ext>
            <a:ext uri="{147F2762-F138-4A5C-976F-8EAC2B608ADB}">
              <a16:predDERef xmlns:a16="http://schemas.microsoft.com/office/drawing/2014/main" pred="{6059D023-29C6-407F-B457-8A19CC5DCCC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8901D9BA-A434-4480-A5A9-569A47673902}"/>
            </a:ext>
            <a:ext uri="{147F2762-F138-4A5C-976F-8EAC2B608ADB}">
              <a16:predDERef xmlns:a16="http://schemas.microsoft.com/office/drawing/2014/main" pred="{F66B78F3-397E-4D40-A7A7-99A02067723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6</xdr:col>
      <xdr:colOff>190500</xdr:colOff>
      <xdr:row>1</xdr:row>
      <xdr:rowOff>114300</xdr:rowOff>
    </xdr:from>
    <xdr:to>
      <xdr:col>8</xdr:col>
      <xdr:colOff>895350</xdr:colOff>
      <xdr:row>4</xdr:row>
      <xdr:rowOff>57150</xdr:rowOff>
    </xdr:to>
    <xdr:pic>
      <xdr:nvPicPr>
        <xdr:cNvPr id="4" name="Picture 4" descr="VIAGS xanh">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0325" y="219075"/>
          <a:ext cx="17907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07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07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07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4">
          <a:extLst>
            <a:ext uri="{FF2B5EF4-FFF2-40B4-BE49-F238E27FC236}">
              <a16:creationId xmlns:a16="http://schemas.microsoft.com/office/drawing/2014/main" id="{00000000-0008-0000-0700-000008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7">
          <a:extLst>
            <a:ext uri="{FF2B5EF4-FFF2-40B4-BE49-F238E27FC236}">
              <a16:creationId xmlns:a16="http://schemas.microsoft.com/office/drawing/2014/main" id="{00000000-0008-0000-0700-000009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8">
          <a:extLst>
            <a:ext uri="{FF2B5EF4-FFF2-40B4-BE49-F238E27FC236}">
              <a16:creationId xmlns:a16="http://schemas.microsoft.com/office/drawing/2014/main" id="{00000000-0008-0000-0700-00000A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2"/>
          <a:extLst>
            <a:ext uri="{FF2B5EF4-FFF2-40B4-BE49-F238E27FC236}">
              <a16:creationId xmlns:a16="http://schemas.microsoft.com/office/drawing/2014/main" id="{74214F7D-2B24-4D4E-BD1E-889BE7D48183}"/>
            </a:ext>
            <a:ext uri="{147F2762-F138-4A5C-976F-8EAC2B608ADB}">
              <a16:predDERef xmlns:a16="http://schemas.microsoft.com/office/drawing/2014/main" pred="{00000000-0008-0000-0700-00000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2" name="Picture 27" descr="VIAGS xanh">
          <a:extLst>
            <a:ext uri="{FF2B5EF4-FFF2-40B4-BE49-F238E27FC236}">
              <a16:creationId xmlns:a16="http://schemas.microsoft.com/office/drawing/2014/main" id="{DC0FA668-5776-4DB6-AF31-B5E4D69CB91A}"/>
            </a:ext>
            <a:ext uri="{147F2762-F138-4A5C-976F-8EAC2B608ADB}">
              <a16:predDERef xmlns:a16="http://schemas.microsoft.com/office/drawing/2014/main" pred="{B975038A-F302-4930-BE41-6F25C8E1072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6B1B6EE0-D5D3-4370-B8F2-5E3E19EC2ABF}"/>
            </a:ext>
            <a:ext uri="{147F2762-F138-4A5C-976F-8EAC2B608ADB}">
              <a16:predDERef xmlns:a16="http://schemas.microsoft.com/office/drawing/2014/main" pred="{DC0FA668-5776-4DB6-AF31-B5E4D69CB91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AFEBB60B-D175-44B6-906C-8DDFCA490D6F}"/>
            </a:ext>
            <a:ext uri="{147F2762-F138-4A5C-976F-8EAC2B608ADB}">
              <a16:predDERef xmlns:a16="http://schemas.microsoft.com/office/drawing/2014/main" pred="{6B1B6EE0-D5D3-4370-B8F2-5E3E19EC2AB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76AF28EC-9DF9-4A6C-A06A-2E5BDBE5D1E5}"/>
            </a:ext>
            <a:ext uri="{147F2762-F138-4A5C-976F-8EAC2B608ADB}">
              <a16:predDERef xmlns:a16="http://schemas.microsoft.com/office/drawing/2014/main" pred="{AFEBB60B-D175-44B6-906C-8DDFCA490D6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4">
          <a:extLst>
            <a:ext uri="{FF2B5EF4-FFF2-40B4-BE49-F238E27FC236}">
              <a16:creationId xmlns:a16="http://schemas.microsoft.com/office/drawing/2014/main" id="{F1B3A638-1AD7-4141-B527-7EDECE301F52}"/>
            </a:ext>
            <a:ext uri="{147F2762-F138-4A5C-976F-8EAC2B608ADB}">
              <a16:predDERef xmlns:a16="http://schemas.microsoft.com/office/drawing/2014/main" pred="{76AF28EC-9DF9-4A6C-A06A-2E5BDBE5D1E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7">
          <a:extLst>
            <a:ext uri="{FF2B5EF4-FFF2-40B4-BE49-F238E27FC236}">
              <a16:creationId xmlns:a16="http://schemas.microsoft.com/office/drawing/2014/main" id="{E6613EA5-9E3E-412B-A568-CB0247332FD3}"/>
            </a:ext>
            <a:ext uri="{147F2762-F138-4A5C-976F-8EAC2B608ADB}">
              <a16:predDERef xmlns:a16="http://schemas.microsoft.com/office/drawing/2014/main" pred="{F1B3A638-1AD7-4141-B527-7EDECE301F5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8">
          <a:extLst>
            <a:ext uri="{FF2B5EF4-FFF2-40B4-BE49-F238E27FC236}">
              <a16:creationId xmlns:a16="http://schemas.microsoft.com/office/drawing/2014/main" id="{922BA392-7CCE-40D1-95BC-856CF2825CE1}"/>
            </a:ext>
            <a:ext uri="{147F2762-F138-4A5C-976F-8EAC2B608ADB}">
              <a16:predDERef xmlns:a16="http://schemas.microsoft.com/office/drawing/2014/main" pred="{E6613EA5-9E3E-412B-A568-CB0247332FD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9" name="Picture 10" descr="VIAGS xanh">
          <a:hlinkClick xmlns:r="http://schemas.openxmlformats.org/officeDocument/2006/relationships" r:id="rId2"/>
          <a:extLst>
            <a:ext uri="{FF2B5EF4-FFF2-40B4-BE49-F238E27FC236}">
              <a16:creationId xmlns:a16="http://schemas.microsoft.com/office/drawing/2014/main" id="{C7023390-2B65-4DA0-86C2-5C5CB108101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1" name="Picture 20" descr="VIAGS xanh">
          <a:extLst>
            <a:ext uri="{FF2B5EF4-FFF2-40B4-BE49-F238E27FC236}">
              <a16:creationId xmlns:a16="http://schemas.microsoft.com/office/drawing/2014/main" id="{8BD18D77-E425-4A07-A3D6-A7ABB0BEA08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1A1FD9A9-D288-4D22-918E-C01AA4639BC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308BF60C-633E-47EB-B3E6-D1483246E3D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96D73F23-2E1A-4FD4-99E0-5D0416BF8BE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DE217F24-CDA3-400B-B506-D4D602606F8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87F9A58E-4544-4D6E-AE40-7E24125F660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E966E4DC-2A6F-4816-AA73-761A25CAA43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4">
          <a:extLst>
            <a:ext uri="{FF2B5EF4-FFF2-40B4-BE49-F238E27FC236}">
              <a16:creationId xmlns:a16="http://schemas.microsoft.com/office/drawing/2014/main" id="{E57127E1-A2B0-41E7-BAA0-042EC7D8A20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D60FDA2A-8B5F-4464-BF9B-EF3D55A29F4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95BC1E2D-4A27-4F38-A88E-24CDAACA3EA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30">
          <a:extLst>
            <a:ext uri="{FF2B5EF4-FFF2-40B4-BE49-F238E27FC236}">
              <a16:creationId xmlns:a16="http://schemas.microsoft.com/office/drawing/2014/main" id="{A32BA718-7176-4903-A431-7FBDB03B3D5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381C9C5F-5618-4882-BAA4-2ABE553C7C1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E3D49B87-B848-447D-BAFE-F6891A8A88D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F8387222-71C0-4B82-ABB9-5309B075865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9CABA8F7-E167-4F3E-92B5-484040E1126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41118AB4-797E-4335-B54B-2686EAED25D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96E68D44-8954-48A9-959C-5D3252FAC63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B8816E86-85B4-4EEC-AF12-F131A8462AA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019E5F52-24A2-4669-87DD-D33C0F91970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78552F87-0C38-4F1E-BB0E-9918224E85D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02F7486E-A4B9-497F-B6D1-AE0A0CBD5A7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BA1854CA-2F87-4D43-83FE-F6655BBFCB4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2">
          <a:extLst>
            <a:ext uri="{FF2B5EF4-FFF2-40B4-BE49-F238E27FC236}">
              <a16:creationId xmlns:a16="http://schemas.microsoft.com/office/drawing/2014/main" id="{BC92CBDF-D517-4965-9D37-8915E9862FC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43">
          <a:extLst>
            <a:ext uri="{FF2B5EF4-FFF2-40B4-BE49-F238E27FC236}">
              <a16:creationId xmlns:a16="http://schemas.microsoft.com/office/drawing/2014/main" id="{B6A22FC2-DB83-4203-9D0B-28F0F86E9DA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4">
          <a:extLst>
            <a:ext uri="{FF2B5EF4-FFF2-40B4-BE49-F238E27FC236}">
              <a16:creationId xmlns:a16="http://schemas.microsoft.com/office/drawing/2014/main" id="{39455465-D82E-4B9F-97FA-2CF04E5A44A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
          <a:extLst>
            <a:ext uri="{FF2B5EF4-FFF2-40B4-BE49-F238E27FC236}">
              <a16:creationId xmlns:a16="http://schemas.microsoft.com/office/drawing/2014/main" id="{B67AA1DC-D6AA-4CDF-BB1C-786ECA795596}"/>
            </a:ext>
            <a:ext uri="{147F2762-F138-4A5C-976F-8EAC2B608ADB}">
              <a16:predDERef xmlns:a16="http://schemas.microsoft.com/office/drawing/2014/main" pred="{39455465-D82E-4B9F-97FA-2CF04E5A44A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7">
          <a:extLst>
            <a:ext uri="{FF2B5EF4-FFF2-40B4-BE49-F238E27FC236}">
              <a16:creationId xmlns:a16="http://schemas.microsoft.com/office/drawing/2014/main" id="{3DAB3592-00E4-4EEB-8446-C77DD8587971}"/>
            </a:ext>
            <a:ext uri="{147F2762-F138-4A5C-976F-8EAC2B608ADB}">
              <a16:predDERef xmlns:a16="http://schemas.microsoft.com/office/drawing/2014/main" pred="{B67AA1DC-D6AA-4CDF-BB1C-786ECA79559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8">
          <a:extLst>
            <a:ext uri="{FF2B5EF4-FFF2-40B4-BE49-F238E27FC236}">
              <a16:creationId xmlns:a16="http://schemas.microsoft.com/office/drawing/2014/main" id="{C61A9C98-3E13-4C62-A634-0359D2206999}"/>
            </a:ext>
            <a:ext uri="{147F2762-F138-4A5C-976F-8EAC2B608ADB}">
              <a16:predDERef xmlns:a16="http://schemas.microsoft.com/office/drawing/2014/main" pred="{3DAB3592-00E4-4EEB-8446-C77DD858797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
          <a:extLst>
            <a:ext uri="{FF2B5EF4-FFF2-40B4-BE49-F238E27FC236}">
              <a16:creationId xmlns:a16="http://schemas.microsoft.com/office/drawing/2014/main" id="{8CA1C91B-5BC2-4C69-8E58-A0299668F20C}"/>
            </a:ext>
            <a:ext uri="{147F2762-F138-4A5C-976F-8EAC2B608ADB}">
              <a16:predDERef xmlns:a16="http://schemas.microsoft.com/office/drawing/2014/main" pred="{C61A9C98-3E13-4C62-A634-0359D220699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7">
          <a:extLst>
            <a:ext uri="{FF2B5EF4-FFF2-40B4-BE49-F238E27FC236}">
              <a16:creationId xmlns:a16="http://schemas.microsoft.com/office/drawing/2014/main" id="{70D0F0F2-98CE-4742-A48F-C27262C235DE}"/>
            </a:ext>
            <a:ext uri="{147F2762-F138-4A5C-976F-8EAC2B608ADB}">
              <a16:predDERef xmlns:a16="http://schemas.microsoft.com/office/drawing/2014/main" pred="{8CA1C91B-5BC2-4C69-8E58-A0299668F20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8">
          <a:extLst>
            <a:ext uri="{FF2B5EF4-FFF2-40B4-BE49-F238E27FC236}">
              <a16:creationId xmlns:a16="http://schemas.microsoft.com/office/drawing/2014/main" id="{22C82198-CDD8-4160-8101-1D14F1F6A5C9}"/>
            </a:ext>
            <a:ext uri="{147F2762-F138-4A5C-976F-8EAC2B608ADB}">
              <a16:predDERef xmlns:a16="http://schemas.microsoft.com/office/drawing/2014/main" pred="{70D0F0F2-98CE-4742-A48F-C27262C235D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4">
          <a:extLst>
            <a:ext uri="{FF2B5EF4-FFF2-40B4-BE49-F238E27FC236}">
              <a16:creationId xmlns:a16="http://schemas.microsoft.com/office/drawing/2014/main" id="{C3E5B874-1D12-44FD-931A-0DA8B593D6D5}"/>
            </a:ext>
            <a:ext uri="{147F2762-F138-4A5C-976F-8EAC2B608ADB}">
              <a16:predDERef xmlns:a16="http://schemas.microsoft.com/office/drawing/2014/main" pred="{22C82198-CDD8-4160-8101-1D14F1F6A5C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7">
          <a:extLst>
            <a:ext uri="{FF2B5EF4-FFF2-40B4-BE49-F238E27FC236}">
              <a16:creationId xmlns:a16="http://schemas.microsoft.com/office/drawing/2014/main" id="{E04DABE9-9548-41E5-BEA6-718AD03934AF}"/>
            </a:ext>
            <a:ext uri="{147F2762-F138-4A5C-976F-8EAC2B608ADB}">
              <a16:predDERef xmlns:a16="http://schemas.microsoft.com/office/drawing/2014/main" pred="{C3E5B874-1D12-44FD-931A-0DA8B593D6D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8">
          <a:extLst>
            <a:ext uri="{FF2B5EF4-FFF2-40B4-BE49-F238E27FC236}">
              <a16:creationId xmlns:a16="http://schemas.microsoft.com/office/drawing/2014/main" id="{60B0F1D3-9EBE-4A4E-BBB8-58E3D5A95E9A}"/>
            </a:ext>
            <a:ext uri="{147F2762-F138-4A5C-976F-8EAC2B608ADB}">
              <a16:predDERef xmlns:a16="http://schemas.microsoft.com/office/drawing/2014/main" pred="{E04DABE9-9548-41E5-BEA6-718AD03934A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6">
          <a:extLst>
            <a:ext uri="{FF2B5EF4-FFF2-40B4-BE49-F238E27FC236}">
              <a16:creationId xmlns:a16="http://schemas.microsoft.com/office/drawing/2014/main" id="{30D394F9-E1B8-46CA-91DE-02A82654798E}"/>
            </a:ext>
            <a:ext uri="{147F2762-F138-4A5C-976F-8EAC2B608ADB}">
              <a16:predDERef xmlns:a16="http://schemas.microsoft.com/office/drawing/2014/main" pred="{60B0F1D3-9EBE-4A4E-BBB8-58E3D5A95E9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7">
          <a:extLst>
            <a:ext uri="{FF2B5EF4-FFF2-40B4-BE49-F238E27FC236}">
              <a16:creationId xmlns:a16="http://schemas.microsoft.com/office/drawing/2014/main" id="{59567378-EF15-40BB-8547-7AD696539F19}"/>
            </a:ext>
            <a:ext uri="{147F2762-F138-4A5C-976F-8EAC2B608ADB}">
              <a16:predDERef xmlns:a16="http://schemas.microsoft.com/office/drawing/2014/main" pred="{30D394F9-E1B8-46CA-91DE-02A82654798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08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08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08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4">
          <a:extLst>
            <a:ext uri="{FF2B5EF4-FFF2-40B4-BE49-F238E27FC236}">
              <a16:creationId xmlns:a16="http://schemas.microsoft.com/office/drawing/2014/main" id="{00000000-0008-0000-0800-000008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7">
          <a:extLst>
            <a:ext uri="{FF2B5EF4-FFF2-40B4-BE49-F238E27FC236}">
              <a16:creationId xmlns:a16="http://schemas.microsoft.com/office/drawing/2014/main" id="{00000000-0008-0000-0800-000009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8">
          <a:extLst>
            <a:ext uri="{FF2B5EF4-FFF2-40B4-BE49-F238E27FC236}">
              <a16:creationId xmlns:a16="http://schemas.microsoft.com/office/drawing/2014/main" id="{00000000-0008-0000-0800-00000A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77525E49-08C5-4669-8FDA-29728BFF1E25}"/>
            </a:ext>
            <a:ext uri="{147F2762-F138-4A5C-976F-8EAC2B608ADB}">
              <a16:predDERef xmlns:a16="http://schemas.microsoft.com/office/drawing/2014/main" pred="{00000000-0008-0000-08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 name="Picture 4" descr="VIAGS xanh">
          <a:extLst>
            <a:ext uri="{FF2B5EF4-FFF2-40B4-BE49-F238E27FC236}">
              <a16:creationId xmlns:a16="http://schemas.microsoft.com/office/drawing/2014/main" id="{66DE7A81-0848-4E6D-8416-16AC409C4166}"/>
            </a:ext>
            <a:ext uri="{147F2762-F138-4A5C-976F-8EAC2B608ADB}">
              <a16:predDERef xmlns:a16="http://schemas.microsoft.com/office/drawing/2014/main" pred="{77525E49-08C5-4669-8FDA-29728BFF1E2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1" name="Picture 27" descr="VIAGS xanh">
          <a:extLst>
            <a:ext uri="{FF2B5EF4-FFF2-40B4-BE49-F238E27FC236}">
              <a16:creationId xmlns:a16="http://schemas.microsoft.com/office/drawing/2014/main" id="{98B95B84-C458-431B-9C03-D1383ED7D893}"/>
            </a:ext>
            <a:ext uri="{147F2762-F138-4A5C-976F-8EAC2B608ADB}">
              <a16:predDERef xmlns:a16="http://schemas.microsoft.com/office/drawing/2014/main" pred="{66DE7A81-0848-4E6D-8416-16AC409C416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8938B992-30B5-453E-AE2A-46F910E92F63}"/>
            </a:ext>
            <a:ext uri="{147F2762-F138-4A5C-976F-8EAC2B608ADB}">
              <a16:predDERef xmlns:a16="http://schemas.microsoft.com/office/drawing/2014/main" pred="{98B95B84-C458-431B-9C03-D1383ED7D89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49120C88-72DE-493A-8EF4-F4889B7C32CC}"/>
            </a:ext>
            <a:ext uri="{147F2762-F138-4A5C-976F-8EAC2B608ADB}">
              <a16:predDERef xmlns:a16="http://schemas.microsoft.com/office/drawing/2014/main" pred="{8938B992-30B5-453E-AE2A-46F910E92F6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455AE873-938D-44DC-BABB-FF90712BE15E}"/>
            </a:ext>
            <a:ext uri="{147F2762-F138-4A5C-976F-8EAC2B608ADB}">
              <a16:predDERef xmlns:a16="http://schemas.microsoft.com/office/drawing/2014/main" pred="{49120C88-72DE-493A-8EF4-F4889B7C32C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90055ABA-D09E-42D7-9EEB-530AE3808625}"/>
            </a:ext>
            <a:ext uri="{147F2762-F138-4A5C-976F-8EAC2B608ADB}">
              <a16:predDERef xmlns:a16="http://schemas.microsoft.com/office/drawing/2014/main" pred="{455AE873-938D-44DC-BABB-FF90712BE15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E08129E6-0368-4E1D-8894-1B1996DE4238}"/>
            </a:ext>
            <a:ext uri="{147F2762-F138-4A5C-976F-8EAC2B608ADB}">
              <a16:predDERef xmlns:a16="http://schemas.microsoft.com/office/drawing/2014/main" pred="{90055ABA-D09E-42D7-9EEB-530AE380862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8287562F-4602-4654-AF6D-3693234CACCE}"/>
            </a:ext>
            <a:ext uri="{147F2762-F138-4A5C-976F-8EAC2B608ADB}">
              <a16:predDERef xmlns:a16="http://schemas.microsoft.com/office/drawing/2014/main" pred="{E08129E6-0368-4E1D-8894-1B1996DE423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8" name="Picture 10" descr="VIAGS xanh">
          <a:hlinkClick xmlns:r="http://schemas.openxmlformats.org/officeDocument/2006/relationships" r:id="rId1"/>
          <a:extLst>
            <a:ext uri="{FF2B5EF4-FFF2-40B4-BE49-F238E27FC236}">
              <a16:creationId xmlns:a16="http://schemas.microsoft.com/office/drawing/2014/main" id="{334B8587-773E-4A1A-B731-BFE35150FB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9" name="Picture 4" descr="VIAGS xanh">
          <a:extLst>
            <a:ext uri="{FF2B5EF4-FFF2-40B4-BE49-F238E27FC236}">
              <a16:creationId xmlns:a16="http://schemas.microsoft.com/office/drawing/2014/main" id="{7610B5E2-0A17-4812-A0FA-066F1566BD17}"/>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0" name="Picture 19" descr="VIAGS xanh">
          <a:extLst>
            <a:ext uri="{FF2B5EF4-FFF2-40B4-BE49-F238E27FC236}">
              <a16:creationId xmlns:a16="http://schemas.microsoft.com/office/drawing/2014/main" id="{55031EC8-283A-4E4D-841E-43D462A249B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12245BD0-801F-4AE8-8DD1-CEFC4AFA627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0312D826-E053-4DD2-89E0-84C45FA4085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522F8661-8CA2-4C4F-B009-373090D4475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7F70DF69-45F1-4C56-8D53-A75752C6EA7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09CA84B1-9470-469B-AFD2-1ACB424430B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E604DA71-A6BC-4ADF-BAC9-08A2CB7EC45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4">
          <a:extLst>
            <a:ext uri="{FF2B5EF4-FFF2-40B4-BE49-F238E27FC236}">
              <a16:creationId xmlns:a16="http://schemas.microsoft.com/office/drawing/2014/main" id="{19C72A1B-C5C9-487E-A4B7-34EEECA3AA4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42C5B9CD-0F59-4F92-B85F-231A730B345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0A003CAF-123C-4A01-8A8F-20B3DD64032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29">
          <a:extLst>
            <a:ext uri="{FF2B5EF4-FFF2-40B4-BE49-F238E27FC236}">
              <a16:creationId xmlns:a16="http://schemas.microsoft.com/office/drawing/2014/main" id="{F9B55B2D-B7D2-46ED-ABFD-2CAD237C08A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B9BC0C7C-7729-41D0-8EC2-A2272DF03EA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D066F210-78FE-4F44-8DEC-593C6D572A2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AFE238EF-9742-446B-9494-5D13B7CFE35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E0BA9FA5-7EB1-496C-A7E1-2BA3D5D476D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E3A46A7C-84C1-4AED-BBD8-54158430314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0E4B5B31-4C13-4643-A98E-9ECF179B7C3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CF50B2E3-819E-4ABB-8AE8-2CFB9B683A1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259E0AAA-B9A6-4116-858D-A65E0907058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26054C44-8AA3-4640-BE12-7FFF8779078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87B61D99-018B-466D-8EBA-F2062ABA92F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6F7928FC-CB32-41A7-A004-DECD8E3B9C8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906DAB50-022B-4E30-826E-E31705325D1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2">
          <a:extLst>
            <a:ext uri="{FF2B5EF4-FFF2-40B4-BE49-F238E27FC236}">
              <a16:creationId xmlns:a16="http://schemas.microsoft.com/office/drawing/2014/main" id="{0BC2D851-C3CF-49B1-9A6D-B712E73B53B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43">
          <a:extLst>
            <a:ext uri="{FF2B5EF4-FFF2-40B4-BE49-F238E27FC236}">
              <a16:creationId xmlns:a16="http://schemas.microsoft.com/office/drawing/2014/main" id="{505C3DDC-AAFF-43B0-A6B6-53AF7612B9B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ED9FD10B-67B5-4205-AFDD-4BB183F42C1C}"/>
            </a:ext>
            <a:ext uri="{147F2762-F138-4A5C-976F-8EAC2B608ADB}">
              <a16:predDERef xmlns:a16="http://schemas.microsoft.com/office/drawing/2014/main" pred="{505C3DDC-AAFF-43B0-A6B6-53AF7612B9B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50AE9B9E-6166-4200-ADF0-6C9B56D2A04E}"/>
            </a:ext>
            <a:ext uri="{147F2762-F138-4A5C-976F-8EAC2B608ADB}">
              <a16:predDERef xmlns:a16="http://schemas.microsoft.com/office/drawing/2014/main" pred="{ED9FD10B-67B5-4205-AFDD-4BB183F42C1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399B9544-EAAB-4FE4-8772-C6CFA3C5B9E9}"/>
            </a:ext>
            <a:ext uri="{147F2762-F138-4A5C-976F-8EAC2B608ADB}">
              <a16:predDERef xmlns:a16="http://schemas.microsoft.com/office/drawing/2014/main" pred="{50AE9B9E-6166-4200-ADF0-6C9B56D2A04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60CEE3CC-D8DC-4456-8592-264984EF6B9E}"/>
            </a:ext>
            <a:ext uri="{147F2762-F138-4A5C-976F-8EAC2B608ADB}">
              <a16:predDERef xmlns:a16="http://schemas.microsoft.com/office/drawing/2014/main" pred="{399B9544-EAAB-4FE4-8772-C6CFA3C5B9E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63E99070-232F-4374-8BE8-38703E313E7B}"/>
            </a:ext>
            <a:ext uri="{147F2762-F138-4A5C-976F-8EAC2B608ADB}">
              <a16:predDERef xmlns:a16="http://schemas.microsoft.com/office/drawing/2014/main" pred="{60CEE3CC-D8DC-4456-8592-264984EF6B9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1FFC18A7-30FF-455F-9E3E-C363502A9A67}"/>
            </a:ext>
            <a:ext uri="{147F2762-F138-4A5C-976F-8EAC2B608ADB}">
              <a16:predDERef xmlns:a16="http://schemas.microsoft.com/office/drawing/2014/main" pred="{63E99070-232F-4374-8BE8-38703E313E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436B6E99-A16D-43A8-83BA-A14618D328DB}"/>
            </a:ext>
            <a:ext uri="{147F2762-F138-4A5C-976F-8EAC2B608ADB}">
              <a16:predDERef xmlns:a16="http://schemas.microsoft.com/office/drawing/2014/main" pred="{1FFC18A7-30FF-455F-9E3E-C363502A9A6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207DF804-8C47-4CD5-A5CE-53105D92CFD2}"/>
            </a:ext>
            <a:ext uri="{147F2762-F138-4A5C-976F-8EAC2B608ADB}">
              <a16:predDERef xmlns:a16="http://schemas.microsoft.com/office/drawing/2014/main" pred="{436B6E99-A16D-43A8-83BA-A14618D328D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7224C120-A7CF-4320-AE73-DEE367B401DB}"/>
            </a:ext>
            <a:ext uri="{147F2762-F138-4A5C-976F-8EAC2B608ADB}">
              <a16:predDERef xmlns:a16="http://schemas.microsoft.com/office/drawing/2014/main" pred="{207DF804-8C47-4CD5-A5CE-53105D92CFD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6">
          <a:extLst>
            <a:ext uri="{FF2B5EF4-FFF2-40B4-BE49-F238E27FC236}">
              <a16:creationId xmlns:a16="http://schemas.microsoft.com/office/drawing/2014/main" id="{05E8B64B-2079-4569-AFD5-C457C161DFE3}"/>
            </a:ext>
            <a:ext uri="{147F2762-F138-4A5C-976F-8EAC2B608ADB}">
              <a16:predDERef xmlns:a16="http://schemas.microsoft.com/office/drawing/2014/main" pred="{7224C120-A7CF-4320-AE73-DEE367B401D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4082FA76-A4C7-4E30-A49F-7DFF0ED9B3DC}"/>
            </a:ext>
            <a:ext uri="{147F2762-F138-4A5C-976F-8EAC2B608ADB}">
              <a16:predDERef xmlns:a16="http://schemas.microsoft.com/office/drawing/2014/main" pred="{05E8B64B-2079-4569-AFD5-C457C161DFE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819904B0-45F8-4FDE-B85F-0704A68AA9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1" name="Picture 4" descr="VIAGS xanh">
          <a:extLst>
            <a:ext uri="{FF2B5EF4-FFF2-40B4-BE49-F238E27FC236}">
              <a16:creationId xmlns:a16="http://schemas.microsoft.com/office/drawing/2014/main" id="{74F7690C-7D40-4EE9-BE2C-D3AEE3B9A24B}"/>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77309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2" name="Picture 11" descr="VIAGS xanh">
          <a:extLst>
            <a:ext uri="{FF2B5EF4-FFF2-40B4-BE49-F238E27FC236}">
              <a16:creationId xmlns:a16="http://schemas.microsoft.com/office/drawing/2014/main" id="{D39A2C70-4203-440D-AA66-4EC2052FB42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38076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10885</xdr:colOff>
      <xdr:row>1</xdr:row>
      <xdr:rowOff>132517</xdr:rowOff>
    </xdr:from>
    <xdr:to>
      <xdr:col>3</xdr:col>
      <xdr:colOff>1338941</xdr:colOff>
      <xdr:row>4</xdr:row>
      <xdr:rowOff>104775</xdr:rowOff>
    </xdr:to>
    <xdr:pic>
      <xdr:nvPicPr>
        <xdr:cNvPr id="3" name="Picture 10" descr="VIAGS xanh">
          <a:hlinkClick xmlns:r="http://schemas.openxmlformats.org/officeDocument/2006/relationships" r:id="rId1"/>
          <a:extLst>
            <a:ext uri="{FF2B5EF4-FFF2-40B4-BE49-F238E27FC236}">
              <a16:creationId xmlns:a16="http://schemas.microsoft.com/office/drawing/2014/main" id="{0BC94B64-5FF0-4465-8238-5A0F910A71EE}"/>
            </a:ext>
            <a:ext uri="{147F2762-F138-4A5C-976F-8EAC2B608ADB}">
              <a16:predDERef xmlns:a16="http://schemas.microsoft.com/office/drawing/2014/main" pred="{D39A2C70-4203-440D-AA66-4EC2052FB4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 name="Picture 4" descr="VIAGS xanh">
          <a:extLst>
            <a:ext uri="{FF2B5EF4-FFF2-40B4-BE49-F238E27FC236}">
              <a16:creationId xmlns:a16="http://schemas.microsoft.com/office/drawing/2014/main" id="{4AFA6E12-540F-4C73-828E-6F2B30653650}"/>
            </a:ext>
            <a:ext uri="{147F2762-F138-4A5C-976F-8EAC2B608ADB}">
              <a16:predDERef xmlns:a16="http://schemas.microsoft.com/office/drawing/2014/main" pred="{0BC94B64-5FF0-4465-8238-5A0F910A71E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5" name="Picture 27" descr="VIAGS xanh">
          <a:extLst>
            <a:ext uri="{FF2B5EF4-FFF2-40B4-BE49-F238E27FC236}">
              <a16:creationId xmlns:a16="http://schemas.microsoft.com/office/drawing/2014/main" id="{A2F558C5-C486-4092-9A46-725AA5797125}"/>
            </a:ext>
            <a:ext uri="{147F2762-F138-4A5C-976F-8EAC2B608ADB}">
              <a16:predDERef xmlns:a16="http://schemas.microsoft.com/office/drawing/2014/main" pred="{4AFA6E12-540F-4C73-828E-6F2B3065365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660D4157-25DB-41E6-9CA9-9395D1B61D1B}"/>
            </a:ext>
            <a:ext uri="{147F2762-F138-4A5C-976F-8EAC2B608ADB}">
              <a16:predDERef xmlns:a16="http://schemas.microsoft.com/office/drawing/2014/main" pred="{A2F558C5-C486-4092-9A46-725AA579712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7">
          <a:extLst>
            <a:ext uri="{FF2B5EF4-FFF2-40B4-BE49-F238E27FC236}">
              <a16:creationId xmlns:a16="http://schemas.microsoft.com/office/drawing/2014/main" id="{553CD003-0152-4F56-B991-0D780ED4F246}"/>
            </a:ext>
            <a:ext uri="{147F2762-F138-4A5C-976F-8EAC2B608ADB}">
              <a16:predDERef xmlns:a16="http://schemas.microsoft.com/office/drawing/2014/main" pred="{660D4157-25DB-41E6-9CA9-9395D1B61D1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8">
          <a:extLst>
            <a:ext uri="{FF2B5EF4-FFF2-40B4-BE49-F238E27FC236}">
              <a16:creationId xmlns:a16="http://schemas.microsoft.com/office/drawing/2014/main" id="{DA78552A-48A9-49E1-81F7-43923D843EBF}"/>
            </a:ext>
            <a:ext uri="{147F2762-F138-4A5C-976F-8EAC2B608ADB}">
              <a16:predDERef xmlns:a16="http://schemas.microsoft.com/office/drawing/2014/main" pred="{553CD003-0152-4F56-B991-0D780ED4F24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4">
          <a:extLst>
            <a:ext uri="{FF2B5EF4-FFF2-40B4-BE49-F238E27FC236}">
              <a16:creationId xmlns:a16="http://schemas.microsoft.com/office/drawing/2014/main" id="{237F3C0C-E525-4D63-B0DC-79AA60D43D18}"/>
            </a:ext>
            <a:ext uri="{147F2762-F138-4A5C-976F-8EAC2B608ADB}">
              <a16:predDERef xmlns:a16="http://schemas.microsoft.com/office/drawing/2014/main" pred="{DA78552A-48A9-49E1-81F7-43923D843EB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7">
          <a:extLst>
            <a:ext uri="{FF2B5EF4-FFF2-40B4-BE49-F238E27FC236}">
              <a16:creationId xmlns:a16="http://schemas.microsoft.com/office/drawing/2014/main" id="{155726CE-BA28-4D38-83C5-D5EA20C7072A}"/>
            </a:ext>
            <a:ext uri="{147F2762-F138-4A5C-976F-8EAC2B608ADB}">
              <a16:predDERef xmlns:a16="http://schemas.microsoft.com/office/drawing/2014/main" pred="{237F3C0C-E525-4D63-B0DC-79AA60D43D1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8">
          <a:extLst>
            <a:ext uri="{FF2B5EF4-FFF2-40B4-BE49-F238E27FC236}">
              <a16:creationId xmlns:a16="http://schemas.microsoft.com/office/drawing/2014/main" id="{D16DAA47-6790-40FF-BD8F-6AAA1866D7F9}"/>
            </a:ext>
            <a:ext uri="{147F2762-F138-4A5C-976F-8EAC2B608ADB}">
              <a16:predDERef xmlns:a16="http://schemas.microsoft.com/office/drawing/2014/main" pred="{155726CE-BA28-4D38-83C5-D5EA20C7072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4">
          <a:extLst>
            <a:ext uri="{FF2B5EF4-FFF2-40B4-BE49-F238E27FC236}">
              <a16:creationId xmlns:a16="http://schemas.microsoft.com/office/drawing/2014/main" id="{7BAD99C5-BAD8-44CC-86B8-5BF074825AB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7">
          <a:extLst>
            <a:ext uri="{FF2B5EF4-FFF2-40B4-BE49-F238E27FC236}">
              <a16:creationId xmlns:a16="http://schemas.microsoft.com/office/drawing/2014/main" id="{27A77855-D240-4229-82A2-7CF361E7104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8">
          <a:extLst>
            <a:ext uri="{FF2B5EF4-FFF2-40B4-BE49-F238E27FC236}">
              <a16:creationId xmlns:a16="http://schemas.microsoft.com/office/drawing/2014/main" id="{62185E07-3CEA-4EA2-9442-FD3F17FB1D3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16">
          <a:extLst>
            <a:ext uri="{FF2B5EF4-FFF2-40B4-BE49-F238E27FC236}">
              <a16:creationId xmlns:a16="http://schemas.microsoft.com/office/drawing/2014/main" id="{5F9C031C-3936-4B44-A860-0F809A5DCD2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7">
          <a:extLst>
            <a:ext uri="{FF2B5EF4-FFF2-40B4-BE49-F238E27FC236}">
              <a16:creationId xmlns:a16="http://schemas.microsoft.com/office/drawing/2014/main" id="{24E96C49-B49B-4791-9733-4C37B9BC2B2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8">
          <a:extLst>
            <a:ext uri="{FF2B5EF4-FFF2-40B4-BE49-F238E27FC236}">
              <a16:creationId xmlns:a16="http://schemas.microsoft.com/office/drawing/2014/main" id="{9FF4EC38-00E8-4E59-B072-90D2DB305BC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4">
          <a:extLst>
            <a:ext uri="{FF2B5EF4-FFF2-40B4-BE49-F238E27FC236}">
              <a16:creationId xmlns:a16="http://schemas.microsoft.com/office/drawing/2014/main" id="{66135D8E-6E0A-46EB-B114-AD64E707101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7">
          <a:extLst>
            <a:ext uri="{FF2B5EF4-FFF2-40B4-BE49-F238E27FC236}">
              <a16:creationId xmlns:a16="http://schemas.microsoft.com/office/drawing/2014/main" id="{C88215B5-7336-4D99-A5E6-94ECBD8F439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8">
          <a:extLst>
            <a:ext uri="{FF2B5EF4-FFF2-40B4-BE49-F238E27FC236}">
              <a16:creationId xmlns:a16="http://schemas.microsoft.com/office/drawing/2014/main" id="{646EBB4A-81A8-41A2-86F0-2EC9598EDD3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4">
          <a:extLst>
            <a:ext uri="{FF2B5EF4-FFF2-40B4-BE49-F238E27FC236}">
              <a16:creationId xmlns:a16="http://schemas.microsoft.com/office/drawing/2014/main" id="{0342B034-B17B-489B-A83D-9E0ADC14C1D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7">
          <a:extLst>
            <a:ext uri="{FF2B5EF4-FFF2-40B4-BE49-F238E27FC236}">
              <a16:creationId xmlns:a16="http://schemas.microsoft.com/office/drawing/2014/main" id="{438B77BC-339F-4933-ADDD-D7B9DD8328B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8">
          <a:extLst>
            <a:ext uri="{FF2B5EF4-FFF2-40B4-BE49-F238E27FC236}">
              <a16:creationId xmlns:a16="http://schemas.microsoft.com/office/drawing/2014/main" id="{8925140F-DF20-4AC0-AE3B-703B5FC53DA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4">
          <a:extLst>
            <a:ext uri="{FF2B5EF4-FFF2-40B4-BE49-F238E27FC236}">
              <a16:creationId xmlns:a16="http://schemas.microsoft.com/office/drawing/2014/main" id="{1A8ECB98-3C1B-4A03-8A07-7A751278EEC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7">
          <a:extLst>
            <a:ext uri="{FF2B5EF4-FFF2-40B4-BE49-F238E27FC236}">
              <a16:creationId xmlns:a16="http://schemas.microsoft.com/office/drawing/2014/main" id="{9D4B866A-84CE-4BF6-BA68-726FD9F1320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8">
          <a:extLst>
            <a:ext uri="{FF2B5EF4-FFF2-40B4-BE49-F238E27FC236}">
              <a16:creationId xmlns:a16="http://schemas.microsoft.com/office/drawing/2014/main" id="{37F0FB77-EDA3-4770-9398-F13AF74BDAC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28">
          <a:extLst>
            <a:ext uri="{FF2B5EF4-FFF2-40B4-BE49-F238E27FC236}">
              <a16:creationId xmlns:a16="http://schemas.microsoft.com/office/drawing/2014/main" id="{372EA53C-2E11-484B-A998-B4C285747A2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29">
          <a:extLst>
            <a:ext uri="{FF2B5EF4-FFF2-40B4-BE49-F238E27FC236}">
              <a16:creationId xmlns:a16="http://schemas.microsoft.com/office/drawing/2014/main" id="{DBBDFCD3-EF1A-48B8-9357-56F6CF81756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3</xdr:col>
      <xdr:colOff>1639682</xdr:colOff>
      <xdr:row>6</xdr:row>
      <xdr:rowOff>254976</xdr:rowOff>
    </xdr:from>
    <xdr:ext cx="184731" cy="264560"/>
    <xdr:sp macro="" textlink="">
      <xdr:nvSpPr>
        <xdr:cNvPr id="31" name="TextBox 30">
          <a:extLst>
            <a:ext uri="{FF2B5EF4-FFF2-40B4-BE49-F238E27FC236}">
              <a16:creationId xmlns:a16="http://schemas.microsoft.com/office/drawing/2014/main" id="{AE294663-104B-4C8C-A695-FEAB3ED672FF}"/>
            </a:ext>
            <a:ext uri="{147F2762-F138-4A5C-976F-8EAC2B608ADB}">
              <a16:predDERef xmlns:a16="http://schemas.microsoft.com/office/drawing/2014/main" pred="{DBBDFCD3-EF1A-48B8-9357-56F6CF81756F}"/>
            </a:ext>
          </a:extLst>
        </xdr:cNvPr>
        <xdr:cNvSpPr txBox="1"/>
      </xdr:nvSpPr>
      <xdr:spPr>
        <a:xfrm>
          <a:off x="2973182" y="143607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4">
          <a:extLst>
            <a:ext uri="{FF2B5EF4-FFF2-40B4-BE49-F238E27FC236}">
              <a16:creationId xmlns:a16="http://schemas.microsoft.com/office/drawing/2014/main" id="{83229958-F76F-4AA9-9F46-40565D76A01D}"/>
            </a:ext>
            <a:ext uri="{147F2762-F138-4A5C-976F-8EAC2B608ADB}">
              <a16:predDERef xmlns:a16="http://schemas.microsoft.com/office/drawing/2014/main" pred="{AE294663-104B-4C8C-A695-FEAB3ED672F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7">
          <a:extLst>
            <a:ext uri="{FF2B5EF4-FFF2-40B4-BE49-F238E27FC236}">
              <a16:creationId xmlns:a16="http://schemas.microsoft.com/office/drawing/2014/main" id="{CBC71E8E-BA93-495A-B401-74FDA833E1A2}"/>
            </a:ext>
            <a:ext uri="{147F2762-F138-4A5C-976F-8EAC2B608ADB}">
              <a16:predDERef xmlns:a16="http://schemas.microsoft.com/office/drawing/2014/main" pred="{83229958-F76F-4AA9-9F46-40565D76A01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8">
          <a:extLst>
            <a:ext uri="{FF2B5EF4-FFF2-40B4-BE49-F238E27FC236}">
              <a16:creationId xmlns:a16="http://schemas.microsoft.com/office/drawing/2014/main" id="{1D9CB5EE-BF82-420D-8DE6-693B9FEEC73B}"/>
            </a:ext>
            <a:ext uri="{147F2762-F138-4A5C-976F-8EAC2B608ADB}">
              <a16:predDERef xmlns:a16="http://schemas.microsoft.com/office/drawing/2014/main" pred="{CBC71E8E-BA93-495A-B401-74FDA833E1A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4">
          <a:extLst>
            <a:ext uri="{FF2B5EF4-FFF2-40B4-BE49-F238E27FC236}">
              <a16:creationId xmlns:a16="http://schemas.microsoft.com/office/drawing/2014/main" id="{115729F9-0859-42D5-A65A-140F17EE36C6}"/>
            </a:ext>
            <a:ext uri="{147F2762-F138-4A5C-976F-8EAC2B608ADB}">
              <a16:predDERef xmlns:a16="http://schemas.microsoft.com/office/drawing/2014/main" pred="{1D9CB5EE-BF82-420D-8DE6-693B9FEEC73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7">
          <a:extLst>
            <a:ext uri="{FF2B5EF4-FFF2-40B4-BE49-F238E27FC236}">
              <a16:creationId xmlns:a16="http://schemas.microsoft.com/office/drawing/2014/main" id="{156820FF-11AA-4687-83D2-BD8C3F0E667B}"/>
            </a:ext>
            <a:ext uri="{147F2762-F138-4A5C-976F-8EAC2B608ADB}">
              <a16:predDERef xmlns:a16="http://schemas.microsoft.com/office/drawing/2014/main" pred="{115729F9-0859-42D5-A65A-140F17EE36C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8">
          <a:extLst>
            <a:ext uri="{FF2B5EF4-FFF2-40B4-BE49-F238E27FC236}">
              <a16:creationId xmlns:a16="http://schemas.microsoft.com/office/drawing/2014/main" id="{4E5AE0DE-4965-4B1A-8EAE-240BE704DDA6}"/>
            </a:ext>
            <a:ext uri="{147F2762-F138-4A5C-976F-8EAC2B608ADB}">
              <a16:predDERef xmlns:a16="http://schemas.microsoft.com/office/drawing/2014/main" pred="{156820FF-11AA-4687-83D2-BD8C3F0E66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4">
          <a:extLst>
            <a:ext uri="{FF2B5EF4-FFF2-40B4-BE49-F238E27FC236}">
              <a16:creationId xmlns:a16="http://schemas.microsoft.com/office/drawing/2014/main" id="{59E96170-90E5-433E-8267-AF96C057A126}"/>
            </a:ext>
            <a:ext uri="{147F2762-F138-4A5C-976F-8EAC2B608ADB}">
              <a16:predDERef xmlns:a16="http://schemas.microsoft.com/office/drawing/2014/main" pred="{4E5AE0DE-4965-4B1A-8EAE-240BE704DDA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7">
          <a:extLst>
            <a:ext uri="{FF2B5EF4-FFF2-40B4-BE49-F238E27FC236}">
              <a16:creationId xmlns:a16="http://schemas.microsoft.com/office/drawing/2014/main" id="{6717E460-FCE8-426C-AF38-79EF922D31C6}"/>
            </a:ext>
            <a:ext uri="{147F2762-F138-4A5C-976F-8EAC2B608ADB}">
              <a16:predDERef xmlns:a16="http://schemas.microsoft.com/office/drawing/2014/main" pred="{59E96170-90E5-433E-8267-AF96C057A12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8">
          <a:extLst>
            <a:ext uri="{FF2B5EF4-FFF2-40B4-BE49-F238E27FC236}">
              <a16:creationId xmlns:a16="http://schemas.microsoft.com/office/drawing/2014/main" id="{01B5BCC5-088D-47E6-8022-B476CD62898C}"/>
            </a:ext>
            <a:ext uri="{147F2762-F138-4A5C-976F-8EAC2B608ADB}">
              <a16:predDERef xmlns:a16="http://schemas.microsoft.com/office/drawing/2014/main" pred="{6717E460-FCE8-426C-AF38-79EF922D31C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6">
          <a:extLst>
            <a:ext uri="{FF2B5EF4-FFF2-40B4-BE49-F238E27FC236}">
              <a16:creationId xmlns:a16="http://schemas.microsoft.com/office/drawing/2014/main" id="{1334B51C-E9D6-4E56-8DF1-3904A32C9026}"/>
            </a:ext>
            <a:ext uri="{147F2762-F138-4A5C-976F-8EAC2B608ADB}">
              <a16:predDERef xmlns:a16="http://schemas.microsoft.com/office/drawing/2014/main" pred="{01B5BCC5-088D-47E6-8022-B476CD62898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7">
          <a:extLst>
            <a:ext uri="{FF2B5EF4-FFF2-40B4-BE49-F238E27FC236}">
              <a16:creationId xmlns:a16="http://schemas.microsoft.com/office/drawing/2014/main" id="{64436C97-57FC-4C1B-AE85-31F07D10C12A}"/>
            </a:ext>
            <a:ext uri="{147F2762-F138-4A5C-976F-8EAC2B608ADB}">
              <a16:predDERef xmlns:a16="http://schemas.microsoft.com/office/drawing/2014/main" pred="{1334B51C-E9D6-4E56-8DF1-3904A32C902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0.xml><?xml version="1.0" encoding="utf-8"?>
<xdr:wsDr xmlns:xdr="http://schemas.openxmlformats.org/drawingml/2006/spreadsheetDrawing" xmlns:a="http://schemas.openxmlformats.org/drawingml/2006/main">
  <xdr:twoCellAnchor>
    <xdr:from>
      <xdr:col>6</xdr:col>
      <xdr:colOff>190500</xdr:colOff>
      <xdr:row>1</xdr:row>
      <xdr:rowOff>114300</xdr:rowOff>
    </xdr:from>
    <xdr:to>
      <xdr:col>8</xdr:col>
      <xdr:colOff>895350</xdr:colOff>
      <xdr:row>4</xdr:row>
      <xdr:rowOff>57150</xdr:rowOff>
    </xdr:to>
    <xdr:pic>
      <xdr:nvPicPr>
        <xdr:cNvPr id="20" name="Picture 4" descr="VIAGS xanh">
          <a:extLst>
            <a:ext uri="{FF2B5EF4-FFF2-40B4-BE49-F238E27FC236}">
              <a16:creationId xmlns:a16="http://schemas.microsoft.com/office/drawing/2014/main" id="{00000000-0008-0000-0A00-00001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0325" y="219075"/>
          <a:ext cx="17907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0A00-000004000000}"/>
            </a:ext>
          </a:extLst>
        </xdr:cNvPr>
        <xdr:cNvSpPr txBox="1"/>
      </xdr:nvSpPr>
      <xdr:spPr>
        <a:xfrm>
          <a:off x="124015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24</xdr:col>
      <xdr:colOff>0</xdr:colOff>
      <xdr:row>6</xdr:row>
      <xdr:rowOff>188301</xdr:rowOff>
    </xdr:from>
    <xdr:ext cx="207822" cy="264560"/>
    <xdr:sp macro="" textlink="">
      <xdr:nvSpPr>
        <xdr:cNvPr id="6" name="TextBox 5">
          <a:extLst>
            <a:ext uri="{FF2B5EF4-FFF2-40B4-BE49-F238E27FC236}">
              <a16:creationId xmlns:a16="http://schemas.microsoft.com/office/drawing/2014/main" id="{00000000-0008-0000-0A00-000006000000}"/>
            </a:ext>
          </a:extLst>
        </xdr:cNvPr>
        <xdr:cNvSpPr txBox="1"/>
      </xdr:nvSpPr>
      <xdr:spPr>
        <a:xfrm>
          <a:off x="124015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 name="TextBox 6">
          <a:extLst>
            <a:ext uri="{FF2B5EF4-FFF2-40B4-BE49-F238E27FC236}">
              <a16:creationId xmlns:a16="http://schemas.microsoft.com/office/drawing/2014/main" id="{00000000-0008-0000-0A00-000007000000}"/>
            </a:ext>
          </a:extLst>
        </xdr:cNvPr>
        <xdr:cNvSpPr txBox="1"/>
      </xdr:nvSpPr>
      <xdr:spPr>
        <a:xfrm>
          <a:off x="124015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twoCellAnchor>
    <xdr:from>
      <xdr:col>14</xdr:col>
      <xdr:colOff>135255</xdr:colOff>
      <xdr:row>1</xdr:row>
      <xdr:rowOff>173355</xdr:rowOff>
    </xdr:from>
    <xdr:to>
      <xdr:col>15</xdr:col>
      <xdr:colOff>1493520</xdr:colOff>
      <xdr:row>4</xdr:row>
      <xdr:rowOff>5715</xdr:rowOff>
    </xdr:to>
    <xdr:pic>
      <xdr:nvPicPr>
        <xdr:cNvPr id="8" name="Picture 7" descr="VIAGS xanh">
          <a:extLst>
            <a:ext uri="{FF2B5EF4-FFF2-40B4-BE49-F238E27FC236}">
              <a16:creationId xmlns:a16="http://schemas.microsoft.com/office/drawing/2014/main" id="{00000000-0008-0000-0A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536805" y="278130"/>
          <a:ext cx="1720215" cy="518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0A00-000009000000}"/>
            </a:ext>
          </a:extLst>
        </xdr:cNvPr>
        <xdr:cNvSpPr txBox="1"/>
      </xdr:nvSpPr>
      <xdr:spPr>
        <a:xfrm>
          <a:off x="124015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00000000-0008-0000-0A00-00000A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00000000-0008-0000-0A00-00000B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00000000-0008-0000-0A00-00000C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00000000-0008-0000-0A00-00000D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00000000-0008-0000-0A00-00000E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00000000-0008-0000-0A00-00000F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3"/>
          <a:extLst>
            <a:ext uri="{FF2B5EF4-FFF2-40B4-BE49-F238E27FC236}">
              <a16:creationId xmlns:a16="http://schemas.microsoft.com/office/drawing/2014/main" id="{708F7011-5179-4AB2-B29F-7649644EEBAA}"/>
            </a:ext>
            <a:ext uri="{147F2762-F138-4A5C-976F-8EAC2B608ADB}">
              <a16:predDERef xmlns:a16="http://schemas.microsoft.com/office/drawing/2014/main" pred="{00000000-0008-0000-0A00-00000F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6" name="Picture 27" descr="VIAGS xanh">
          <a:extLst>
            <a:ext uri="{FF2B5EF4-FFF2-40B4-BE49-F238E27FC236}">
              <a16:creationId xmlns:a16="http://schemas.microsoft.com/office/drawing/2014/main" id="{E36C4FC7-093E-4853-8B81-1D0F4A6EB3DE}"/>
            </a:ext>
            <a:ext uri="{147F2762-F138-4A5C-976F-8EAC2B608ADB}">
              <a16:predDERef xmlns:a16="http://schemas.microsoft.com/office/drawing/2014/main" pred="{AB9C12E6-03B9-4763-BB31-4C0EBB38581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7" name="TextBox 4">
          <a:extLst>
            <a:ext uri="{FF2B5EF4-FFF2-40B4-BE49-F238E27FC236}">
              <a16:creationId xmlns:a16="http://schemas.microsoft.com/office/drawing/2014/main" id="{B5818495-AACF-4942-BD99-DD385D67D8B6}"/>
            </a:ext>
            <a:ext uri="{147F2762-F138-4A5C-976F-8EAC2B608ADB}">
              <a16:predDERef xmlns:a16="http://schemas.microsoft.com/office/drawing/2014/main" pred="{E36C4FC7-093E-4853-8B81-1D0F4A6EB3D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7">
          <a:extLst>
            <a:ext uri="{FF2B5EF4-FFF2-40B4-BE49-F238E27FC236}">
              <a16:creationId xmlns:a16="http://schemas.microsoft.com/office/drawing/2014/main" id="{3E594E60-6358-4C98-BDE7-6A1E31A9AB18}"/>
            </a:ext>
            <a:ext uri="{147F2762-F138-4A5C-976F-8EAC2B608ADB}">
              <a16:predDERef xmlns:a16="http://schemas.microsoft.com/office/drawing/2014/main" pred="{B5818495-AACF-4942-BD99-DD385D67D8B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8">
          <a:extLst>
            <a:ext uri="{FF2B5EF4-FFF2-40B4-BE49-F238E27FC236}">
              <a16:creationId xmlns:a16="http://schemas.microsoft.com/office/drawing/2014/main" id="{A7644466-8FA7-465B-B145-6EE3925022B6}"/>
            </a:ext>
            <a:ext uri="{147F2762-F138-4A5C-976F-8EAC2B608ADB}">
              <a16:predDERef xmlns:a16="http://schemas.microsoft.com/office/drawing/2014/main" pred="{3E594E60-6358-4C98-BDE7-6A1E31A9AB1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BE6242CF-D844-490D-A170-BA460804D83B}"/>
            </a:ext>
            <a:ext uri="{147F2762-F138-4A5C-976F-8EAC2B608ADB}">
              <a16:predDERef xmlns:a16="http://schemas.microsoft.com/office/drawing/2014/main" pred="{A7644466-8FA7-465B-B145-6EE3925022B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7FAECFD8-463E-49ED-BB6A-2D7E08184552}"/>
            </a:ext>
            <a:ext uri="{147F2762-F138-4A5C-976F-8EAC2B608ADB}">
              <a16:predDERef xmlns:a16="http://schemas.microsoft.com/office/drawing/2014/main" pred="{BE6242CF-D844-490D-A170-BA460804D83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E74F41DF-6083-4D5F-BCC1-15DC439B1A44}"/>
            </a:ext>
            <a:ext uri="{147F2762-F138-4A5C-976F-8EAC2B608ADB}">
              <a16:predDERef xmlns:a16="http://schemas.microsoft.com/office/drawing/2014/main" pred="{7FAECFD8-463E-49ED-BB6A-2D7E0818455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4" name="Picture 10" descr="VIAGS xanh">
          <a:hlinkClick xmlns:r="http://schemas.openxmlformats.org/officeDocument/2006/relationships" r:id="rId3"/>
          <a:extLst>
            <a:ext uri="{FF2B5EF4-FFF2-40B4-BE49-F238E27FC236}">
              <a16:creationId xmlns:a16="http://schemas.microsoft.com/office/drawing/2014/main" id="{6935DC5E-A71C-498B-9118-4654184E8A9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6" name="Picture 25" descr="VIAGS xanh">
          <a:extLst>
            <a:ext uri="{FF2B5EF4-FFF2-40B4-BE49-F238E27FC236}">
              <a16:creationId xmlns:a16="http://schemas.microsoft.com/office/drawing/2014/main" id="{CD5EF066-5477-401D-9C9E-56AB33AA207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7" name="TextBox 4">
          <a:extLst>
            <a:ext uri="{FF2B5EF4-FFF2-40B4-BE49-F238E27FC236}">
              <a16:creationId xmlns:a16="http://schemas.microsoft.com/office/drawing/2014/main" id="{11369854-CAF3-4971-868F-DF3D20A421F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856F59F9-86A0-47F3-BAA8-F5691A92C11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E64A0CD4-F885-4857-B717-8BB7F40F704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4">
          <a:extLst>
            <a:ext uri="{FF2B5EF4-FFF2-40B4-BE49-F238E27FC236}">
              <a16:creationId xmlns:a16="http://schemas.microsoft.com/office/drawing/2014/main" id="{D24E7AD2-517F-4817-911B-DF2CCC493F3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B5D50395-04F1-4EE6-9BCD-04537727F52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7955C4A2-AE92-403E-A30A-6DC7958B9E0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C1E5D321-DB8B-44CC-A010-2EDD886019F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7CB7A9EF-9B37-4151-A5B2-4B0FD1F47C1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C89B5159-969C-4511-A1AB-296EAA7BD72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35">
          <a:extLst>
            <a:ext uri="{FF2B5EF4-FFF2-40B4-BE49-F238E27FC236}">
              <a16:creationId xmlns:a16="http://schemas.microsoft.com/office/drawing/2014/main" id="{816BDB14-D4A4-4350-8307-0C60CFBCE25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6995E7F7-2C3E-495B-8C02-89060FB7486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D25F57E7-78FF-429E-B586-68A6E1FFD3B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F5977797-F514-41A1-8CBD-3902F9739D1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4C1C0D83-7FD4-49B2-A6FA-46576F9856E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8D5E0954-9E0C-4A50-B6DD-3F87AB6EC96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1DA5B9F4-8C06-4EBB-AFAF-7207D0337CA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85168DFC-7F4B-4D81-AD23-E975E38796E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CAFB0181-E85B-45D2-9AB2-1FD7C523AB1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2045C673-BF92-494C-BA87-AFECB536F7A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32336389-C60D-44C6-9202-D8871770277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DA2D60A7-E2A9-4C8F-9E1E-C00A6BDCE23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7">
          <a:extLst>
            <a:ext uri="{FF2B5EF4-FFF2-40B4-BE49-F238E27FC236}">
              <a16:creationId xmlns:a16="http://schemas.microsoft.com/office/drawing/2014/main" id="{22818A47-AD21-4D2F-892E-ECF0F95364F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8">
          <a:extLst>
            <a:ext uri="{FF2B5EF4-FFF2-40B4-BE49-F238E27FC236}">
              <a16:creationId xmlns:a16="http://schemas.microsoft.com/office/drawing/2014/main" id="{0C130B3B-6D9D-4989-8ED5-9E3A66CAB40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9">
          <a:extLst>
            <a:ext uri="{FF2B5EF4-FFF2-40B4-BE49-F238E27FC236}">
              <a16:creationId xmlns:a16="http://schemas.microsoft.com/office/drawing/2014/main" id="{D3D1F07A-0574-4EB6-8165-1FAC762B0E8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F613CC7F-F515-408D-9767-0174D6FB3BB9}"/>
            </a:ext>
            <a:ext uri="{147F2762-F138-4A5C-976F-8EAC2B608ADB}">
              <a16:predDERef xmlns:a16="http://schemas.microsoft.com/office/drawing/2014/main" pred="{D3D1F07A-0574-4EB6-8165-1FAC762B0E8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4980BF32-A9BA-4219-9736-C099292E9E17}"/>
            </a:ext>
            <a:ext uri="{147F2762-F138-4A5C-976F-8EAC2B608ADB}">
              <a16:predDERef xmlns:a16="http://schemas.microsoft.com/office/drawing/2014/main" pred="{F613CC7F-F515-408D-9767-0174D6FB3BB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7741674B-2D9F-4193-9AA6-40EE3BC69244}"/>
            </a:ext>
            <a:ext uri="{147F2762-F138-4A5C-976F-8EAC2B608ADB}">
              <a16:predDERef xmlns:a16="http://schemas.microsoft.com/office/drawing/2014/main" pred="{4980BF32-A9BA-4219-9736-C099292E9E1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4">
          <a:extLst>
            <a:ext uri="{FF2B5EF4-FFF2-40B4-BE49-F238E27FC236}">
              <a16:creationId xmlns:a16="http://schemas.microsoft.com/office/drawing/2014/main" id="{5B7DE934-9AD4-4BB2-855D-7112230F0D00}"/>
            </a:ext>
            <a:ext uri="{147F2762-F138-4A5C-976F-8EAC2B608ADB}">
              <a16:predDERef xmlns:a16="http://schemas.microsoft.com/office/drawing/2014/main" pred="{7741674B-2D9F-4193-9AA6-40EE3BC6924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FA414148-F006-4F6F-91E1-32DE0F2BAE59}"/>
            </a:ext>
            <a:ext uri="{147F2762-F138-4A5C-976F-8EAC2B608ADB}">
              <a16:predDERef xmlns:a16="http://schemas.microsoft.com/office/drawing/2014/main" pred="{5B7DE934-9AD4-4BB2-855D-7112230F0D0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01886A6C-C94C-4391-9BD2-86F327239F72}"/>
            </a:ext>
            <a:ext uri="{147F2762-F138-4A5C-976F-8EAC2B608ADB}">
              <a16:predDERef xmlns:a16="http://schemas.microsoft.com/office/drawing/2014/main" pred="{FA414148-F006-4F6F-91E1-32DE0F2BAE5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7AFC6956-D022-446A-8B51-29415851F340}"/>
            </a:ext>
            <a:ext uri="{147F2762-F138-4A5C-976F-8EAC2B608ADB}">
              <a16:predDERef xmlns:a16="http://schemas.microsoft.com/office/drawing/2014/main" pred="{01886A6C-C94C-4391-9BD2-86F327239F7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BBC0F327-396B-4A68-9F33-8A866C4CB3E0}"/>
            </a:ext>
            <a:ext uri="{147F2762-F138-4A5C-976F-8EAC2B608ADB}">
              <a16:predDERef xmlns:a16="http://schemas.microsoft.com/office/drawing/2014/main" pred="{7AFC6956-D022-446A-8B51-29415851F34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AC1CB5EF-FE6D-4F06-8844-3E4506EF6855}"/>
            </a:ext>
            <a:ext uri="{147F2762-F138-4A5C-976F-8EAC2B608ADB}">
              <a16:predDERef xmlns:a16="http://schemas.microsoft.com/office/drawing/2014/main" pred="{BBC0F327-396B-4A68-9F33-8A866C4CB3E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6">
          <a:extLst>
            <a:ext uri="{FF2B5EF4-FFF2-40B4-BE49-F238E27FC236}">
              <a16:creationId xmlns:a16="http://schemas.microsoft.com/office/drawing/2014/main" id="{6B574D01-9C65-437C-B029-1D6A860A9B8C}"/>
            </a:ext>
            <a:ext uri="{147F2762-F138-4A5C-976F-8EAC2B608ADB}">
              <a16:predDERef xmlns:a16="http://schemas.microsoft.com/office/drawing/2014/main" pred="{AC1CB5EF-FE6D-4F06-8844-3E4506EF685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B011F53A-DF5B-4F5B-9A38-81926D57A98A}"/>
            </a:ext>
            <a:ext uri="{147F2762-F138-4A5C-976F-8EAC2B608ADB}">
              <a16:predDERef xmlns:a16="http://schemas.microsoft.com/office/drawing/2014/main" pred="{6B574D01-9C65-437C-B029-1D6A860A9B8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1.xml><?xml version="1.0" encoding="utf-8"?>
<xdr:wsDr xmlns:xdr="http://schemas.openxmlformats.org/drawingml/2006/spreadsheetDrawing" xmlns:a="http://schemas.openxmlformats.org/drawingml/2006/main">
  <xdr:twoCellAnchor>
    <xdr:from>
      <xdr:col>6</xdr:col>
      <xdr:colOff>190500</xdr:colOff>
      <xdr:row>1</xdr:row>
      <xdr:rowOff>180975</xdr:rowOff>
    </xdr:from>
    <xdr:to>
      <xdr:col>8</xdr:col>
      <xdr:colOff>876300</xdr:colOff>
      <xdr:row>4</xdr:row>
      <xdr:rowOff>57150</xdr:rowOff>
    </xdr:to>
    <xdr:pic>
      <xdr:nvPicPr>
        <xdr:cNvPr id="28" name="Picture 4" descr="VIAGS xanh">
          <a:extLst>
            <a:ext uri="{FF2B5EF4-FFF2-40B4-BE49-F238E27FC236}">
              <a16:creationId xmlns:a16="http://schemas.microsoft.com/office/drawing/2014/main" id="{00000000-0008-0000-0B00-00001C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0325" y="285750"/>
          <a:ext cx="17716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0B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 name="TextBox 6">
          <a:extLst>
            <a:ext uri="{FF2B5EF4-FFF2-40B4-BE49-F238E27FC236}">
              <a16:creationId xmlns:a16="http://schemas.microsoft.com/office/drawing/2014/main" id="{00000000-0008-0000-0B00-000007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0B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0B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0B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00000000-0008-0000-0B00-00000C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00000000-0008-0000-0B00-00000D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00000000-0008-0000-0B00-00000E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00000000-0008-0000-0B00-00000F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6" name="TextBox 4">
          <a:extLst>
            <a:ext uri="{FF2B5EF4-FFF2-40B4-BE49-F238E27FC236}">
              <a16:creationId xmlns:a16="http://schemas.microsoft.com/office/drawing/2014/main" id="{00000000-0008-0000-0B00-000010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7">
          <a:extLst>
            <a:ext uri="{FF2B5EF4-FFF2-40B4-BE49-F238E27FC236}">
              <a16:creationId xmlns:a16="http://schemas.microsoft.com/office/drawing/2014/main" id="{00000000-0008-0000-0B00-000011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8">
          <a:extLst>
            <a:ext uri="{FF2B5EF4-FFF2-40B4-BE49-F238E27FC236}">
              <a16:creationId xmlns:a16="http://schemas.microsoft.com/office/drawing/2014/main" id="{00000000-0008-0000-0B00-000012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00000000-0008-0000-0B00-000013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00000000-0008-0000-0B00-000014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00000000-0008-0000-0B00-000015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2"/>
          <a:extLst>
            <a:ext uri="{FF2B5EF4-FFF2-40B4-BE49-F238E27FC236}">
              <a16:creationId xmlns:a16="http://schemas.microsoft.com/office/drawing/2014/main" id="{406A5641-D44B-453E-8D89-9A8E0D0FDB16}"/>
            </a:ext>
            <a:ext uri="{147F2762-F138-4A5C-976F-8EAC2B608ADB}">
              <a16:predDERef xmlns:a16="http://schemas.microsoft.com/office/drawing/2014/main" pred="{00000000-0008-0000-0B00-00001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8" name="Picture 27" descr="VIAGS xanh">
          <a:extLst>
            <a:ext uri="{FF2B5EF4-FFF2-40B4-BE49-F238E27FC236}">
              <a16:creationId xmlns:a16="http://schemas.microsoft.com/office/drawing/2014/main" id="{C0F6E7F5-9A87-490D-80F0-67C75758427F}"/>
            </a:ext>
            <a:ext uri="{147F2762-F138-4A5C-976F-8EAC2B608ADB}">
              <a16:predDERef xmlns:a16="http://schemas.microsoft.com/office/drawing/2014/main" pred="{4A6B2B81-CD59-4989-B1B6-B32645F396B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2A2FE373-A973-4795-945C-21D7CD4CDC72}"/>
            </a:ext>
            <a:ext uri="{147F2762-F138-4A5C-976F-8EAC2B608ADB}">
              <a16:predDERef xmlns:a16="http://schemas.microsoft.com/office/drawing/2014/main" pred="{C0F6E7F5-9A87-490D-80F0-67C75758427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5400BDFA-5A7F-438E-9C64-75DD4A3CE62E}"/>
            </a:ext>
            <a:ext uri="{147F2762-F138-4A5C-976F-8EAC2B608ADB}">
              <a16:predDERef xmlns:a16="http://schemas.microsoft.com/office/drawing/2014/main" pred="{2A2FE373-A973-4795-945C-21D7CD4CDC7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7E2C04AB-6420-491B-872A-5BB911BBFA67}"/>
            </a:ext>
            <a:ext uri="{147F2762-F138-4A5C-976F-8EAC2B608ADB}">
              <a16:predDERef xmlns:a16="http://schemas.microsoft.com/office/drawing/2014/main" pred="{5400BDFA-5A7F-438E-9C64-75DD4A3CE62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912015EA-A757-4D5E-98B1-ED28E7D8056F}"/>
            </a:ext>
            <a:ext uri="{147F2762-F138-4A5C-976F-8EAC2B608ADB}">
              <a16:predDERef xmlns:a16="http://schemas.microsoft.com/office/drawing/2014/main" pred="{7E2C04AB-6420-491B-872A-5BB911BBFA6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D9EA2A21-6E02-4D2D-865E-1AE844CB5FDD}"/>
            </a:ext>
            <a:ext uri="{147F2762-F138-4A5C-976F-8EAC2B608ADB}">
              <a16:predDERef xmlns:a16="http://schemas.microsoft.com/office/drawing/2014/main" pred="{912015EA-A757-4D5E-98B1-ED28E7D8056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350ED2CD-DADA-4B68-A1BD-64BDFE8B9519}"/>
            </a:ext>
            <a:ext uri="{147F2762-F138-4A5C-976F-8EAC2B608ADB}">
              <a16:predDERef xmlns:a16="http://schemas.microsoft.com/office/drawing/2014/main" pred="{D9EA2A21-6E02-4D2D-865E-1AE844CB5FD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9" name="Picture 10" descr="VIAGS xanh">
          <a:hlinkClick xmlns:r="http://schemas.openxmlformats.org/officeDocument/2006/relationships" r:id="rId2"/>
          <a:extLst>
            <a:ext uri="{FF2B5EF4-FFF2-40B4-BE49-F238E27FC236}">
              <a16:creationId xmlns:a16="http://schemas.microsoft.com/office/drawing/2014/main" id="{409D25FC-DB03-4169-831C-F59E2635E45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31" name="Picture 30" descr="VIAGS xanh">
          <a:extLst>
            <a:ext uri="{FF2B5EF4-FFF2-40B4-BE49-F238E27FC236}">
              <a16:creationId xmlns:a16="http://schemas.microsoft.com/office/drawing/2014/main" id="{13BCE5EA-7793-400D-9FEF-979A61439E6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32" name="TextBox 4">
          <a:extLst>
            <a:ext uri="{FF2B5EF4-FFF2-40B4-BE49-F238E27FC236}">
              <a16:creationId xmlns:a16="http://schemas.microsoft.com/office/drawing/2014/main" id="{E0D61496-0A46-48D0-84A6-143586850FE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7">
          <a:extLst>
            <a:ext uri="{FF2B5EF4-FFF2-40B4-BE49-F238E27FC236}">
              <a16:creationId xmlns:a16="http://schemas.microsoft.com/office/drawing/2014/main" id="{0637352F-737B-40C2-9999-95C0359837A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8">
          <a:extLst>
            <a:ext uri="{FF2B5EF4-FFF2-40B4-BE49-F238E27FC236}">
              <a16:creationId xmlns:a16="http://schemas.microsoft.com/office/drawing/2014/main" id="{623D43BC-438F-4FFB-82C3-0BA065624ED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4">
          <a:extLst>
            <a:ext uri="{FF2B5EF4-FFF2-40B4-BE49-F238E27FC236}">
              <a16:creationId xmlns:a16="http://schemas.microsoft.com/office/drawing/2014/main" id="{3B822014-9AFC-4794-8C42-567B548FD8A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7">
          <a:extLst>
            <a:ext uri="{FF2B5EF4-FFF2-40B4-BE49-F238E27FC236}">
              <a16:creationId xmlns:a16="http://schemas.microsoft.com/office/drawing/2014/main" id="{3629074D-BA66-465B-9314-41E7B8959B7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8">
          <a:extLst>
            <a:ext uri="{FF2B5EF4-FFF2-40B4-BE49-F238E27FC236}">
              <a16:creationId xmlns:a16="http://schemas.microsoft.com/office/drawing/2014/main" id="{7E4C9085-B775-42C2-8EF7-C347B8CE126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E1E35288-BBD9-41E3-923A-21429A3EBB7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7">
          <a:extLst>
            <a:ext uri="{FF2B5EF4-FFF2-40B4-BE49-F238E27FC236}">
              <a16:creationId xmlns:a16="http://schemas.microsoft.com/office/drawing/2014/main" id="{3C7D346E-04C4-45F1-AB9D-98CB6DBA6D4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E55101DD-2161-4BE7-A71A-1B4A4731104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37">
          <a:extLst>
            <a:ext uri="{FF2B5EF4-FFF2-40B4-BE49-F238E27FC236}">
              <a16:creationId xmlns:a16="http://schemas.microsoft.com/office/drawing/2014/main" id="{34C3F4F2-1033-4D26-941B-FCDFAAA97B6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7">
          <a:extLst>
            <a:ext uri="{FF2B5EF4-FFF2-40B4-BE49-F238E27FC236}">
              <a16:creationId xmlns:a16="http://schemas.microsoft.com/office/drawing/2014/main" id="{462E41F4-9459-4D92-B6DD-F0DC922997F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8">
          <a:extLst>
            <a:ext uri="{FF2B5EF4-FFF2-40B4-BE49-F238E27FC236}">
              <a16:creationId xmlns:a16="http://schemas.microsoft.com/office/drawing/2014/main" id="{AF3FE4B7-0057-4727-85ED-DCBAF0A5915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
          <a:extLst>
            <a:ext uri="{FF2B5EF4-FFF2-40B4-BE49-F238E27FC236}">
              <a16:creationId xmlns:a16="http://schemas.microsoft.com/office/drawing/2014/main" id="{61CF0ECD-1EB8-4754-92ED-CF494AB0B6F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7">
          <a:extLst>
            <a:ext uri="{FF2B5EF4-FFF2-40B4-BE49-F238E27FC236}">
              <a16:creationId xmlns:a16="http://schemas.microsoft.com/office/drawing/2014/main" id="{FFD8F27D-1766-4341-B7C3-1B91B5C3765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8">
          <a:extLst>
            <a:ext uri="{FF2B5EF4-FFF2-40B4-BE49-F238E27FC236}">
              <a16:creationId xmlns:a16="http://schemas.microsoft.com/office/drawing/2014/main" id="{786D97AB-F122-4E13-A322-CCF17D51257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4">
          <a:extLst>
            <a:ext uri="{FF2B5EF4-FFF2-40B4-BE49-F238E27FC236}">
              <a16:creationId xmlns:a16="http://schemas.microsoft.com/office/drawing/2014/main" id="{A364DD0B-531B-4CBC-8A1B-5350D0DFA5B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7">
          <a:extLst>
            <a:ext uri="{FF2B5EF4-FFF2-40B4-BE49-F238E27FC236}">
              <a16:creationId xmlns:a16="http://schemas.microsoft.com/office/drawing/2014/main" id="{15D22617-F7C6-4228-8FFF-A953F74F55D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8">
          <a:extLst>
            <a:ext uri="{FF2B5EF4-FFF2-40B4-BE49-F238E27FC236}">
              <a16:creationId xmlns:a16="http://schemas.microsoft.com/office/drawing/2014/main" id="{C32453B0-F870-4E76-94B2-E28409384F5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4">
          <a:extLst>
            <a:ext uri="{FF2B5EF4-FFF2-40B4-BE49-F238E27FC236}">
              <a16:creationId xmlns:a16="http://schemas.microsoft.com/office/drawing/2014/main" id="{ED9FDFFB-EB79-405D-A16A-159174B05FF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7">
          <a:extLst>
            <a:ext uri="{FF2B5EF4-FFF2-40B4-BE49-F238E27FC236}">
              <a16:creationId xmlns:a16="http://schemas.microsoft.com/office/drawing/2014/main" id="{DC62E1C4-2C37-4B23-8BE5-E4DB2521AB5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8">
          <a:extLst>
            <a:ext uri="{FF2B5EF4-FFF2-40B4-BE49-F238E27FC236}">
              <a16:creationId xmlns:a16="http://schemas.microsoft.com/office/drawing/2014/main" id="{40473C65-86A1-491F-89C1-F4CCC87640A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9">
          <a:extLst>
            <a:ext uri="{FF2B5EF4-FFF2-40B4-BE49-F238E27FC236}">
              <a16:creationId xmlns:a16="http://schemas.microsoft.com/office/drawing/2014/main" id="{147CD717-A85F-4821-8C88-D6119FF9C5E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50">
          <a:extLst>
            <a:ext uri="{FF2B5EF4-FFF2-40B4-BE49-F238E27FC236}">
              <a16:creationId xmlns:a16="http://schemas.microsoft.com/office/drawing/2014/main" id="{A4B960EF-4618-440A-AB8A-EF430E7BB4C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51">
          <a:extLst>
            <a:ext uri="{FF2B5EF4-FFF2-40B4-BE49-F238E27FC236}">
              <a16:creationId xmlns:a16="http://schemas.microsoft.com/office/drawing/2014/main" id="{54444693-7532-46C6-8484-66F148B26E3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4">
          <a:extLst>
            <a:ext uri="{FF2B5EF4-FFF2-40B4-BE49-F238E27FC236}">
              <a16:creationId xmlns:a16="http://schemas.microsoft.com/office/drawing/2014/main" id="{8C40D6ED-6DD0-4F95-B66B-8DBAFBDE8847}"/>
            </a:ext>
            <a:ext uri="{147F2762-F138-4A5C-976F-8EAC2B608ADB}">
              <a16:predDERef xmlns:a16="http://schemas.microsoft.com/office/drawing/2014/main" pred="{54444693-7532-46C6-8484-66F148B26E3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7">
          <a:extLst>
            <a:ext uri="{FF2B5EF4-FFF2-40B4-BE49-F238E27FC236}">
              <a16:creationId xmlns:a16="http://schemas.microsoft.com/office/drawing/2014/main" id="{47715187-7523-400E-A4E0-7003AA9E9728}"/>
            </a:ext>
            <a:ext uri="{147F2762-F138-4A5C-976F-8EAC2B608ADB}">
              <a16:predDERef xmlns:a16="http://schemas.microsoft.com/office/drawing/2014/main" pred="{8C40D6ED-6DD0-4F95-B66B-8DBAFBDE884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8">
          <a:extLst>
            <a:ext uri="{FF2B5EF4-FFF2-40B4-BE49-F238E27FC236}">
              <a16:creationId xmlns:a16="http://schemas.microsoft.com/office/drawing/2014/main" id="{C6AAF1DF-19AD-4DCE-B31C-402E9E7DEB04}"/>
            </a:ext>
            <a:ext uri="{147F2762-F138-4A5C-976F-8EAC2B608ADB}">
              <a16:predDERef xmlns:a16="http://schemas.microsoft.com/office/drawing/2014/main" pred="{47715187-7523-400E-A4E0-7003AA9E972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4">
          <a:extLst>
            <a:ext uri="{FF2B5EF4-FFF2-40B4-BE49-F238E27FC236}">
              <a16:creationId xmlns:a16="http://schemas.microsoft.com/office/drawing/2014/main" id="{90E6DFF0-7834-46E4-9875-CBE3C885A1B2}"/>
            </a:ext>
            <a:ext uri="{147F2762-F138-4A5C-976F-8EAC2B608ADB}">
              <a16:predDERef xmlns:a16="http://schemas.microsoft.com/office/drawing/2014/main" pred="{C6AAF1DF-19AD-4DCE-B31C-402E9E7DEB0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7">
          <a:extLst>
            <a:ext uri="{FF2B5EF4-FFF2-40B4-BE49-F238E27FC236}">
              <a16:creationId xmlns:a16="http://schemas.microsoft.com/office/drawing/2014/main" id="{474F62A9-F3FA-4FDD-814B-AFDD98E3CB26}"/>
            </a:ext>
            <a:ext uri="{147F2762-F138-4A5C-976F-8EAC2B608ADB}">
              <a16:predDERef xmlns:a16="http://schemas.microsoft.com/office/drawing/2014/main" pred="{90E6DFF0-7834-46E4-9875-CBE3C885A1B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8">
          <a:extLst>
            <a:ext uri="{FF2B5EF4-FFF2-40B4-BE49-F238E27FC236}">
              <a16:creationId xmlns:a16="http://schemas.microsoft.com/office/drawing/2014/main" id="{393D8A22-3A86-4C3A-8EEB-E9249922258C}"/>
            </a:ext>
            <a:ext uri="{147F2762-F138-4A5C-976F-8EAC2B608ADB}">
              <a16:predDERef xmlns:a16="http://schemas.microsoft.com/office/drawing/2014/main" pred="{474F62A9-F3FA-4FDD-814B-AFDD98E3CB2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4">
          <a:extLst>
            <a:ext uri="{FF2B5EF4-FFF2-40B4-BE49-F238E27FC236}">
              <a16:creationId xmlns:a16="http://schemas.microsoft.com/office/drawing/2014/main" id="{4806CE05-3205-4788-BC7B-E2CD8D3F7D18}"/>
            </a:ext>
            <a:ext uri="{147F2762-F138-4A5C-976F-8EAC2B608ADB}">
              <a16:predDERef xmlns:a16="http://schemas.microsoft.com/office/drawing/2014/main" pred="{393D8A22-3A86-4C3A-8EEB-E9249922258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7">
          <a:extLst>
            <a:ext uri="{FF2B5EF4-FFF2-40B4-BE49-F238E27FC236}">
              <a16:creationId xmlns:a16="http://schemas.microsoft.com/office/drawing/2014/main" id="{96E7826D-B8A9-495F-9F95-F1205A4AFFF8}"/>
            </a:ext>
            <a:ext uri="{147F2762-F138-4A5C-976F-8EAC2B608ADB}">
              <a16:predDERef xmlns:a16="http://schemas.microsoft.com/office/drawing/2014/main" pred="{4806CE05-3205-4788-BC7B-E2CD8D3F7D1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8">
          <a:extLst>
            <a:ext uri="{FF2B5EF4-FFF2-40B4-BE49-F238E27FC236}">
              <a16:creationId xmlns:a16="http://schemas.microsoft.com/office/drawing/2014/main" id="{FCB0F4A0-0144-47FC-9F1D-59D593BDA08D}"/>
            </a:ext>
            <a:ext uri="{147F2762-F138-4A5C-976F-8EAC2B608ADB}">
              <a16:predDERef xmlns:a16="http://schemas.microsoft.com/office/drawing/2014/main" pred="{96E7826D-B8A9-495F-9F95-F1205A4AFFF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6">
          <a:extLst>
            <a:ext uri="{FF2B5EF4-FFF2-40B4-BE49-F238E27FC236}">
              <a16:creationId xmlns:a16="http://schemas.microsoft.com/office/drawing/2014/main" id="{0CE10A05-1CE9-4BBA-96AB-22619EB435AE}"/>
            </a:ext>
            <a:ext uri="{147F2762-F138-4A5C-976F-8EAC2B608ADB}">
              <a16:predDERef xmlns:a16="http://schemas.microsoft.com/office/drawing/2014/main" pred="{FCB0F4A0-0144-47FC-9F1D-59D593BDA08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7">
          <a:extLst>
            <a:ext uri="{FF2B5EF4-FFF2-40B4-BE49-F238E27FC236}">
              <a16:creationId xmlns:a16="http://schemas.microsoft.com/office/drawing/2014/main" id="{643922E3-840D-497C-9441-9B61F5D2D434}"/>
            </a:ext>
            <a:ext uri="{147F2762-F138-4A5C-976F-8EAC2B608ADB}">
              <a16:predDERef xmlns:a16="http://schemas.microsoft.com/office/drawing/2014/main" pred="{0CE10A05-1CE9-4BBA-96AB-22619EB435A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0C00-000004000000}"/>
            </a:ext>
          </a:extLst>
        </xdr:cNvPr>
        <xdr:cNvSpPr txBox="1"/>
      </xdr:nvSpPr>
      <xdr:spPr>
        <a:xfrm>
          <a:off x="124015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124015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0C00-000008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 name="TextBox 9">
          <a:extLst>
            <a:ext uri="{FF2B5EF4-FFF2-40B4-BE49-F238E27FC236}">
              <a16:creationId xmlns:a16="http://schemas.microsoft.com/office/drawing/2014/main" id="{00000000-0008-0000-0C00-00000A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 name="TextBox 10">
          <a:extLst>
            <a:ext uri="{FF2B5EF4-FFF2-40B4-BE49-F238E27FC236}">
              <a16:creationId xmlns:a16="http://schemas.microsoft.com/office/drawing/2014/main" id="{00000000-0008-0000-0C00-00000B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 name="TextBox 11">
          <a:extLst>
            <a:ext uri="{FF2B5EF4-FFF2-40B4-BE49-F238E27FC236}">
              <a16:creationId xmlns:a16="http://schemas.microsoft.com/office/drawing/2014/main" id="{00000000-0008-0000-0C00-00000C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3" name="TextBox 12">
          <a:extLst>
            <a:ext uri="{FF2B5EF4-FFF2-40B4-BE49-F238E27FC236}">
              <a16:creationId xmlns:a16="http://schemas.microsoft.com/office/drawing/2014/main" id="{00000000-0008-0000-0C00-00000D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4" name="TextBox 13">
          <a:extLst>
            <a:ext uri="{FF2B5EF4-FFF2-40B4-BE49-F238E27FC236}">
              <a16:creationId xmlns:a16="http://schemas.microsoft.com/office/drawing/2014/main" id="{00000000-0008-0000-0C00-00000E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5" name="TextBox 14">
          <a:extLst>
            <a:ext uri="{FF2B5EF4-FFF2-40B4-BE49-F238E27FC236}">
              <a16:creationId xmlns:a16="http://schemas.microsoft.com/office/drawing/2014/main" id="{00000000-0008-0000-0C00-00000F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6" name="TextBox 15">
          <a:extLst>
            <a:ext uri="{FF2B5EF4-FFF2-40B4-BE49-F238E27FC236}">
              <a16:creationId xmlns:a16="http://schemas.microsoft.com/office/drawing/2014/main" id="{00000000-0008-0000-0C00-000010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7" name="TextBox 16">
          <a:extLst>
            <a:ext uri="{FF2B5EF4-FFF2-40B4-BE49-F238E27FC236}">
              <a16:creationId xmlns:a16="http://schemas.microsoft.com/office/drawing/2014/main" id="{00000000-0008-0000-0C00-000011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8" name="TextBox 17">
          <a:extLst>
            <a:ext uri="{FF2B5EF4-FFF2-40B4-BE49-F238E27FC236}">
              <a16:creationId xmlns:a16="http://schemas.microsoft.com/office/drawing/2014/main" id="{00000000-0008-0000-0C00-000012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00000000-0008-0000-0C00-000013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00000000-0008-0000-0C00-000014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00000000-0008-0000-0C00-000015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00000000-0008-0000-0C00-00001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00000000-0008-0000-0C00-000017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00000000-0008-0000-0C00-000018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5A568284-7F3A-4B7E-981E-16F03FA112D6}"/>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C6929A3F-98CF-4D97-980C-949F55F6BE77}"/>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 name="TextBox 6">
          <a:extLst>
            <a:ext uri="{FF2B5EF4-FFF2-40B4-BE49-F238E27FC236}">
              <a16:creationId xmlns:a16="http://schemas.microsoft.com/office/drawing/2014/main" id="{C462279C-0F01-46B6-9AAF-67D5F1EA0972}"/>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9813A85E-2F3C-473C-9BB8-8355CE19579C}"/>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C6FD73A8-0BF7-46EF-B96F-91AA80E25249}"/>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B42F5359-B3AB-4D30-9FA5-A7BB3F8D464E}"/>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F3D97CD3-2967-4269-B5C6-9ADB52A1C055}"/>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2147BE3A-ADBC-4E5E-B8D2-DAB448066FA3}"/>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9" name="TextBox 28">
          <a:extLst>
            <a:ext uri="{FF2B5EF4-FFF2-40B4-BE49-F238E27FC236}">
              <a16:creationId xmlns:a16="http://schemas.microsoft.com/office/drawing/2014/main" id="{DE7D641E-7913-456A-B5D3-88CC31FA0047}"/>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0" name="TextBox 29">
          <a:extLst>
            <a:ext uri="{FF2B5EF4-FFF2-40B4-BE49-F238E27FC236}">
              <a16:creationId xmlns:a16="http://schemas.microsoft.com/office/drawing/2014/main" id="{809B2B47-8BB9-47E3-834A-8BFE0E00E2DA}"/>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1" name="TextBox 30">
          <a:extLst>
            <a:ext uri="{FF2B5EF4-FFF2-40B4-BE49-F238E27FC236}">
              <a16:creationId xmlns:a16="http://schemas.microsoft.com/office/drawing/2014/main" id="{AFFD7442-CFC5-461C-93CA-DEE71F26167B}"/>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2" name="TextBox 31">
          <a:extLst>
            <a:ext uri="{FF2B5EF4-FFF2-40B4-BE49-F238E27FC236}">
              <a16:creationId xmlns:a16="http://schemas.microsoft.com/office/drawing/2014/main" id="{1195C406-F29C-4A48-A3A4-1A21EA603A66}"/>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3" name="TextBox 32">
          <a:extLst>
            <a:ext uri="{FF2B5EF4-FFF2-40B4-BE49-F238E27FC236}">
              <a16:creationId xmlns:a16="http://schemas.microsoft.com/office/drawing/2014/main" id="{00E6CE1F-6F89-4420-A11C-245AADFB70EE}"/>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4" name="TextBox 33">
          <a:extLst>
            <a:ext uri="{FF2B5EF4-FFF2-40B4-BE49-F238E27FC236}">
              <a16:creationId xmlns:a16="http://schemas.microsoft.com/office/drawing/2014/main" id="{AD01316D-30DB-4632-8954-955E8BAD8FF4}"/>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5" name="TextBox 34">
          <a:extLst>
            <a:ext uri="{FF2B5EF4-FFF2-40B4-BE49-F238E27FC236}">
              <a16:creationId xmlns:a16="http://schemas.microsoft.com/office/drawing/2014/main" id="{34B48BFB-EB79-4029-8EBE-1BE3653E687F}"/>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B5F6286B-589F-4F34-893F-4A02E50D8249}"/>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6537A10A-1F26-40F6-A294-7DC9144006E8}"/>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11332DA6-CDFC-4283-B886-4012B93180EB}"/>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0" name="TextBox 39">
          <a:extLst>
            <a:ext uri="{FF2B5EF4-FFF2-40B4-BE49-F238E27FC236}">
              <a16:creationId xmlns:a16="http://schemas.microsoft.com/office/drawing/2014/main" id="{D6758875-92FB-43B7-9F63-640C5F67D2C7}"/>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1" name="TextBox 40">
          <a:extLst>
            <a:ext uri="{FF2B5EF4-FFF2-40B4-BE49-F238E27FC236}">
              <a16:creationId xmlns:a16="http://schemas.microsoft.com/office/drawing/2014/main" id="{F8B91922-CCE3-4387-85F7-8A78DA19CD26}"/>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2" name="TextBox 41">
          <a:extLst>
            <a:ext uri="{FF2B5EF4-FFF2-40B4-BE49-F238E27FC236}">
              <a16:creationId xmlns:a16="http://schemas.microsoft.com/office/drawing/2014/main" id="{B2E80D59-BFF2-4030-95E8-1D7FE0472278}"/>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3" name="TextBox 42">
          <a:extLst>
            <a:ext uri="{FF2B5EF4-FFF2-40B4-BE49-F238E27FC236}">
              <a16:creationId xmlns:a16="http://schemas.microsoft.com/office/drawing/2014/main" id="{3C979A11-15F7-4DE5-8D86-A7804F2958CB}"/>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4" name="TextBox 43">
          <a:extLst>
            <a:ext uri="{FF2B5EF4-FFF2-40B4-BE49-F238E27FC236}">
              <a16:creationId xmlns:a16="http://schemas.microsoft.com/office/drawing/2014/main" id="{B9D8688E-136F-4B0B-8A72-7D000217A1E0}"/>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5" name="TextBox 44">
          <a:extLst>
            <a:ext uri="{FF2B5EF4-FFF2-40B4-BE49-F238E27FC236}">
              <a16:creationId xmlns:a16="http://schemas.microsoft.com/office/drawing/2014/main" id="{132CF31C-140B-4539-AA79-849E946DFD21}"/>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6" name="TextBox 45">
          <a:extLst>
            <a:ext uri="{FF2B5EF4-FFF2-40B4-BE49-F238E27FC236}">
              <a16:creationId xmlns:a16="http://schemas.microsoft.com/office/drawing/2014/main" id="{64B9B1D6-D0D7-4AED-ADE4-E04B9F1028F2}"/>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7" name="TextBox 46">
          <a:extLst>
            <a:ext uri="{FF2B5EF4-FFF2-40B4-BE49-F238E27FC236}">
              <a16:creationId xmlns:a16="http://schemas.microsoft.com/office/drawing/2014/main" id="{984BB18E-2BFC-4346-86E2-CA9FFA077983}"/>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8" name="TextBox 47">
          <a:extLst>
            <a:ext uri="{FF2B5EF4-FFF2-40B4-BE49-F238E27FC236}">
              <a16:creationId xmlns:a16="http://schemas.microsoft.com/office/drawing/2014/main" id="{F52E6D55-BF06-4188-B2FD-D66B4E7C7C4A}"/>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9" name="TextBox 48">
          <a:extLst>
            <a:ext uri="{FF2B5EF4-FFF2-40B4-BE49-F238E27FC236}">
              <a16:creationId xmlns:a16="http://schemas.microsoft.com/office/drawing/2014/main" id="{6D40947E-8E13-481B-A9A2-73CA5F70E75E}"/>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0" name="TextBox 49">
          <a:extLst>
            <a:ext uri="{FF2B5EF4-FFF2-40B4-BE49-F238E27FC236}">
              <a16:creationId xmlns:a16="http://schemas.microsoft.com/office/drawing/2014/main" id="{144E6B20-A9F1-47E8-8612-11E0D429BFE9}"/>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1" name="TextBox 50">
          <a:extLst>
            <a:ext uri="{FF2B5EF4-FFF2-40B4-BE49-F238E27FC236}">
              <a16:creationId xmlns:a16="http://schemas.microsoft.com/office/drawing/2014/main" id="{B7E1EB52-5E24-4F17-B356-E4F5D0922399}"/>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2" name="TextBox 51">
          <a:extLst>
            <a:ext uri="{FF2B5EF4-FFF2-40B4-BE49-F238E27FC236}">
              <a16:creationId xmlns:a16="http://schemas.microsoft.com/office/drawing/2014/main" id="{847390A9-4E26-4B60-892A-3BF3091B4618}"/>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3" name="TextBox 52">
          <a:extLst>
            <a:ext uri="{FF2B5EF4-FFF2-40B4-BE49-F238E27FC236}">
              <a16:creationId xmlns:a16="http://schemas.microsoft.com/office/drawing/2014/main" id="{73A8B02B-EF9B-49D6-9915-35BF933845B2}"/>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4" name="TextBox 53">
          <a:extLst>
            <a:ext uri="{FF2B5EF4-FFF2-40B4-BE49-F238E27FC236}">
              <a16:creationId xmlns:a16="http://schemas.microsoft.com/office/drawing/2014/main" id="{8B437F05-2FA9-4462-A123-5E8F773687AE}"/>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5" name="TextBox 54">
          <a:extLst>
            <a:ext uri="{FF2B5EF4-FFF2-40B4-BE49-F238E27FC236}">
              <a16:creationId xmlns:a16="http://schemas.microsoft.com/office/drawing/2014/main" id="{D659DA3F-DF54-47EC-8BC9-A50C2D18EF57}"/>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6" name="TextBox 55">
          <a:extLst>
            <a:ext uri="{FF2B5EF4-FFF2-40B4-BE49-F238E27FC236}">
              <a16:creationId xmlns:a16="http://schemas.microsoft.com/office/drawing/2014/main" id="{08E654EF-942F-43C4-BCD2-1F885FF9378F}"/>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7" name="TextBox 56">
          <a:extLst>
            <a:ext uri="{FF2B5EF4-FFF2-40B4-BE49-F238E27FC236}">
              <a16:creationId xmlns:a16="http://schemas.microsoft.com/office/drawing/2014/main" id="{F184B333-7531-4C0B-97E1-084C801CC901}"/>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8" name="TextBox 57">
          <a:extLst>
            <a:ext uri="{FF2B5EF4-FFF2-40B4-BE49-F238E27FC236}">
              <a16:creationId xmlns:a16="http://schemas.microsoft.com/office/drawing/2014/main" id="{472387BA-3206-48D1-99B7-561B293B94EA}"/>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9" name="TextBox 58">
          <a:extLst>
            <a:ext uri="{FF2B5EF4-FFF2-40B4-BE49-F238E27FC236}">
              <a16:creationId xmlns:a16="http://schemas.microsoft.com/office/drawing/2014/main" id="{EE64D2DB-4755-4306-9F74-404CA2765AFB}"/>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0" name="TextBox 59">
          <a:extLst>
            <a:ext uri="{FF2B5EF4-FFF2-40B4-BE49-F238E27FC236}">
              <a16:creationId xmlns:a16="http://schemas.microsoft.com/office/drawing/2014/main" id="{6D074039-F4A7-4525-B098-B267B4142FCA}"/>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1" name="TextBox 60">
          <a:extLst>
            <a:ext uri="{FF2B5EF4-FFF2-40B4-BE49-F238E27FC236}">
              <a16:creationId xmlns:a16="http://schemas.microsoft.com/office/drawing/2014/main" id="{12284C73-F7EF-4F73-B10D-6D3582356E9C}"/>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2" name="TextBox 61">
          <a:extLst>
            <a:ext uri="{FF2B5EF4-FFF2-40B4-BE49-F238E27FC236}">
              <a16:creationId xmlns:a16="http://schemas.microsoft.com/office/drawing/2014/main" id="{E2AC0ED3-1342-4583-878B-B78BC7236032}"/>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twoCellAnchor>
    <xdr:from>
      <xdr:col>14</xdr:col>
      <xdr:colOff>108042</xdr:colOff>
      <xdr:row>1</xdr:row>
      <xdr:rowOff>204106</xdr:rowOff>
    </xdr:from>
    <xdr:to>
      <xdr:col>15</xdr:col>
      <xdr:colOff>1324308</xdr:colOff>
      <xdr:row>3</xdr:row>
      <xdr:rowOff>223428</xdr:rowOff>
    </xdr:to>
    <xdr:pic>
      <xdr:nvPicPr>
        <xdr:cNvPr id="63" name="Picture 62" descr="VIAGS xanh">
          <a:extLst>
            <a:ext uri="{FF2B5EF4-FFF2-40B4-BE49-F238E27FC236}">
              <a16:creationId xmlns:a16="http://schemas.microsoft.com/office/drawing/2014/main" id="{756B3B88-22D2-4B98-8EEE-2F37C6C11A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61942" y="308881"/>
          <a:ext cx="1540116" cy="4765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07822" cy="264560"/>
    <xdr:sp macro="" textlink="">
      <xdr:nvSpPr>
        <xdr:cNvPr id="64" name="TextBox 63">
          <a:extLst>
            <a:ext uri="{FF2B5EF4-FFF2-40B4-BE49-F238E27FC236}">
              <a16:creationId xmlns:a16="http://schemas.microsoft.com/office/drawing/2014/main" id="{6AC16478-B671-4934-BD33-7BAAB7C191A4}"/>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5" name="TextBox 64">
          <a:extLst>
            <a:ext uri="{FF2B5EF4-FFF2-40B4-BE49-F238E27FC236}">
              <a16:creationId xmlns:a16="http://schemas.microsoft.com/office/drawing/2014/main" id="{E8C77901-031E-49C9-8908-3D481DB1C8EB}"/>
            </a:ext>
          </a:extLst>
        </xdr:cNvPr>
        <xdr:cNvSpPr txBox="1"/>
      </xdr:nvSpPr>
      <xdr:spPr>
        <a:xfrm>
          <a:off x="12534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7" name="TextBox 66">
          <a:extLst>
            <a:ext uri="{FF2B5EF4-FFF2-40B4-BE49-F238E27FC236}">
              <a16:creationId xmlns:a16="http://schemas.microsoft.com/office/drawing/2014/main" id="{CED0A8AB-5249-4387-B95B-04EE9C27AE2B}"/>
            </a:ext>
          </a:extLst>
        </xdr:cNvPr>
        <xdr:cNvSpPr txBox="1"/>
      </xdr:nvSpPr>
      <xdr:spPr>
        <a:xfrm>
          <a:off x="12534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8" name="TextBox 67">
          <a:extLst>
            <a:ext uri="{FF2B5EF4-FFF2-40B4-BE49-F238E27FC236}">
              <a16:creationId xmlns:a16="http://schemas.microsoft.com/office/drawing/2014/main" id="{3AA798F1-0010-4244-B59D-13CFA5EAAD03}"/>
            </a:ext>
          </a:extLst>
        </xdr:cNvPr>
        <xdr:cNvSpPr txBox="1"/>
      </xdr:nvSpPr>
      <xdr:spPr>
        <a:xfrm>
          <a:off x="12534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9" name="TextBox 68">
          <a:extLst>
            <a:ext uri="{FF2B5EF4-FFF2-40B4-BE49-F238E27FC236}">
              <a16:creationId xmlns:a16="http://schemas.microsoft.com/office/drawing/2014/main" id="{158D8145-D9E9-481F-ACB1-00877548B9B6}"/>
            </a:ext>
          </a:extLst>
        </xdr:cNvPr>
        <xdr:cNvSpPr txBox="1"/>
      </xdr:nvSpPr>
      <xdr:spPr>
        <a:xfrm>
          <a:off x="12534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0" name="TextBox 69">
          <a:extLst>
            <a:ext uri="{FF2B5EF4-FFF2-40B4-BE49-F238E27FC236}">
              <a16:creationId xmlns:a16="http://schemas.microsoft.com/office/drawing/2014/main" id="{0CE7151C-86D8-49AF-8503-787063AD1149}"/>
            </a:ext>
          </a:extLst>
        </xdr:cNvPr>
        <xdr:cNvSpPr txBox="1"/>
      </xdr:nvSpPr>
      <xdr:spPr>
        <a:xfrm>
          <a:off x="12534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1" name="TextBox 70">
          <a:extLst>
            <a:ext uri="{FF2B5EF4-FFF2-40B4-BE49-F238E27FC236}">
              <a16:creationId xmlns:a16="http://schemas.microsoft.com/office/drawing/2014/main" id="{65EBA100-2C26-46DC-ABE3-5B5A64E1A975}"/>
            </a:ext>
          </a:extLst>
        </xdr:cNvPr>
        <xdr:cNvSpPr txBox="1"/>
      </xdr:nvSpPr>
      <xdr:spPr>
        <a:xfrm>
          <a:off x="12534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2" name="TextBox 71">
          <a:extLst>
            <a:ext uri="{FF2B5EF4-FFF2-40B4-BE49-F238E27FC236}">
              <a16:creationId xmlns:a16="http://schemas.microsoft.com/office/drawing/2014/main" id="{074913F6-9BFE-482B-B558-E5571A093BB6}"/>
            </a:ext>
          </a:extLst>
        </xdr:cNvPr>
        <xdr:cNvSpPr txBox="1"/>
      </xdr:nvSpPr>
      <xdr:spPr>
        <a:xfrm>
          <a:off x="12534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3" name="TextBox 72">
          <a:extLst>
            <a:ext uri="{FF2B5EF4-FFF2-40B4-BE49-F238E27FC236}">
              <a16:creationId xmlns:a16="http://schemas.microsoft.com/office/drawing/2014/main" id="{34C5A7D3-95FA-4A5A-A665-79739D436254}"/>
            </a:ext>
          </a:extLst>
        </xdr:cNvPr>
        <xdr:cNvSpPr txBox="1"/>
      </xdr:nvSpPr>
      <xdr:spPr>
        <a:xfrm>
          <a:off x="12534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66" name="Picture 10" descr="VIAGS xanh">
          <a:hlinkClick xmlns:r="http://schemas.openxmlformats.org/officeDocument/2006/relationships" r:id="rId2"/>
          <a:extLst>
            <a:ext uri="{FF2B5EF4-FFF2-40B4-BE49-F238E27FC236}">
              <a16:creationId xmlns:a16="http://schemas.microsoft.com/office/drawing/2014/main" id="{12224716-5E65-4136-89A5-BCB0ACD5D491}"/>
            </a:ext>
            <a:ext uri="{147F2762-F138-4A5C-976F-8EAC2B608ADB}">
              <a16:predDERef xmlns:a16="http://schemas.microsoft.com/office/drawing/2014/main" pred="{34C5A7D3-95FA-4A5A-A665-79739D43625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74" name="Picture 4" descr="VIAGS xanh">
          <a:extLst>
            <a:ext uri="{FF2B5EF4-FFF2-40B4-BE49-F238E27FC236}">
              <a16:creationId xmlns:a16="http://schemas.microsoft.com/office/drawing/2014/main" id="{4755B1F6-0FDD-4EF4-92D7-3F57F510ABD9}"/>
            </a:ext>
            <a:ext uri="{147F2762-F138-4A5C-976F-8EAC2B608ADB}">
              <a16:predDERef xmlns:a16="http://schemas.microsoft.com/office/drawing/2014/main" pred="{12224716-5E65-4136-89A5-BCB0ACD5D49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75" name="Picture 27" descr="VIAGS xanh">
          <a:extLst>
            <a:ext uri="{FF2B5EF4-FFF2-40B4-BE49-F238E27FC236}">
              <a16:creationId xmlns:a16="http://schemas.microsoft.com/office/drawing/2014/main" id="{25CADE1A-3EFD-45E3-8971-E414DB9B2ED2}"/>
            </a:ext>
            <a:ext uri="{147F2762-F138-4A5C-976F-8EAC2B608ADB}">
              <a16:predDERef xmlns:a16="http://schemas.microsoft.com/office/drawing/2014/main" pred="{4755B1F6-0FDD-4EF4-92D7-3F57F510ABD9}"/>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76" name="TextBox 4">
          <a:extLst>
            <a:ext uri="{FF2B5EF4-FFF2-40B4-BE49-F238E27FC236}">
              <a16:creationId xmlns:a16="http://schemas.microsoft.com/office/drawing/2014/main" id="{E2344F5A-4DDE-478B-A073-E22889F2B055}"/>
            </a:ext>
            <a:ext uri="{147F2762-F138-4A5C-976F-8EAC2B608ADB}">
              <a16:predDERef xmlns:a16="http://schemas.microsoft.com/office/drawing/2014/main" pred="{25CADE1A-3EFD-45E3-8971-E414DB9B2ED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7">
          <a:extLst>
            <a:ext uri="{FF2B5EF4-FFF2-40B4-BE49-F238E27FC236}">
              <a16:creationId xmlns:a16="http://schemas.microsoft.com/office/drawing/2014/main" id="{C89D9ED2-68CC-4E72-ABD6-2313626FB2F5}"/>
            </a:ext>
            <a:ext uri="{147F2762-F138-4A5C-976F-8EAC2B608ADB}">
              <a16:predDERef xmlns:a16="http://schemas.microsoft.com/office/drawing/2014/main" pred="{E2344F5A-4DDE-478B-A073-E22889F2B05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8">
          <a:extLst>
            <a:ext uri="{FF2B5EF4-FFF2-40B4-BE49-F238E27FC236}">
              <a16:creationId xmlns:a16="http://schemas.microsoft.com/office/drawing/2014/main" id="{47AAF525-456D-436E-AC26-B6713F5D3C2E}"/>
            </a:ext>
            <a:ext uri="{147F2762-F138-4A5C-976F-8EAC2B608ADB}">
              <a16:predDERef xmlns:a16="http://schemas.microsoft.com/office/drawing/2014/main" pred="{C89D9ED2-68CC-4E72-ABD6-2313626FB2F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9" name="TextBox 4">
          <a:extLst>
            <a:ext uri="{FF2B5EF4-FFF2-40B4-BE49-F238E27FC236}">
              <a16:creationId xmlns:a16="http://schemas.microsoft.com/office/drawing/2014/main" id="{57E71131-3055-4A7C-97B1-93059F50F693}"/>
            </a:ext>
            <a:ext uri="{147F2762-F138-4A5C-976F-8EAC2B608ADB}">
              <a16:predDERef xmlns:a16="http://schemas.microsoft.com/office/drawing/2014/main" pred="{47AAF525-456D-436E-AC26-B6713F5D3C2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0" name="TextBox 7">
          <a:extLst>
            <a:ext uri="{FF2B5EF4-FFF2-40B4-BE49-F238E27FC236}">
              <a16:creationId xmlns:a16="http://schemas.microsoft.com/office/drawing/2014/main" id="{834F0246-7893-4B18-BF8F-EA779AC09B42}"/>
            </a:ext>
            <a:ext uri="{147F2762-F138-4A5C-976F-8EAC2B608ADB}">
              <a16:predDERef xmlns:a16="http://schemas.microsoft.com/office/drawing/2014/main" pred="{57E71131-3055-4A7C-97B1-93059F50F69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1" name="TextBox 8">
          <a:extLst>
            <a:ext uri="{FF2B5EF4-FFF2-40B4-BE49-F238E27FC236}">
              <a16:creationId xmlns:a16="http://schemas.microsoft.com/office/drawing/2014/main" id="{E74D7D01-705B-4F5C-8EE1-986D22D8F7DF}"/>
            </a:ext>
            <a:ext uri="{147F2762-F138-4A5C-976F-8EAC2B608ADB}">
              <a16:predDERef xmlns:a16="http://schemas.microsoft.com/office/drawing/2014/main" pred="{834F0246-7893-4B18-BF8F-EA779AC09B4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82" name="Picture 10" descr="VIAGS xanh">
          <a:hlinkClick xmlns:r="http://schemas.openxmlformats.org/officeDocument/2006/relationships" r:id="rId2"/>
          <a:extLst>
            <a:ext uri="{FF2B5EF4-FFF2-40B4-BE49-F238E27FC236}">
              <a16:creationId xmlns:a16="http://schemas.microsoft.com/office/drawing/2014/main" id="{89F67AD7-1158-4F6B-B508-DB825B50F6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83" name="Picture 4" descr="VIAGS xanh">
          <a:extLst>
            <a:ext uri="{FF2B5EF4-FFF2-40B4-BE49-F238E27FC236}">
              <a16:creationId xmlns:a16="http://schemas.microsoft.com/office/drawing/2014/main" id="{7473D21C-FF9C-4257-996F-8C2633413D27}"/>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84" name="Picture 83" descr="VIAGS xanh">
          <a:extLst>
            <a:ext uri="{FF2B5EF4-FFF2-40B4-BE49-F238E27FC236}">
              <a16:creationId xmlns:a16="http://schemas.microsoft.com/office/drawing/2014/main" id="{59A897CE-F1DD-4673-804B-3E9A742ED926}"/>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85" name="TextBox 4">
          <a:extLst>
            <a:ext uri="{FF2B5EF4-FFF2-40B4-BE49-F238E27FC236}">
              <a16:creationId xmlns:a16="http://schemas.microsoft.com/office/drawing/2014/main" id="{1CD58940-8647-4D6C-86EE-B366F11E6E5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6" name="TextBox 7">
          <a:extLst>
            <a:ext uri="{FF2B5EF4-FFF2-40B4-BE49-F238E27FC236}">
              <a16:creationId xmlns:a16="http://schemas.microsoft.com/office/drawing/2014/main" id="{01BFDEBF-0152-4B56-8604-1A6F03E6A43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7" name="TextBox 8">
          <a:extLst>
            <a:ext uri="{FF2B5EF4-FFF2-40B4-BE49-F238E27FC236}">
              <a16:creationId xmlns:a16="http://schemas.microsoft.com/office/drawing/2014/main" id="{045D712B-C433-4594-8E67-A2DAA62E37E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8" name="TextBox 4">
          <a:extLst>
            <a:ext uri="{FF2B5EF4-FFF2-40B4-BE49-F238E27FC236}">
              <a16:creationId xmlns:a16="http://schemas.microsoft.com/office/drawing/2014/main" id="{4B0DD4F8-535D-4EC5-A809-DC92D6B577F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9" name="TextBox 7">
          <a:extLst>
            <a:ext uri="{FF2B5EF4-FFF2-40B4-BE49-F238E27FC236}">
              <a16:creationId xmlns:a16="http://schemas.microsoft.com/office/drawing/2014/main" id="{E588265D-F052-44C7-A6F7-CEFA164FE19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0" name="TextBox 8">
          <a:extLst>
            <a:ext uri="{FF2B5EF4-FFF2-40B4-BE49-F238E27FC236}">
              <a16:creationId xmlns:a16="http://schemas.microsoft.com/office/drawing/2014/main" id="{F78B13C8-DA36-40CA-96D4-48FAB7B342A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2A8CE72E-EA19-42E2-BD61-E9EE14681DD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7">
          <a:extLst>
            <a:ext uri="{FF2B5EF4-FFF2-40B4-BE49-F238E27FC236}">
              <a16:creationId xmlns:a16="http://schemas.microsoft.com/office/drawing/2014/main" id="{BBEB2B3A-AA01-4322-A045-0E923EFDE51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1" name="TextBox 8">
          <a:extLst>
            <a:ext uri="{FF2B5EF4-FFF2-40B4-BE49-F238E27FC236}">
              <a16:creationId xmlns:a16="http://schemas.microsoft.com/office/drawing/2014/main" id="{07291AC8-19DE-4F38-AF43-07EAAF58751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2" name="TextBox 91">
          <a:extLst>
            <a:ext uri="{FF2B5EF4-FFF2-40B4-BE49-F238E27FC236}">
              <a16:creationId xmlns:a16="http://schemas.microsoft.com/office/drawing/2014/main" id="{2B3CFFAD-2AE7-417E-88A9-04AF0D5DCF0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3" name="TextBox 7">
          <a:extLst>
            <a:ext uri="{FF2B5EF4-FFF2-40B4-BE49-F238E27FC236}">
              <a16:creationId xmlns:a16="http://schemas.microsoft.com/office/drawing/2014/main" id="{C64209B4-0EF7-449F-9762-C2464CFC5D8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4" name="TextBox 8">
          <a:extLst>
            <a:ext uri="{FF2B5EF4-FFF2-40B4-BE49-F238E27FC236}">
              <a16:creationId xmlns:a16="http://schemas.microsoft.com/office/drawing/2014/main" id="{BB371943-AD0D-4A51-8151-94C5952A243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5" name="TextBox 4">
          <a:extLst>
            <a:ext uri="{FF2B5EF4-FFF2-40B4-BE49-F238E27FC236}">
              <a16:creationId xmlns:a16="http://schemas.microsoft.com/office/drawing/2014/main" id="{12DD1D15-7A75-4051-AD37-68BF7BE6074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6" name="TextBox 7">
          <a:extLst>
            <a:ext uri="{FF2B5EF4-FFF2-40B4-BE49-F238E27FC236}">
              <a16:creationId xmlns:a16="http://schemas.microsoft.com/office/drawing/2014/main" id="{2FC6C88C-FD8C-47B9-8070-B5DA72172DF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7" name="TextBox 8">
          <a:extLst>
            <a:ext uri="{FF2B5EF4-FFF2-40B4-BE49-F238E27FC236}">
              <a16:creationId xmlns:a16="http://schemas.microsoft.com/office/drawing/2014/main" id="{A3DFD378-EC7F-4B55-8E09-F1B7984D4AC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8" name="TextBox 4">
          <a:extLst>
            <a:ext uri="{FF2B5EF4-FFF2-40B4-BE49-F238E27FC236}">
              <a16:creationId xmlns:a16="http://schemas.microsoft.com/office/drawing/2014/main" id="{DFBE51C4-68FB-44C3-8B07-03B812845D5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9" name="TextBox 7">
          <a:extLst>
            <a:ext uri="{FF2B5EF4-FFF2-40B4-BE49-F238E27FC236}">
              <a16:creationId xmlns:a16="http://schemas.microsoft.com/office/drawing/2014/main" id="{E9F068BA-9064-41C1-B6E3-7B8E5D4F231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0" name="TextBox 8">
          <a:extLst>
            <a:ext uri="{FF2B5EF4-FFF2-40B4-BE49-F238E27FC236}">
              <a16:creationId xmlns:a16="http://schemas.microsoft.com/office/drawing/2014/main" id="{CC3BEDCE-1A8C-498C-A88C-77FF2E4A5F8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1" name="TextBox 4">
          <a:extLst>
            <a:ext uri="{FF2B5EF4-FFF2-40B4-BE49-F238E27FC236}">
              <a16:creationId xmlns:a16="http://schemas.microsoft.com/office/drawing/2014/main" id="{9A950313-C58F-406E-BC80-BEB4C1052D2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2" name="TextBox 7">
          <a:extLst>
            <a:ext uri="{FF2B5EF4-FFF2-40B4-BE49-F238E27FC236}">
              <a16:creationId xmlns:a16="http://schemas.microsoft.com/office/drawing/2014/main" id="{7EF15E95-A0A0-47B0-B85D-CA14EAE056C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3" name="TextBox 8">
          <a:extLst>
            <a:ext uri="{FF2B5EF4-FFF2-40B4-BE49-F238E27FC236}">
              <a16:creationId xmlns:a16="http://schemas.microsoft.com/office/drawing/2014/main" id="{4492ADDC-502A-4915-B7DB-3803E89B3DE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4" name="TextBox 103">
          <a:extLst>
            <a:ext uri="{FF2B5EF4-FFF2-40B4-BE49-F238E27FC236}">
              <a16:creationId xmlns:a16="http://schemas.microsoft.com/office/drawing/2014/main" id="{39273879-08E6-4972-8F60-4F5A32307BD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5" name="TextBox 104">
          <a:extLst>
            <a:ext uri="{FF2B5EF4-FFF2-40B4-BE49-F238E27FC236}">
              <a16:creationId xmlns:a16="http://schemas.microsoft.com/office/drawing/2014/main" id="{CE80C0AA-DCE0-471E-8FFA-76676136778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6" name="TextBox 105">
          <a:extLst>
            <a:ext uri="{FF2B5EF4-FFF2-40B4-BE49-F238E27FC236}">
              <a16:creationId xmlns:a16="http://schemas.microsoft.com/office/drawing/2014/main" id="{9A4CD27A-A752-4DE3-B639-43683447959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4" name="TextBox 4">
          <a:extLst>
            <a:ext uri="{FF2B5EF4-FFF2-40B4-BE49-F238E27FC236}">
              <a16:creationId xmlns:a16="http://schemas.microsoft.com/office/drawing/2014/main" id="{00000000-0008-0000-0D00-00000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7">
          <a:extLst>
            <a:ext uri="{FF2B5EF4-FFF2-40B4-BE49-F238E27FC236}">
              <a16:creationId xmlns:a16="http://schemas.microsoft.com/office/drawing/2014/main" id="{00000000-0008-0000-0D00-00000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8">
          <a:extLst>
            <a:ext uri="{FF2B5EF4-FFF2-40B4-BE49-F238E27FC236}">
              <a16:creationId xmlns:a16="http://schemas.microsoft.com/office/drawing/2014/main" id="{00000000-0008-0000-0D00-00000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7" name="TextBox 6">
          <a:extLst>
            <a:ext uri="{FF2B5EF4-FFF2-40B4-BE49-F238E27FC236}">
              <a16:creationId xmlns:a16="http://schemas.microsoft.com/office/drawing/2014/main" id="{00000000-0008-0000-0D00-000007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8" name="TextBox 7">
          <a:extLst>
            <a:ext uri="{FF2B5EF4-FFF2-40B4-BE49-F238E27FC236}">
              <a16:creationId xmlns:a16="http://schemas.microsoft.com/office/drawing/2014/main" id="{00000000-0008-0000-0D00-000008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9" name="TextBox 8">
          <a:extLst>
            <a:ext uri="{FF2B5EF4-FFF2-40B4-BE49-F238E27FC236}">
              <a16:creationId xmlns:a16="http://schemas.microsoft.com/office/drawing/2014/main" id="{00000000-0008-0000-0D00-000009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 name="TextBox 9">
          <a:extLst>
            <a:ext uri="{FF2B5EF4-FFF2-40B4-BE49-F238E27FC236}">
              <a16:creationId xmlns:a16="http://schemas.microsoft.com/office/drawing/2014/main" id="{00000000-0008-0000-0D00-00000A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 name="TextBox 10">
          <a:extLst>
            <a:ext uri="{FF2B5EF4-FFF2-40B4-BE49-F238E27FC236}">
              <a16:creationId xmlns:a16="http://schemas.microsoft.com/office/drawing/2014/main" id="{00000000-0008-0000-0D00-00000B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 name="TextBox 11">
          <a:extLst>
            <a:ext uri="{FF2B5EF4-FFF2-40B4-BE49-F238E27FC236}">
              <a16:creationId xmlns:a16="http://schemas.microsoft.com/office/drawing/2014/main" id="{00000000-0008-0000-0D00-00000C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3" name="TextBox 12">
          <a:extLst>
            <a:ext uri="{FF2B5EF4-FFF2-40B4-BE49-F238E27FC236}">
              <a16:creationId xmlns:a16="http://schemas.microsoft.com/office/drawing/2014/main" id="{00000000-0008-0000-0D00-00000D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4" name="TextBox 13">
          <a:extLst>
            <a:ext uri="{FF2B5EF4-FFF2-40B4-BE49-F238E27FC236}">
              <a16:creationId xmlns:a16="http://schemas.microsoft.com/office/drawing/2014/main" id="{00000000-0008-0000-0D00-00000E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5" name="TextBox 14">
          <a:extLst>
            <a:ext uri="{FF2B5EF4-FFF2-40B4-BE49-F238E27FC236}">
              <a16:creationId xmlns:a16="http://schemas.microsoft.com/office/drawing/2014/main" id="{00000000-0008-0000-0D00-00000F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6" name="TextBox 15">
          <a:extLst>
            <a:ext uri="{FF2B5EF4-FFF2-40B4-BE49-F238E27FC236}">
              <a16:creationId xmlns:a16="http://schemas.microsoft.com/office/drawing/2014/main" id="{00000000-0008-0000-0D00-000010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7" name="TextBox 16">
          <a:extLst>
            <a:ext uri="{FF2B5EF4-FFF2-40B4-BE49-F238E27FC236}">
              <a16:creationId xmlns:a16="http://schemas.microsoft.com/office/drawing/2014/main" id="{00000000-0008-0000-0D00-000011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8" name="TextBox 17">
          <a:extLst>
            <a:ext uri="{FF2B5EF4-FFF2-40B4-BE49-F238E27FC236}">
              <a16:creationId xmlns:a16="http://schemas.microsoft.com/office/drawing/2014/main" id="{00000000-0008-0000-0D00-000012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00000000-0008-0000-0D00-000013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00000000-0008-0000-0D00-000014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00000000-0008-0000-0D00-000015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00000000-0008-0000-0D00-00001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00000000-0008-0000-0D00-000017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00000000-0008-0000-0D00-000018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D8078111-7949-432B-A131-F5F636AC3FFA}"/>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5" name="TextBox 24">
          <a:extLst>
            <a:ext uri="{FF2B5EF4-FFF2-40B4-BE49-F238E27FC236}">
              <a16:creationId xmlns:a16="http://schemas.microsoft.com/office/drawing/2014/main" id="{59566A05-1361-4258-AE34-7908CEDBE742}"/>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6" name="TextBox 25">
          <a:extLst>
            <a:ext uri="{FF2B5EF4-FFF2-40B4-BE49-F238E27FC236}">
              <a16:creationId xmlns:a16="http://schemas.microsoft.com/office/drawing/2014/main" id="{C4C2EA3D-FD63-46C9-8664-7F196F19DB86}"/>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7" name="TextBox 26">
          <a:extLst>
            <a:ext uri="{FF2B5EF4-FFF2-40B4-BE49-F238E27FC236}">
              <a16:creationId xmlns:a16="http://schemas.microsoft.com/office/drawing/2014/main" id="{FA267C0E-EE29-4A84-B5F5-95E03E52D74B}"/>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8" name="TextBox 27">
          <a:extLst>
            <a:ext uri="{FF2B5EF4-FFF2-40B4-BE49-F238E27FC236}">
              <a16:creationId xmlns:a16="http://schemas.microsoft.com/office/drawing/2014/main" id="{DF9C696A-798E-4C73-9873-B1E905EF3399}"/>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9" name="TextBox 28">
          <a:extLst>
            <a:ext uri="{FF2B5EF4-FFF2-40B4-BE49-F238E27FC236}">
              <a16:creationId xmlns:a16="http://schemas.microsoft.com/office/drawing/2014/main" id="{4E2DFA9D-07A4-4479-8442-A389A43442E9}"/>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0" name="TextBox 29">
          <a:extLst>
            <a:ext uri="{FF2B5EF4-FFF2-40B4-BE49-F238E27FC236}">
              <a16:creationId xmlns:a16="http://schemas.microsoft.com/office/drawing/2014/main" id="{B934B407-4713-4F85-AD77-CF3CA4C2121C}"/>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1" name="TextBox 30">
          <a:extLst>
            <a:ext uri="{FF2B5EF4-FFF2-40B4-BE49-F238E27FC236}">
              <a16:creationId xmlns:a16="http://schemas.microsoft.com/office/drawing/2014/main" id="{EF959F86-4BBF-4508-BFBD-3C25043A7898}"/>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9F021459-537A-434C-8B39-517B7DF5C096}"/>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E75E2250-C23F-4EC0-9120-7C51A3DA567C}"/>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371E018D-9B69-4061-AF22-690E8740D46F}"/>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AC82543A-9B04-40FC-AE9D-7024799FA117}"/>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7" name="TextBox 36">
          <a:extLst>
            <a:ext uri="{FF2B5EF4-FFF2-40B4-BE49-F238E27FC236}">
              <a16:creationId xmlns:a16="http://schemas.microsoft.com/office/drawing/2014/main" id="{6B8B71B8-D4C0-4567-8D38-90804C89FB1B}"/>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8" name="TextBox 37">
          <a:extLst>
            <a:ext uri="{FF2B5EF4-FFF2-40B4-BE49-F238E27FC236}">
              <a16:creationId xmlns:a16="http://schemas.microsoft.com/office/drawing/2014/main" id="{95784A01-EC37-4D39-A6F2-415DD7B52948}"/>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9" name="TextBox 38">
          <a:extLst>
            <a:ext uri="{FF2B5EF4-FFF2-40B4-BE49-F238E27FC236}">
              <a16:creationId xmlns:a16="http://schemas.microsoft.com/office/drawing/2014/main" id="{99FD35B8-C2F6-42B4-B7F0-6633F4761545}"/>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0" name="TextBox 39">
          <a:extLst>
            <a:ext uri="{FF2B5EF4-FFF2-40B4-BE49-F238E27FC236}">
              <a16:creationId xmlns:a16="http://schemas.microsoft.com/office/drawing/2014/main" id="{26DE7F0F-CBFA-4D4F-91C5-B1174139FCEC}"/>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1" name="TextBox 40">
          <a:extLst>
            <a:ext uri="{FF2B5EF4-FFF2-40B4-BE49-F238E27FC236}">
              <a16:creationId xmlns:a16="http://schemas.microsoft.com/office/drawing/2014/main" id="{1B374960-F924-42C0-9083-E1422E692FAB}"/>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2" name="TextBox 41">
          <a:extLst>
            <a:ext uri="{FF2B5EF4-FFF2-40B4-BE49-F238E27FC236}">
              <a16:creationId xmlns:a16="http://schemas.microsoft.com/office/drawing/2014/main" id="{9FED0B90-7EB9-4ED6-94DB-933B68A78F07}"/>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3" name="TextBox 42">
          <a:extLst>
            <a:ext uri="{FF2B5EF4-FFF2-40B4-BE49-F238E27FC236}">
              <a16:creationId xmlns:a16="http://schemas.microsoft.com/office/drawing/2014/main" id="{135C551D-904F-43B1-B96B-D97AAF15D272}"/>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4" name="TextBox 43">
          <a:extLst>
            <a:ext uri="{FF2B5EF4-FFF2-40B4-BE49-F238E27FC236}">
              <a16:creationId xmlns:a16="http://schemas.microsoft.com/office/drawing/2014/main" id="{3FC08CEB-ECEA-4C00-8327-CC8A6936CBC0}"/>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5" name="TextBox 44">
          <a:extLst>
            <a:ext uri="{FF2B5EF4-FFF2-40B4-BE49-F238E27FC236}">
              <a16:creationId xmlns:a16="http://schemas.microsoft.com/office/drawing/2014/main" id="{E9AB4492-BD2A-4B10-AB92-86DB33205935}"/>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6" name="TextBox 45">
          <a:extLst>
            <a:ext uri="{FF2B5EF4-FFF2-40B4-BE49-F238E27FC236}">
              <a16:creationId xmlns:a16="http://schemas.microsoft.com/office/drawing/2014/main" id="{2411486B-4081-42AD-A5EC-C8676A611C82}"/>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7" name="TextBox 46">
          <a:extLst>
            <a:ext uri="{FF2B5EF4-FFF2-40B4-BE49-F238E27FC236}">
              <a16:creationId xmlns:a16="http://schemas.microsoft.com/office/drawing/2014/main" id="{B3DC0518-AF7A-4E4D-9A9C-7747DC7EDDA8}"/>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8" name="TextBox 47">
          <a:extLst>
            <a:ext uri="{FF2B5EF4-FFF2-40B4-BE49-F238E27FC236}">
              <a16:creationId xmlns:a16="http://schemas.microsoft.com/office/drawing/2014/main" id="{90178CE1-08EE-44A7-BE13-4610C158725A}"/>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9" name="TextBox 48">
          <a:extLst>
            <a:ext uri="{FF2B5EF4-FFF2-40B4-BE49-F238E27FC236}">
              <a16:creationId xmlns:a16="http://schemas.microsoft.com/office/drawing/2014/main" id="{55471051-991E-4279-89AC-2BD7FE06E671}"/>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0" name="TextBox 49">
          <a:extLst>
            <a:ext uri="{FF2B5EF4-FFF2-40B4-BE49-F238E27FC236}">
              <a16:creationId xmlns:a16="http://schemas.microsoft.com/office/drawing/2014/main" id="{FCC6AD5F-344E-49B9-8E79-1203B08E9702}"/>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1" name="TextBox 50">
          <a:extLst>
            <a:ext uri="{FF2B5EF4-FFF2-40B4-BE49-F238E27FC236}">
              <a16:creationId xmlns:a16="http://schemas.microsoft.com/office/drawing/2014/main" id="{9D679B12-691E-4364-ADF1-8751EBD64575}"/>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2" name="TextBox 51">
          <a:extLst>
            <a:ext uri="{FF2B5EF4-FFF2-40B4-BE49-F238E27FC236}">
              <a16:creationId xmlns:a16="http://schemas.microsoft.com/office/drawing/2014/main" id="{C30DDA96-BEF0-44A3-B9D4-024440350177}"/>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3" name="TextBox 52">
          <a:extLst>
            <a:ext uri="{FF2B5EF4-FFF2-40B4-BE49-F238E27FC236}">
              <a16:creationId xmlns:a16="http://schemas.microsoft.com/office/drawing/2014/main" id="{DE498371-13B3-43A6-85F0-6E092884FF0A}"/>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4" name="TextBox 53">
          <a:extLst>
            <a:ext uri="{FF2B5EF4-FFF2-40B4-BE49-F238E27FC236}">
              <a16:creationId xmlns:a16="http://schemas.microsoft.com/office/drawing/2014/main" id="{AFF7CC2C-A7DE-4D21-A388-124449703FA3}"/>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5" name="TextBox 54">
          <a:extLst>
            <a:ext uri="{FF2B5EF4-FFF2-40B4-BE49-F238E27FC236}">
              <a16:creationId xmlns:a16="http://schemas.microsoft.com/office/drawing/2014/main" id="{343A632F-339B-4C84-9918-30493D045152}"/>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6" name="TextBox 55">
          <a:extLst>
            <a:ext uri="{FF2B5EF4-FFF2-40B4-BE49-F238E27FC236}">
              <a16:creationId xmlns:a16="http://schemas.microsoft.com/office/drawing/2014/main" id="{36A9A59E-82CD-47B5-A5B1-F75D5C7997BC}"/>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7" name="TextBox 56">
          <a:extLst>
            <a:ext uri="{FF2B5EF4-FFF2-40B4-BE49-F238E27FC236}">
              <a16:creationId xmlns:a16="http://schemas.microsoft.com/office/drawing/2014/main" id="{1F12816C-28D8-4B39-BE7C-47037596C050}"/>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8" name="TextBox 57">
          <a:extLst>
            <a:ext uri="{FF2B5EF4-FFF2-40B4-BE49-F238E27FC236}">
              <a16:creationId xmlns:a16="http://schemas.microsoft.com/office/drawing/2014/main" id="{6E8AA672-2CE6-42D2-9EA2-7C1C31A257C8}"/>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9" name="TextBox 58">
          <a:extLst>
            <a:ext uri="{FF2B5EF4-FFF2-40B4-BE49-F238E27FC236}">
              <a16:creationId xmlns:a16="http://schemas.microsoft.com/office/drawing/2014/main" id="{5F47BB89-95D1-42A4-BA81-EFE451D1D7D3}"/>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0" name="TextBox 59">
          <a:extLst>
            <a:ext uri="{FF2B5EF4-FFF2-40B4-BE49-F238E27FC236}">
              <a16:creationId xmlns:a16="http://schemas.microsoft.com/office/drawing/2014/main" id="{95E170AD-C685-4234-8426-384D686F3AF7}"/>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1" name="TextBox 60">
          <a:extLst>
            <a:ext uri="{FF2B5EF4-FFF2-40B4-BE49-F238E27FC236}">
              <a16:creationId xmlns:a16="http://schemas.microsoft.com/office/drawing/2014/main" id="{5EBA0A4D-B2AC-41A5-B979-26C5200981E6}"/>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2" name="TextBox 61">
          <a:extLst>
            <a:ext uri="{FF2B5EF4-FFF2-40B4-BE49-F238E27FC236}">
              <a16:creationId xmlns:a16="http://schemas.microsoft.com/office/drawing/2014/main" id="{177586A3-BE17-4122-A59A-F35B26969DE6}"/>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3" name="TextBox 62">
          <a:extLst>
            <a:ext uri="{FF2B5EF4-FFF2-40B4-BE49-F238E27FC236}">
              <a16:creationId xmlns:a16="http://schemas.microsoft.com/office/drawing/2014/main" id="{8892B104-4EC7-4E25-93AA-47D0A00FF15A}"/>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4" name="TextBox 63">
          <a:extLst>
            <a:ext uri="{FF2B5EF4-FFF2-40B4-BE49-F238E27FC236}">
              <a16:creationId xmlns:a16="http://schemas.microsoft.com/office/drawing/2014/main" id="{6AA131CE-D61E-4E30-86DE-641F14BA2D43}"/>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5" name="TextBox 64">
          <a:extLst>
            <a:ext uri="{FF2B5EF4-FFF2-40B4-BE49-F238E27FC236}">
              <a16:creationId xmlns:a16="http://schemas.microsoft.com/office/drawing/2014/main" id="{42E79015-BC63-458C-9896-B0400623CFDC}"/>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6" name="TextBox 65">
          <a:extLst>
            <a:ext uri="{FF2B5EF4-FFF2-40B4-BE49-F238E27FC236}">
              <a16:creationId xmlns:a16="http://schemas.microsoft.com/office/drawing/2014/main" id="{7722BFCE-0CD3-4226-B5AB-DC06A841C8B2}"/>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7" name="TextBox 66">
          <a:extLst>
            <a:ext uri="{FF2B5EF4-FFF2-40B4-BE49-F238E27FC236}">
              <a16:creationId xmlns:a16="http://schemas.microsoft.com/office/drawing/2014/main" id="{FE341E20-0FD3-463E-8D66-E91989734B1D}"/>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8" name="TextBox 67">
          <a:extLst>
            <a:ext uri="{FF2B5EF4-FFF2-40B4-BE49-F238E27FC236}">
              <a16:creationId xmlns:a16="http://schemas.microsoft.com/office/drawing/2014/main" id="{AC39CD23-B965-40B4-916C-0DE12DBCB29F}"/>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9" name="TextBox 68">
          <a:extLst>
            <a:ext uri="{FF2B5EF4-FFF2-40B4-BE49-F238E27FC236}">
              <a16:creationId xmlns:a16="http://schemas.microsoft.com/office/drawing/2014/main" id="{555225B5-E17B-4312-9DE2-87CAF92E8D08}"/>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0" name="TextBox 69">
          <a:extLst>
            <a:ext uri="{FF2B5EF4-FFF2-40B4-BE49-F238E27FC236}">
              <a16:creationId xmlns:a16="http://schemas.microsoft.com/office/drawing/2014/main" id="{5FD14450-4B98-4A58-A5CC-D85B9864A056}"/>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1" name="TextBox 70">
          <a:extLst>
            <a:ext uri="{FF2B5EF4-FFF2-40B4-BE49-F238E27FC236}">
              <a16:creationId xmlns:a16="http://schemas.microsoft.com/office/drawing/2014/main" id="{9159AA45-A6C4-4824-9D1C-C9626DD8535F}"/>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2" name="TextBox 71">
          <a:extLst>
            <a:ext uri="{FF2B5EF4-FFF2-40B4-BE49-F238E27FC236}">
              <a16:creationId xmlns:a16="http://schemas.microsoft.com/office/drawing/2014/main" id="{C394BFF0-CF3C-4F13-8DD4-64D9E4A8622A}"/>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3" name="TextBox 72">
          <a:extLst>
            <a:ext uri="{FF2B5EF4-FFF2-40B4-BE49-F238E27FC236}">
              <a16:creationId xmlns:a16="http://schemas.microsoft.com/office/drawing/2014/main" id="{36A25780-199F-45EC-BFCD-70D322D170F4}"/>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4" name="TextBox 73">
          <a:extLst>
            <a:ext uri="{FF2B5EF4-FFF2-40B4-BE49-F238E27FC236}">
              <a16:creationId xmlns:a16="http://schemas.microsoft.com/office/drawing/2014/main" id="{4E8271D2-9ED1-4A2F-817C-3F3F94435CA0}"/>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5" name="TextBox 74">
          <a:extLst>
            <a:ext uri="{FF2B5EF4-FFF2-40B4-BE49-F238E27FC236}">
              <a16:creationId xmlns:a16="http://schemas.microsoft.com/office/drawing/2014/main" id="{86D56DE3-5298-4494-B250-793AD5FF2B58}"/>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6" name="TextBox 75">
          <a:extLst>
            <a:ext uri="{FF2B5EF4-FFF2-40B4-BE49-F238E27FC236}">
              <a16:creationId xmlns:a16="http://schemas.microsoft.com/office/drawing/2014/main" id="{7082779A-46D2-4668-99C3-22671F29ADEA}"/>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7" name="TextBox 76">
          <a:extLst>
            <a:ext uri="{FF2B5EF4-FFF2-40B4-BE49-F238E27FC236}">
              <a16:creationId xmlns:a16="http://schemas.microsoft.com/office/drawing/2014/main" id="{E2237FEA-0348-450C-B83B-05EECA9B3947}"/>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twoCellAnchor>
    <xdr:from>
      <xdr:col>14</xdr:col>
      <xdr:colOff>108042</xdr:colOff>
      <xdr:row>1</xdr:row>
      <xdr:rowOff>204106</xdr:rowOff>
    </xdr:from>
    <xdr:to>
      <xdr:col>15</xdr:col>
      <xdr:colOff>1324308</xdr:colOff>
      <xdr:row>3</xdr:row>
      <xdr:rowOff>223428</xdr:rowOff>
    </xdr:to>
    <xdr:pic>
      <xdr:nvPicPr>
        <xdr:cNvPr id="78" name="Picture 77" descr="VIAGS xanh">
          <a:extLst>
            <a:ext uri="{FF2B5EF4-FFF2-40B4-BE49-F238E27FC236}">
              <a16:creationId xmlns:a16="http://schemas.microsoft.com/office/drawing/2014/main" id="{E428EF4E-FC89-4046-8CAE-DF99F25E59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28667" y="308881"/>
          <a:ext cx="1540116" cy="4765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07822" cy="264560"/>
    <xdr:sp macro="" textlink="">
      <xdr:nvSpPr>
        <xdr:cNvPr id="79" name="TextBox 78">
          <a:extLst>
            <a:ext uri="{FF2B5EF4-FFF2-40B4-BE49-F238E27FC236}">
              <a16:creationId xmlns:a16="http://schemas.microsoft.com/office/drawing/2014/main" id="{CDB088DD-7434-40D9-9C58-CC327CC64D6C}"/>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0" name="TextBox 79">
          <a:extLst>
            <a:ext uri="{FF2B5EF4-FFF2-40B4-BE49-F238E27FC236}">
              <a16:creationId xmlns:a16="http://schemas.microsoft.com/office/drawing/2014/main" id="{52681C74-D8D9-4D01-BB95-E47F45090E0D}"/>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81" name="TextBox 80">
          <a:extLst>
            <a:ext uri="{FF2B5EF4-FFF2-40B4-BE49-F238E27FC236}">
              <a16:creationId xmlns:a16="http://schemas.microsoft.com/office/drawing/2014/main" id="{232ACFCD-1DCC-422B-93B9-28C7B453C33C}"/>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2" name="TextBox 81">
          <a:extLst>
            <a:ext uri="{FF2B5EF4-FFF2-40B4-BE49-F238E27FC236}">
              <a16:creationId xmlns:a16="http://schemas.microsoft.com/office/drawing/2014/main" id="{E981B56C-2F81-462C-B868-2CB2B1D18F1A}"/>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83" name="TextBox 82">
          <a:extLst>
            <a:ext uri="{FF2B5EF4-FFF2-40B4-BE49-F238E27FC236}">
              <a16:creationId xmlns:a16="http://schemas.microsoft.com/office/drawing/2014/main" id="{8CE86FC7-1563-4B86-8B26-8E3CCB65754D}"/>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4" name="TextBox 83">
          <a:extLst>
            <a:ext uri="{FF2B5EF4-FFF2-40B4-BE49-F238E27FC236}">
              <a16:creationId xmlns:a16="http://schemas.microsoft.com/office/drawing/2014/main" id="{8BA070F4-BEE6-45F1-AFB7-B467F501758B}"/>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85" name="TextBox 84">
          <a:extLst>
            <a:ext uri="{FF2B5EF4-FFF2-40B4-BE49-F238E27FC236}">
              <a16:creationId xmlns:a16="http://schemas.microsoft.com/office/drawing/2014/main" id="{8760197C-069A-4344-AE77-8FA665B20616}"/>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6" name="TextBox 85">
          <a:extLst>
            <a:ext uri="{FF2B5EF4-FFF2-40B4-BE49-F238E27FC236}">
              <a16:creationId xmlns:a16="http://schemas.microsoft.com/office/drawing/2014/main" id="{D91ADD1C-7D39-435E-BA9E-E0A02218F709}"/>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87" name="TextBox 86">
          <a:extLst>
            <a:ext uri="{FF2B5EF4-FFF2-40B4-BE49-F238E27FC236}">
              <a16:creationId xmlns:a16="http://schemas.microsoft.com/office/drawing/2014/main" id="{B834D73E-6352-45E4-BB53-0F3F0F72DBA6}"/>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8" name="TextBox 87">
          <a:extLst>
            <a:ext uri="{FF2B5EF4-FFF2-40B4-BE49-F238E27FC236}">
              <a16:creationId xmlns:a16="http://schemas.microsoft.com/office/drawing/2014/main" id="{0F113624-E9E3-4635-8E7F-73B207BC827E}"/>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89" name="TextBox 88">
          <a:extLst>
            <a:ext uri="{FF2B5EF4-FFF2-40B4-BE49-F238E27FC236}">
              <a16:creationId xmlns:a16="http://schemas.microsoft.com/office/drawing/2014/main" id="{359B8DA8-61F1-4460-8473-2B9901DB34AF}"/>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90" name="TextBox 89">
          <a:extLst>
            <a:ext uri="{FF2B5EF4-FFF2-40B4-BE49-F238E27FC236}">
              <a16:creationId xmlns:a16="http://schemas.microsoft.com/office/drawing/2014/main" id="{601AEE0A-8C6D-48C4-962C-E04A85187803}"/>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1" name="TextBox 90">
          <a:extLst>
            <a:ext uri="{FF2B5EF4-FFF2-40B4-BE49-F238E27FC236}">
              <a16:creationId xmlns:a16="http://schemas.microsoft.com/office/drawing/2014/main" id="{AACE92C1-206F-4E8B-BE33-997804DBABA9}"/>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92" name="TextBox 91">
          <a:extLst>
            <a:ext uri="{FF2B5EF4-FFF2-40B4-BE49-F238E27FC236}">
              <a16:creationId xmlns:a16="http://schemas.microsoft.com/office/drawing/2014/main" id="{95B15C2B-6EE1-4D20-8CB1-06E043C15E17}"/>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3" name="TextBox 92">
          <a:extLst>
            <a:ext uri="{FF2B5EF4-FFF2-40B4-BE49-F238E27FC236}">
              <a16:creationId xmlns:a16="http://schemas.microsoft.com/office/drawing/2014/main" id="{46EBB07B-205C-4347-BA62-A8AF877FF63D}"/>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94" name="TextBox 93">
          <a:extLst>
            <a:ext uri="{FF2B5EF4-FFF2-40B4-BE49-F238E27FC236}">
              <a16:creationId xmlns:a16="http://schemas.microsoft.com/office/drawing/2014/main" id="{2FB70B68-6E10-41AD-B053-4A96713B1F7D}"/>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5" name="TextBox 94">
          <a:extLst>
            <a:ext uri="{FF2B5EF4-FFF2-40B4-BE49-F238E27FC236}">
              <a16:creationId xmlns:a16="http://schemas.microsoft.com/office/drawing/2014/main" id="{F80447D1-F177-442E-860C-A25261C3198A}"/>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96" name="TextBox 95">
          <a:extLst>
            <a:ext uri="{FF2B5EF4-FFF2-40B4-BE49-F238E27FC236}">
              <a16:creationId xmlns:a16="http://schemas.microsoft.com/office/drawing/2014/main" id="{50F43976-F0A0-4B3D-B2BC-50E921A19717}"/>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7" name="TextBox 96">
          <a:extLst>
            <a:ext uri="{FF2B5EF4-FFF2-40B4-BE49-F238E27FC236}">
              <a16:creationId xmlns:a16="http://schemas.microsoft.com/office/drawing/2014/main" id="{5F0CE57E-F1B8-4A7D-83E1-880DDA1E7030}"/>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98" name="TextBox 97">
          <a:extLst>
            <a:ext uri="{FF2B5EF4-FFF2-40B4-BE49-F238E27FC236}">
              <a16:creationId xmlns:a16="http://schemas.microsoft.com/office/drawing/2014/main" id="{880116D9-9C6B-41C9-9311-0E96CA182AF8}"/>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9" name="TextBox 98">
          <a:extLst>
            <a:ext uri="{FF2B5EF4-FFF2-40B4-BE49-F238E27FC236}">
              <a16:creationId xmlns:a16="http://schemas.microsoft.com/office/drawing/2014/main" id="{CBFA04AA-0AAA-4C3C-880E-0B98682BCB9C}"/>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0" name="TextBox 99">
          <a:extLst>
            <a:ext uri="{FF2B5EF4-FFF2-40B4-BE49-F238E27FC236}">
              <a16:creationId xmlns:a16="http://schemas.microsoft.com/office/drawing/2014/main" id="{3398B307-E2DF-4D9A-B61B-28A314CA9557}"/>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1" name="TextBox 100">
          <a:extLst>
            <a:ext uri="{FF2B5EF4-FFF2-40B4-BE49-F238E27FC236}">
              <a16:creationId xmlns:a16="http://schemas.microsoft.com/office/drawing/2014/main" id="{6B018272-4662-49A6-9C43-50770E4C0959}"/>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2" name="TextBox 101">
          <a:extLst>
            <a:ext uri="{FF2B5EF4-FFF2-40B4-BE49-F238E27FC236}">
              <a16:creationId xmlns:a16="http://schemas.microsoft.com/office/drawing/2014/main" id="{72DF7684-CFA6-474A-9CC8-EE704C3E6708}"/>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3" name="TextBox 102">
          <a:extLst>
            <a:ext uri="{FF2B5EF4-FFF2-40B4-BE49-F238E27FC236}">
              <a16:creationId xmlns:a16="http://schemas.microsoft.com/office/drawing/2014/main" id="{60CE587F-9F76-48B4-A445-B8A1C92C309E}"/>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4" name="TextBox 103">
          <a:extLst>
            <a:ext uri="{FF2B5EF4-FFF2-40B4-BE49-F238E27FC236}">
              <a16:creationId xmlns:a16="http://schemas.microsoft.com/office/drawing/2014/main" id="{5730F664-C23E-4EC1-A932-B3AD8A4A80CA}"/>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5" name="TextBox 104">
          <a:extLst>
            <a:ext uri="{FF2B5EF4-FFF2-40B4-BE49-F238E27FC236}">
              <a16:creationId xmlns:a16="http://schemas.microsoft.com/office/drawing/2014/main" id="{1AA9E679-C694-4673-A418-68F6D3C7D998}"/>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6" name="TextBox 105">
          <a:extLst>
            <a:ext uri="{FF2B5EF4-FFF2-40B4-BE49-F238E27FC236}">
              <a16:creationId xmlns:a16="http://schemas.microsoft.com/office/drawing/2014/main" id="{AA2C45F8-94FF-482E-8979-B6D36DF9F736}"/>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7" name="TextBox 106">
          <a:extLst>
            <a:ext uri="{FF2B5EF4-FFF2-40B4-BE49-F238E27FC236}">
              <a16:creationId xmlns:a16="http://schemas.microsoft.com/office/drawing/2014/main" id="{818EECDE-DDC0-4AB2-A4EC-3CA6EAB18FF1}"/>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8" name="TextBox 107">
          <a:extLst>
            <a:ext uri="{FF2B5EF4-FFF2-40B4-BE49-F238E27FC236}">
              <a16:creationId xmlns:a16="http://schemas.microsoft.com/office/drawing/2014/main" id="{26AB6959-5E1D-4C4C-A18B-8957EB647590}"/>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9" name="TextBox 108">
          <a:extLst>
            <a:ext uri="{FF2B5EF4-FFF2-40B4-BE49-F238E27FC236}">
              <a16:creationId xmlns:a16="http://schemas.microsoft.com/office/drawing/2014/main" id="{888E45CB-EC33-4BAD-A50C-CD39C5A46B8B}"/>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0" name="TextBox 109">
          <a:extLst>
            <a:ext uri="{FF2B5EF4-FFF2-40B4-BE49-F238E27FC236}">
              <a16:creationId xmlns:a16="http://schemas.microsoft.com/office/drawing/2014/main" id="{494B0612-44DD-44B4-8C07-E91926F59591}"/>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1" name="TextBox 110">
          <a:extLst>
            <a:ext uri="{FF2B5EF4-FFF2-40B4-BE49-F238E27FC236}">
              <a16:creationId xmlns:a16="http://schemas.microsoft.com/office/drawing/2014/main" id="{83CABAC2-54D2-4626-A783-24E92B527413}"/>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2" name="TextBox 111">
          <a:extLst>
            <a:ext uri="{FF2B5EF4-FFF2-40B4-BE49-F238E27FC236}">
              <a16:creationId xmlns:a16="http://schemas.microsoft.com/office/drawing/2014/main" id="{26AED19E-AD39-462C-970B-9391006B3B80}"/>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3" name="TextBox 112">
          <a:extLst>
            <a:ext uri="{FF2B5EF4-FFF2-40B4-BE49-F238E27FC236}">
              <a16:creationId xmlns:a16="http://schemas.microsoft.com/office/drawing/2014/main" id="{052B583F-3D7E-485D-BD90-33A1CE05DD23}"/>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4" name="TextBox 113">
          <a:extLst>
            <a:ext uri="{FF2B5EF4-FFF2-40B4-BE49-F238E27FC236}">
              <a16:creationId xmlns:a16="http://schemas.microsoft.com/office/drawing/2014/main" id="{806F543B-FD10-44DE-9278-5D9069E2F202}"/>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5" name="TextBox 114">
          <a:extLst>
            <a:ext uri="{FF2B5EF4-FFF2-40B4-BE49-F238E27FC236}">
              <a16:creationId xmlns:a16="http://schemas.microsoft.com/office/drawing/2014/main" id="{BE4E1972-2A2E-487C-9D13-7457BE9B501C}"/>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6" name="TextBox 115">
          <a:extLst>
            <a:ext uri="{FF2B5EF4-FFF2-40B4-BE49-F238E27FC236}">
              <a16:creationId xmlns:a16="http://schemas.microsoft.com/office/drawing/2014/main" id="{F54821BA-405D-4F13-A2A3-241F7357FDD4}"/>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7" name="TextBox 116">
          <a:extLst>
            <a:ext uri="{FF2B5EF4-FFF2-40B4-BE49-F238E27FC236}">
              <a16:creationId xmlns:a16="http://schemas.microsoft.com/office/drawing/2014/main" id="{B8864A10-8EC3-4D8F-AC92-BA82F640EAD1}"/>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8" name="TextBox 117">
          <a:extLst>
            <a:ext uri="{FF2B5EF4-FFF2-40B4-BE49-F238E27FC236}">
              <a16:creationId xmlns:a16="http://schemas.microsoft.com/office/drawing/2014/main" id="{E820CCA8-A056-4A78-8116-3CD40EC1C982}"/>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9" name="TextBox 118">
          <a:extLst>
            <a:ext uri="{FF2B5EF4-FFF2-40B4-BE49-F238E27FC236}">
              <a16:creationId xmlns:a16="http://schemas.microsoft.com/office/drawing/2014/main" id="{40FD3351-34BB-4E3A-867D-A3B809CDFA27}"/>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0" name="TextBox 119">
          <a:extLst>
            <a:ext uri="{FF2B5EF4-FFF2-40B4-BE49-F238E27FC236}">
              <a16:creationId xmlns:a16="http://schemas.microsoft.com/office/drawing/2014/main" id="{5E3B5266-A2B7-4455-8A07-174CFA51FD17}"/>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1" name="TextBox 120">
          <a:extLst>
            <a:ext uri="{FF2B5EF4-FFF2-40B4-BE49-F238E27FC236}">
              <a16:creationId xmlns:a16="http://schemas.microsoft.com/office/drawing/2014/main" id="{99395D62-C064-4D9E-B519-F2942B709161}"/>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2" name="TextBox 121">
          <a:extLst>
            <a:ext uri="{FF2B5EF4-FFF2-40B4-BE49-F238E27FC236}">
              <a16:creationId xmlns:a16="http://schemas.microsoft.com/office/drawing/2014/main" id="{EB1FF242-827E-4C56-ADAA-7D869F1C229F}"/>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3" name="TextBox 122">
          <a:extLst>
            <a:ext uri="{FF2B5EF4-FFF2-40B4-BE49-F238E27FC236}">
              <a16:creationId xmlns:a16="http://schemas.microsoft.com/office/drawing/2014/main" id="{3543C94C-3B78-4362-98EB-3A5EB05BAE02}"/>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4" name="TextBox 123">
          <a:extLst>
            <a:ext uri="{FF2B5EF4-FFF2-40B4-BE49-F238E27FC236}">
              <a16:creationId xmlns:a16="http://schemas.microsoft.com/office/drawing/2014/main" id="{F39F629E-BB5B-4C2A-AEF8-7ED2230D5F7A}"/>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5" name="TextBox 124">
          <a:extLst>
            <a:ext uri="{FF2B5EF4-FFF2-40B4-BE49-F238E27FC236}">
              <a16:creationId xmlns:a16="http://schemas.microsoft.com/office/drawing/2014/main" id="{4B899743-109A-4607-A8E5-5361DB7E577F}"/>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6" name="TextBox 125">
          <a:extLst>
            <a:ext uri="{FF2B5EF4-FFF2-40B4-BE49-F238E27FC236}">
              <a16:creationId xmlns:a16="http://schemas.microsoft.com/office/drawing/2014/main" id="{6DE9383E-928F-483D-B768-8A9D4F6664F7}"/>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7" name="TextBox 126">
          <a:extLst>
            <a:ext uri="{FF2B5EF4-FFF2-40B4-BE49-F238E27FC236}">
              <a16:creationId xmlns:a16="http://schemas.microsoft.com/office/drawing/2014/main" id="{F73EC40C-97F0-4E1A-BCCF-845EC4A1D474}"/>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8" name="TextBox 127">
          <a:extLst>
            <a:ext uri="{FF2B5EF4-FFF2-40B4-BE49-F238E27FC236}">
              <a16:creationId xmlns:a16="http://schemas.microsoft.com/office/drawing/2014/main" id="{682DD0C4-8663-4130-B816-9252A24C9F4B}"/>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9" name="TextBox 128">
          <a:extLst>
            <a:ext uri="{FF2B5EF4-FFF2-40B4-BE49-F238E27FC236}">
              <a16:creationId xmlns:a16="http://schemas.microsoft.com/office/drawing/2014/main" id="{2F7C6456-E563-4ED0-99ED-81AE9AC11153}"/>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30" name="TextBox 129">
          <a:extLst>
            <a:ext uri="{FF2B5EF4-FFF2-40B4-BE49-F238E27FC236}">
              <a16:creationId xmlns:a16="http://schemas.microsoft.com/office/drawing/2014/main" id="{EE7A6F3A-39A7-4B6B-A151-E7F4DA8AEF9E}"/>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1" name="TextBox 130">
          <a:extLst>
            <a:ext uri="{FF2B5EF4-FFF2-40B4-BE49-F238E27FC236}">
              <a16:creationId xmlns:a16="http://schemas.microsoft.com/office/drawing/2014/main" id="{C3550FEE-BB4C-4327-B23C-92FB9BBD053A}"/>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32" name="TextBox 131">
          <a:extLst>
            <a:ext uri="{FF2B5EF4-FFF2-40B4-BE49-F238E27FC236}">
              <a16:creationId xmlns:a16="http://schemas.microsoft.com/office/drawing/2014/main" id="{731AD2E6-058A-4A24-BDE0-285414C45AA3}"/>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4" name="TextBox 133">
          <a:extLst>
            <a:ext uri="{FF2B5EF4-FFF2-40B4-BE49-F238E27FC236}">
              <a16:creationId xmlns:a16="http://schemas.microsoft.com/office/drawing/2014/main" id="{91DCEE4D-32B0-415E-870E-F540F0B7D8CF}"/>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35" name="TextBox 134">
          <a:extLst>
            <a:ext uri="{FF2B5EF4-FFF2-40B4-BE49-F238E27FC236}">
              <a16:creationId xmlns:a16="http://schemas.microsoft.com/office/drawing/2014/main" id="{BDF7126C-43AC-4120-8538-0A552D106B9A}"/>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6" name="TextBox 135">
          <a:extLst>
            <a:ext uri="{FF2B5EF4-FFF2-40B4-BE49-F238E27FC236}">
              <a16:creationId xmlns:a16="http://schemas.microsoft.com/office/drawing/2014/main" id="{AA5245DF-29F7-4AED-9E63-2172DDA977C3}"/>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37" name="TextBox 136">
          <a:extLst>
            <a:ext uri="{FF2B5EF4-FFF2-40B4-BE49-F238E27FC236}">
              <a16:creationId xmlns:a16="http://schemas.microsoft.com/office/drawing/2014/main" id="{60F1BC06-3350-4FA3-974E-EBE64CDCFB72}"/>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8" name="TextBox 137">
          <a:extLst>
            <a:ext uri="{FF2B5EF4-FFF2-40B4-BE49-F238E27FC236}">
              <a16:creationId xmlns:a16="http://schemas.microsoft.com/office/drawing/2014/main" id="{3C681D9F-DE2F-499C-AD5B-F8855BA111DF}"/>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39" name="TextBox 138">
          <a:extLst>
            <a:ext uri="{FF2B5EF4-FFF2-40B4-BE49-F238E27FC236}">
              <a16:creationId xmlns:a16="http://schemas.microsoft.com/office/drawing/2014/main" id="{C4BB3D05-9BED-4854-B638-32E00B3E9F5F}"/>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40" name="TextBox 139">
          <a:extLst>
            <a:ext uri="{FF2B5EF4-FFF2-40B4-BE49-F238E27FC236}">
              <a16:creationId xmlns:a16="http://schemas.microsoft.com/office/drawing/2014/main" id="{1C9E8348-D68F-4899-97AC-869CF13B4E90}"/>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1" name="TextBox 140">
          <a:extLst>
            <a:ext uri="{FF2B5EF4-FFF2-40B4-BE49-F238E27FC236}">
              <a16:creationId xmlns:a16="http://schemas.microsoft.com/office/drawing/2014/main" id="{FA1957FB-ED37-4649-AB7C-25CEE6DE9859}"/>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42" name="TextBox 141">
          <a:extLst>
            <a:ext uri="{FF2B5EF4-FFF2-40B4-BE49-F238E27FC236}">
              <a16:creationId xmlns:a16="http://schemas.microsoft.com/office/drawing/2014/main" id="{F9373F36-BA64-46F3-8A38-5AF534BA429B}"/>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33" name="Picture 10" descr="VIAGS xanh">
          <a:hlinkClick xmlns:r="http://schemas.openxmlformats.org/officeDocument/2006/relationships" r:id="rId2"/>
          <a:extLst>
            <a:ext uri="{FF2B5EF4-FFF2-40B4-BE49-F238E27FC236}">
              <a16:creationId xmlns:a16="http://schemas.microsoft.com/office/drawing/2014/main" id="{ED206B36-A826-4962-A74F-EED8E1525DCA}"/>
            </a:ext>
            <a:ext uri="{147F2762-F138-4A5C-976F-8EAC2B608ADB}">
              <a16:predDERef xmlns:a16="http://schemas.microsoft.com/office/drawing/2014/main" pred="{F9373F36-BA64-46F3-8A38-5AF534BA429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43" name="Picture 4" descr="VIAGS xanh">
          <a:extLst>
            <a:ext uri="{FF2B5EF4-FFF2-40B4-BE49-F238E27FC236}">
              <a16:creationId xmlns:a16="http://schemas.microsoft.com/office/drawing/2014/main" id="{1067D50B-FA9F-4A75-83D5-41B0CBCD8AF2}"/>
            </a:ext>
            <a:ext uri="{147F2762-F138-4A5C-976F-8EAC2B608ADB}">
              <a16:predDERef xmlns:a16="http://schemas.microsoft.com/office/drawing/2014/main" pred="{ED206B36-A826-4962-A74F-EED8E1525DC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44" name="Picture 27" descr="VIAGS xanh">
          <a:extLst>
            <a:ext uri="{FF2B5EF4-FFF2-40B4-BE49-F238E27FC236}">
              <a16:creationId xmlns:a16="http://schemas.microsoft.com/office/drawing/2014/main" id="{2229CDB4-BF1E-4E9C-A572-D3154AA79AF9}"/>
            </a:ext>
            <a:ext uri="{147F2762-F138-4A5C-976F-8EAC2B608ADB}">
              <a16:predDERef xmlns:a16="http://schemas.microsoft.com/office/drawing/2014/main" pred="{1067D50B-FA9F-4A75-83D5-41B0CBCD8AF2}"/>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45" name="TextBox 4">
          <a:extLst>
            <a:ext uri="{FF2B5EF4-FFF2-40B4-BE49-F238E27FC236}">
              <a16:creationId xmlns:a16="http://schemas.microsoft.com/office/drawing/2014/main" id="{C0029A0A-FFD3-47D3-A311-FDB6B3AD4B27}"/>
            </a:ext>
            <a:ext uri="{147F2762-F138-4A5C-976F-8EAC2B608ADB}">
              <a16:predDERef xmlns:a16="http://schemas.microsoft.com/office/drawing/2014/main" pred="{2229CDB4-BF1E-4E9C-A572-D3154AA79AF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6" name="TextBox 7">
          <a:extLst>
            <a:ext uri="{FF2B5EF4-FFF2-40B4-BE49-F238E27FC236}">
              <a16:creationId xmlns:a16="http://schemas.microsoft.com/office/drawing/2014/main" id="{75519B67-1764-4C1E-B6A7-7E7636946CCA}"/>
            </a:ext>
            <a:ext uri="{147F2762-F138-4A5C-976F-8EAC2B608ADB}">
              <a16:predDERef xmlns:a16="http://schemas.microsoft.com/office/drawing/2014/main" pred="{C0029A0A-FFD3-47D3-A311-FDB6B3AD4B2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7" name="TextBox 8">
          <a:extLst>
            <a:ext uri="{FF2B5EF4-FFF2-40B4-BE49-F238E27FC236}">
              <a16:creationId xmlns:a16="http://schemas.microsoft.com/office/drawing/2014/main" id="{1CBB1993-F4CC-4088-8BA0-AB139CF237DA}"/>
            </a:ext>
            <a:ext uri="{147F2762-F138-4A5C-976F-8EAC2B608ADB}">
              <a16:predDERef xmlns:a16="http://schemas.microsoft.com/office/drawing/2014/main" pred="{75519B67-1764-4C1E-B6A7-7E7636946CC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8" name="TextBox 4">
          <a:extLst>
            <a:ext uri="{FF2B5EF4-FFF2-40B4-BE49-F238E27FC236}">
              <a16:creationId xmlns:a16="http://schemas.microsoft.com/office/drawing/2014/main" id="{F83CD79C-A1A5-4CC8-9B6F-1616349694CD}"/>
            </a:ext>
            <a:ext uri="{147F2762-F138-4A5C-976F-8EAC2B608ADB}">
              <a16:predDERef xmlns:a16="http://schemas.microsoft.com/office/drawing/2014/main" pred="{1CBB1993-F4CC-4088-8BA0-AB139CF237D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9" name="TextBox 7">
          <a:extLst>
            <a:ext uri="{FF2B5EF4-FFF2-40B4-BE49-F238E27FC236}">
              <a16:creationId xmlns:a16="http://schemas.microsoft.com/office/drawing/2014/main" id="{FD42BA27-BE2A-42B2-8ED6-26E8BF72D2A4}"/>
            </a:ext>
            <a:ext uri="{147F2762-F138-4A5C-976F-8EAC2B608ADB}">
              <a16:predDERef xmlns:a16="http://schemas.microsoft.com/office/drawing/2014/main" pred="{F83CD79C-A1A5-4CC8-9B6F-1616349694C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0" name="TextBox 8">
          <a:extLst>
            <a:ext uri="{FF2B5EF4-FFF2-40B4-BE49-F238E27FC236}">
              <a16:creationId xmlns:a16="http://schemas.microsoft.com/office/drawing/2014/main" id="{584452DD-4351-426D-A46B-F2D1609EBBBE}"/>
            </a:ext>
            <a:ext uri="{147F2762-F138-4A5C-976F-8EAC2B608ADB}">
              <a16:predDERef xmlns:a16="http://schemas.microsoft.com/office/drawing/2014/main" pred="{FD42BA27-BE2A-42B2-8ED6-26E8BF72D2A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51" name="Picture 10" descr="VIAGS xanh">
          <a:hlinkClick xmlns:r="http://schemas.openxmlformats.org/officeDocument/2006/relationships" r:id="rId2"/>
          <a:extLst>
            <a:ext uri="{FF2B5EF4-FFF2-40B4-BE49-F238E27FC236}">
              <a16:creationId xmlns:a16="http://schemas.microsoft.com/office/drawing/2014/main" id="{5FCA124A-D9F8-4FC6-A737-C6F13316B85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52" name="Picture 4" descr="VIAGS xanh">
          <a:extLst>
            <a:ext uri="{FF2B5EF4-FFF2-40B4-BE49-F238E27FC236}">
              <a16:creationId xmlns:a16="http://schemas.microsoft.com/office/drawing/2014/main" id="{0844A5DC-3B17-4B8B-85B3-D6D332E668C5}"/>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53" name="Picture 152" descr="VIAGS xanh">
          <a:extLst>
            <a:ext uri="{FF2B5EF4-FFF2-40B4-BE49-F238E27FC236}">
              <a16:creationId xmlns:a16="http://schemas.microsoft.com/office/drawing/2014/main" id="{4540CC08-ED5B-4FB8-9D37-FB4B0D232582}"/>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54" name="TextBox 4">
          <a:extLst>
            <a:ext uri="{FF2B5EF4-FFF2-40B4-BE49-F238E27FC236}">
              <a16:creationId xmlns:a16="http://schemas.microsoft.com/office/drawing/2014/main" id="{4B17B039-D041-4BCF-B54A-234D24503B9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5" name="TextBox 7">
          <a:extLst>
            <a:ext uri="{FF2B5EF4-FFF2-40B4-BE49-F238E27FC236}">
              <a16:creationId xmlns:a16="http://schemas.microsoft.com/office/drawing/2014/main" id="{FD904299-2552-45D6-83D4-11588519F89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6" name="TextBox 8">
          <a:extLst>
            <a:ext uri="{FF2B5EF4-FFF2-40B4-BE49-F238E27FC236}">
              <a16:creationId xmlns:a16="http://schemas.microsoft.com/office/drawing/2014/main" id="{B2F5943A-1830-45ED-80CA-547811A3CD0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7" name="TextBox 4">
          <a:extLst>
            <a:ext uri="{FF2B5EF4-FFF2-40B4-BE49-F238E27FC236}">
              <a16:creationId xmlns:a16="http://schemas.microsoft.com/office/drawing/2014/main" id="{AC9F0011-AB8C-4425-9539-CFABCD036D3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8" name="TextBox 7">
          <a:extLst>
            <a:ext uri="{FF2B5EF4-FFF2-40B4-BE49-F238E27FC236}">
              <a16:creationId xmlns:a16="http://schemas.microsoft.com/office/drawing/2014/main" id="{8F617C9C-4394-4EB4-943C-A323BEBDD5B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9" name="TextBox 8">
          <a:extLst>
            <a:ext uri="{FF2B5EF4-FFF2-40B4-BE49-F238E27FC236}">
              <a16:creationId xmlns:a16="http://schemas.microsoft.com/office/drawing/2014/main" id="{CAB4A856-5A0E-4323-BFAE-29BBED51684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945F066C-80F2-46D9-A48D-B6063C91CC5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7">
          <a:extLst>
            <a:ext uri="{FF2B5EF4-FFF2-40B4-BE49-F238E27FC236}">
              <a16:creationId xmlns:a16="http://schemas.microsoft.com/office/drawing/2014/main" id="{A2F361C9-1DFE-42B7-A6B9-50B6C7789C8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0" name="TextBox 8">
          <a:extLst>
            <a:ext uri="{FF2B5EF4-FFF2-40B4-BE49-F238E27FC236}">
              <a16:creationId xmlns:a16="http://schemas.microsoft.com/office/drawing/2014/main" id="{9EE3FBC2-69A4-470F-9E92-7500F4B98E7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1" name="TextBox 160">
          <a:extLst>
            <a:ext uri="{FF2B5EF4-FFF2-40B4-BE49-F238E27FC236}">
              <a16:creationId xmlns:a16="http://schemas.microsoft.com/office/drawing/2014/main" id="{BFB80607-B49C-4E16-99B9-54CD6B34E8F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2" name="TextBox 7">
          <a:extLst>
            <a:ext uri="{FF2B5EF4-FFF2-40B4-BE49-F238E27FC236}">
              <a16:creationId xmlns:a16="http://schemas.microsoft.com/office/drawing/2014/main" id="{B8B86B51-8BB6-472F-A152-51616EA2D80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3" name="TextBox 8">
          <a:extLst>
            <a:ext uri="{FF2B5EF4-FFF2-40B4-BE49-F238E27FC236}">
              <a16:creationId xmlns:a16="http://schemas.microsoft.com/office/drawing/2014/main" id="{59B53046-7DB9-49C5-BC37-6350124295F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4" name="TextBox 4">
          <a:extLst>
            <a:ext uri="{FF2B5EF4-FFF2-40B4-BE49-F238E27FC236}">
              <a16:creationId xmlns:a16="http://schemas.microsoft.com/office/drawing/2014/main" id="{188BD2F1-B757-4300-AD2D-7B92F772500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5" name="TextBox 7">
          <a:extLst>
            <a:ext uri="{FF2B5EF4-FFF2-40B4-BE49-F238E27FC236}">
              <a16:creationId xmlns:a16="http://schemas.microsoft.com/office/drawing/2014/main" id="{5E1466EA-B3AA-4E71-94B6-B0F5E3C3B5A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6" name="TextBox 8">
          <a:extLst>
            <a:ext uri="{FF2B5EF4-FFF2-40B4-BE49-F238E27FC236}">
              <a16:creationId xmlns:a16="http://schemas.microsoft.com/office/drawing/2014/main" id="{8B9F87AB-191F-4F50-AC9D-4976909C9DA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7" name="TextBox 4">
          <a:extLst>
            <a:ext uri="{FF2B5EF4-FFF2-40B4-BE49-F238E27FC236}">
              <a16:creationId xmlns:a16="http://schemas.microsoft.com/office/drawing/2014/main" id="{2C570DED-FDAC-4DD8-8547-163D730EB06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8" name="TextBox 7">
          <a:extLst>
            <a:ext uri="{FF2B5EF4-FFF2-40B4-BE49-F238E27FC236}">
              <a16:creationId xmlns:a16="http://schemas.microsoft.com/office/drawing/2014/main" id="{48E4EC18-20A9-4F5F-A4C7-51CE0B25C91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9" name="TextBox 8">
          <a:extLst>
            <a:ext uri="{FF2B5EF4-FFF2-40B4-BE49-F238E27FC236}">
              <a16:creationId xmlns:a16="http://schemas.microsoft.com/office/drawing/2014/main" id="{4A217632-1A06-4D00-9A9A-B0A3E2F49A9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0" name="TextBox 4">
          <a:extLst>
            <a:ext uri="{FF2B5EF4-FFF2-40B4-BE49-F238E27FC236}">
              <a16:creationId xmlns:a16="http://schemas.microsoft.com/office/drawing/2014/main" id="{211FBD44-474C-4541-B695-7669D86A456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1" name="TextBox 7">
          <a:extLst>
            <a:ext uri="{FF2B5EF4-FFF2-40B4-BE49-F238E27FC236}">
              <a16:creationId xmlns:a16="http://schemas.microsoft.com/office/drawing/2014/main" id="{46D2DF5B-B3B8-4C3F-AB34-9C5264EFBCC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2" name="TextBox 8">
          <a:extLst>
            <a:ext uri="{FF2B5EF4-FFF2-40B4-BE49-F238E27FC236}">
              <a16:creationId xmlns:a16="http://schemas.microsoft.com/office/drawing/2014/main" id="{4A26AF04-0181-4262-A8BD-BE34E6A2963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3" name="TextBox 172">
          <a:extLst>
            <a:ext uri="{FF2B5EF4-FFF2-40B4-BE49-F238E27FC236}">
              <a16:creationId xmlns:a16="http://schemas.microsoft.com/office/drawing/2014/main" id="{E230F6C9-D41E-4FAE-B807-60537A67D9C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4" name="TextBox 173">
          <a:extLst>
            <a:ext uri="{FF2B5EF4-FFF2-40B4-BE49-F238E27FC236}">
              <a16:creationId xmlns:a16="http://schemas.microsoft.com/office/drawing/2014/main" id="{356276F9-7C52-4F79-B46E-1628BF3C48F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5" name="TextBox 174">
          <a:extLst>
            <a:ext uri="{FF2B5EF4-FFF2-40B4-BE49-F238E27FC236}">
              <a16:creationId xmlns:a16="http://schemas.microsoft.com/office/drawing/2014/main" id="{5379910A-C64D-4785-9A5E-B711A181956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0E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0E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0E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0E00-000008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0E00-000009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0E00-00000A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0E00-00000B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00000000-0008-0000-0E00-00000C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00000000-0008-0000-0E00-00000D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00000000-0008-0000-0E00-00000E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00000000-0008-0000-0E00-00000F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00000000-0008-0000-0E00-000010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00000000-0008-0000-0E00-000011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8" name="TextBox 17">
          <a:extLst>
            <a:ext uri="{FF2B5EF4-FFF2-40B4-BE49-F238E27FC236}">
              <a16:creationId xmlns:a16="http://schemas.microsoft.com/office/drawing/2014/main" id="{00000000-0008-0000-0E00-000012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9" name="TextBox 18">
          <a:extLst>
            <a:ext uri="{FF2B5EF4-FFF2-40B4-BE49-F238E27FC236}">
              <a16:creationId xmlns:a16="http://schemas.microsoft.com/office/drawing/2014/main" id="{00000000-0008-0000-0E00-000013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0" name="TextBox 4">
          <a:extLst>
            <a:ext uri="{FF2B5EF4-FFF2-40B4-BE49-F238E27FC236}">
              <a16:creationId xmlns:a16="http://schemas.microsoft.com/office/drawing/2014/main" id="{00000000-0008-0000-0E00-00001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7">
          <a:extLst>
            <a:ext uri="{FF2B5EF4-FFF2-40B4-BE49-F238E27FC236}">
              <a16:creationId xmlns:a16="http://schemas.microsoft.com/office/drawing/2014/main" id="{00000000-0008-0000-0E00-00001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8">
          <a:extLst>
            <a:ext uri="{FF2B5EF4-FFF2-40B4-BE49-F238E27FC236}">
              <a16:creationId xmlns:a16="http://schemas.microsoft.com/office/drawing/2014/main" id="{00000000-0008-0000-0E00-00001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4">
          <a:extLst>
            <a:ext uri="{FF2B5EF4-FFF2-40B4-BE49-F238E27FC236}">
              <a16:creationId xmlns:a16="http://schemas.microsoft.com/office/drawing/2014/main" id="{00000000-0008-0000-0E00-000017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7">
          <a:extLst>
            <a:ext uri="{FF2B5EF4-FFF2-40B4-BE49-F238E27FC236}">
              <a16:creationId xmlns:a16="http://schemas.microsoft.com/office/drawing/2014/main" id="{00000000-0008-0000-0E00-00001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8">
          <a:extLst>
            <a:ext uri="{FF2B5EF4-FFF2-40B4-BE49-F238E27FC236}">
              <a16:creationId xmlns:a16="http://schemas.microsoft.com/office/drawing/2014/main" id="{00000000-0008-0000-0E00-00001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0A8BA7D5-2D5C-476D-BEE1-A145B2184520}"/>
            </a:ext>
            <a:ext uri="{147F2762-F138-4A5C-976F-8EAC2B608ADB}">
              <a16:predDERef xmlns:a16="http://schemas.microsoft.com/office/drawing/2014/main" pred="{00000000-0008-0000-0E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26" name="Picture 4" descr="VIAGS xanh">
          <a:extLst>
            <a:ext uri="{FF2B5EF4-FFF2-40B4-BE49-F238E27FC236}">
              <a16:creationId xmlns:a16="http://schemas.microsoft.com/office/drawing/2014/main" id="{25F31B3E-0DC1-43D4-B46D-02BFE21349BB}"/>
            </a:ext>
            <a:ext uri="{147F2762-F138-4A5C-976F-8EAC2B608ADB}">
              <a16:predDERef xmlns:a16="http://schemas.microsoft.com/office/drawing/2014/main" pred="{0A8BA7D5-2D5C-476D-BEE1-A145B218452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7" name="Picture 27" descr="VIAGS xanh">
          <a:extLst>
            <a:ext uri="{FF2B5EF4-FFF2-40B4-BE49-F238E27FC236}">
              <a16:creationId xmlns:a16="http://schemas.microsoft.com/office/drawing/2014/main" id="{5F628E5D-A15C-44C3-9968-10747F72454C}"/>
            </a:ext>
            <a:ext uri="{147F2762-F138-4A5C-976F-8EAC2B608ADB}">
              <a16:predDERef xmlns:a16="http://schemas.microsoft.com/office/drawing/2014/main" pred="{25F31B3E-0DC1-43D4-B46D-02BFE21349B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8" name="TextBox 4">
          <a:extLst>
            <a:ext uri="{FF2B5EF4-FFF2-40B4-BE49-F238E27FC236}">
              <a16:creationId xmlns:a16="http://schemas.microsoft.com/office/drawing/2014/main" id="{38E92FB8-F35F-4A56-B663-E7ABB279C068}"/>
            </a:ext>
            <a:ext uri="{147F2762-F138-4A5C-976F-8EAC2B608ADB}">
              <a16:predDERef xmlns:a16="http://schemas.microsoft.com/office/drawing/2014/main" pred="{5F628E5D-A15C-44C3-9968-10747F72454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7323566D-7B60-4410-AF94-4243E021ABB7}"/>
            </a:ext>
            <a:ext uri="{147F2762-F138-4A5C-976F-8EAC2B608ADB}">
              <a16:predDERef xmlns:a16="http://schemas.microsoft.com/office/drawing/2014/main" pred="{38E92FB8-F35F-4A56-B663-E7ABB279C06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734D2AFB-A629-4BD3-8049-8BE0A211F0AA}"/>
            </a:ext>
            <a:ext uri="{147F2762-F138-4A5C-976F-8EAC2B608ADB}">
              <a16:predDERef xmlns:a16="http://schemas.microsoft.com/office/drawing/2014/main" pred="{7323566D-7B60-4410-AF94-4243E021ABB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780539CD-A1DC-4A1C-8FDE-FC018690921F}"/>
            </a:ext>
            <a:ext uri="{147F2762-F138-4A5C-976F-8EAC2B608ADB}">
              <a16:predDERef xmlns:a16="http://schemas.microsoft.com/office/drawing/2014/main" pred="{734D2AFB-A629-4BD3-8049-8BE0A211F0A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DBE38FEC-D45F-4C3B-AB7A-E99328E8A5B2}"/>
            </a:ext>
            <a:ext uri="{147F2762-F138-4A5C-976F-8EAC2B608ADB}">
              <a16:predDERef xmlns:a16="http://schemas.microsoft.com/office/drawing/2014/main" pred="{780539CD-A1DC-4A1C-8FDE-FC018690921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280E3B4D-6A00-4AA4-9C9A-D64F1D498EBA}"/>
            </a:ext>
            <a:ext uri="{147F2762-F138-4A5C-976F-8EAC2B608ADB}">
              <a16:predDERef xmlns:a16="http://schemas.microsoft.com/office/drawing/2014/main" pred="{DBE38FEC-D45F-4C3B-AB7A-E99328E8A5B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34" name="Picture 10" descr="VIAGS xanh">
          <a:hlinkClick xmlns:r="http://schemas.openxmlformats.org/officeDocument/2006/relationships" r:id="rId1"/>
          <a:extLst>
            <a:ext uri="{FF2B5EF4-FFF2-40B4-BE49-F238E27FC236}">
              <a16:creationId xmlns:a16="http://schemas.microsoft.com/office/drawing/2014/main" id="{A8606DE6-E5A9-4398-A632-7327A13549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35" name="Picture 4" descr="VIAGS xanh">
          <a:extLst>
            <a:ext uri="{FF2B5EF4-FFF2-40B4-BE49-F238E27FC236}">
              <a16:creationId xmlns:a16="http://schemas.microsoft.com/office/drawing/2014/main" id="{442E85CC-7969-4614-91C0-82E337AC7F99}"/>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36" name="Picture 35" descr="VIAGS xanh">
          <a:extLst>
            <a:ext uri="{FF2B5EF4-FFF2-40B4-BE49-F238E27FC236}">
              <a16:creationId xmlns:a16="http://schemas.microsoft.com/office/drawing/2014/main" id="{E0BFE1A7-9DA8-47B5-96D8-FE06885F7A5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74DD5F6F-65FF-46E5-B45D-0FDFBC2F92B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EADC5169-6789-4E5F-8990-81A2E2F6871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2DA1F057-0AE2-49AB-824B-B8A7A8C82E4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D1233805-05A9-4AF0-B3B6-E81B1A7759C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453C230F-4E74-4126-99E9-2EFCFF0C3A2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30E8217A-16AB-465D-AA15-376DB014E53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D0EFB7CB-5729-4753-898C-EF4690713D6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 name="TextBox 7">
          <a:extLst>
            <a:ext uri="{FF2B5EF4-FFF2-40B4-BE49-F238E27FC236}">
              <a16:creationId xmlns:a16="http://schemas.microsoft.com/office/drawing/2014/main" id="{DD03C3DD-C472-40DA-93BE-F9F4E2A5881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8">
          <a:extLst>
            <a:ext uri="{FF2B5EF4-FFF2-40B4-BE49-F238E27FC236}">
              <a16:creationId xmlns:a16="http://schemas.microsoft.com/office/drawing/2014/main" id="{8D505F11-83EA-4010-8CED-22067138CAF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43">
          <a:extLst>
            <a:ext uri="{FF2B5EF4-FFF2-40B4-BE49-F238E27FC236}">
              <a16:creationId xmlns:a16="http://schemas.microsoft.com/office/drawing/2014/main" id="{11F5FFE9-22D5-4BA7-8B4D-674A9A9C711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7">
          <a:extLst>
            <a:ext uri="{FF2B5EF4-FFF2-40B4-BE49-F238E27FC236}">
              <a16:creationId xmlns:a16="http://schemas.microsoft.com/office/drawing/2014/main" id="{87C0B14E-9E35-41E2-A96F-319D385603E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8">
          <a:extLst>
            <a:ext uri="{FF2B5EF4-FFF2-40B4-BE49-F238E27FC236}">
              <a16:creationId xmlns:a16="http://schemas.microsoft.com/office/drawing/2014/main" id="{2A126DDF-59A9-4308-8547-E68881920E4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4">
          <a:extLst>
            <a:ext uri="{FF2B5EF4-FFF2-40B4-BE49-F238E27FC236}">
              <a16:creationId xmlns:a16="http://schemas.microsoft.com/office/drawing/2014/main" id="{A8B3060C-6AFC-489E-A86B-9CB8A93AA9A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7">
          <a:extLst>
            <a:ext uri="{FF2B5EF4-FFF2-40B4-BE49-F238E27FC236}">
              <a16:creationId xmlns:a16="http://schemas.microsoft.com/office/drawing/2014/main" id="{DB12CF2F-4052-4561-9FB2-045384A404F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8">
          <a:extLst>
            <a:ext uri="{FF2B5EF4-FFF2-40B4-BE49-F238E27FC236}">
              <a16:creationId xmlns:a16="http://schemas.microsoft.com/office/drawing/2014/main" id="{AF6D7BFD-6B5D-4034-A06B-55D1E7718F8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
          <a:extLst>
            <a:ext uri="{FF2B5EF4-FFF2-40B4-BE49-F238E27FC236}">
              <a16:creationId xmlns:a16="http://schemas.microsoft.com/office/drawing/2014/main" id="{6FD9C608-1AA2-4DDA-860A-8599CA6DA80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7">
          <a:extLst>
            <a:ext uri="{FF2B5EF4-FFF2-40B4-BE49-F238E27FC236}">
              <a16:creationId xmlns:a16="http://schemas.microsoft.com/office/drawing/2014/main" id="{62D3C955-20A1-4966-8BEA-0A2E6E4D1EE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8">
          <a:extLst>
            <a:ext uri="{FF2B5EF4-FFF2-40B4-BE49-F238E27FC236}">
              <a16:creationId xmlns:a16="http://schemas.microsoft.com/office/drawing/2014/main" id="{9F8C12FF-D628-4988-B1CC-9723DC7D8D7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4">
          <a:extLst>
            <a:ext uri="{FF2B5EF4-FFF2-40B4-BE49-F238E27FC236}">
              <a16:creationId xmlns:a16="http://schemas.microsoft.com/office/drawing/2014/main" id="{DED8EF1E-E228-41FE-BF3F-9D366CE5FDE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7">
          <a:extLst>
            <a:ext uri="{FF2B5EF4-FFF2-40B4-BE49-F238E27FC236}">
              <a16:creationId xmlns:a16="http://schemas.microsoft.com/office/drawing/2014/main" id="{2EEDE52C-B679-4841-8426-7A64BC15FC5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8">
          <a:extLst>
            <a:ext uri="{FF2B5EF4-FFF2-40B4-BE49-F238E27FC236}">
              <a16:creationId xmlns:a16="http://schemas.microsoft.com/office/drawing/2014/main" id="{1901CD43-CFCA-4F9D-8E79-B007B1C94F5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55">
          <a:extLst>
            <a:ext uri="{FF2B5EF4-FFF2-40B4-BE49-F238E27FC236}">
              <a16:creationId xmlns:a16="http://schemas.microsoft.com/office/drawing/2014/main" id="{32163810-BB34-43B2-9388-7DA634423A7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56">
          <a:extLst>
            <a:ext uri="{FF2B5EF4-FFF2-40B4-BE49-F238E27FC236}">
              <a16:creationId xmlns:a16="http://schemas.microsoft.com/office/drawing/2014/main" id="{3EF731FB-0E15-4C56-8086-94300334412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57">
          <a:extLst>
            <a:ext uri="{FF2B5EF4-FFF2-40B4-BE49-F238E27FC236}">
              <a16:creationId xmlns:a16="http://schemas.microsoft.com/office/drawing/2014/main" id="{E7DA1E4C-902B-4F2C-AACC-031EE05ADC1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0F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0F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0F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0F00-000008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0F00-000009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0F00-00000A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0F00-00000B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00000000-0008-0000-0F00-00000C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00000000-0008-0000-0F00-00000D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00000000-0008-0000-0F00-00000E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00000000-0008-0000-0F00-00000F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00000000-0008-0000-0F00-000010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00000000-0008-0000-0F00-000011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8" name="TextBox 17">
          <a:extLst>
            <a:ext uri="{FF2B5EF4-FFF2-40B4-BE49-F238E27FC236}">
              <a16:creationId xmlns:a16="http://schemas.microsoft.com/office/drawing/2014/main" id="{00000000-0008-0000-0F00-000012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9" name="TextBox 18">
          <a:extLst>
            <a:ext uri="{FF2B5EF4-FFF2-40B4-BE49-F238E27FC236}">
              <a16:creationId xmlns:a16="http://schemas.microsoft.com/office/drawing/2014/main" id="{00000000-0008-0000-0F00-000013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0" name="TextBox 4">
          <a:extLst>
            <a:ext uri="{FF2B5EF4-FFF2-40B4-BE49-F238E27FC236}">
              <a16:creationId xmlns:a16="http://schemas.microsoft.com/office/drawing/2014/main" id="{00000000-0008-0000-0F00-00001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7">
          <a:extLst>
            <a:ext uri="{FF2B5EF4-FFF2-40B4-BE49-F238E27FC236}">
              <a16:creationId xmlns:a16="http://schemas.microsoft.com/office/drawing/2014/main" id="{00000000-0008-0000-0F00-00001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8">
          <a:extLst>
            <a:ext uri="{FF2B5EF4-FFF2-40B4-BE49-F238E27FC236}">
              <a16:creationId xmlns:a16="http://schemas.microsoft.com/office/drawing/2014/main" id="{00000000-0008-0000-0F00-00001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4">
          <a:extLst>
            <a:ext uri="{FF2B5EF4-FFF2-40B4-BE49-F238E27FC236}">
              <a16:creationId xmlns:a16="http://schemas.microsoft.com/office/drawing/2014/main" id="{00000000-0008-0000-0F00-000017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7">
          <a:extLst>
            <a:ext uri="{FF2B5EF4-FFF2-40B4-BE49-F238E27FC236}">
              <a16:creationId xmlns:a16="http://schemas.microsoft.com/office/drawing/2014/main" id="{00000000-0008-0000-0F00-00001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8">
          <a:extLst>
            <a:ext uri="{FF2B5EF4-FFF2-40B4-BE49-F238E27FC236}">
              <a16:creationId xmlns:a16="http://schemas.microsoft.com/office/drawing/2014/main" id="{00000000-0008-0000-0F00-00001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8CE9EFC4-599F-4A59-A5F2-8A7BA5408907}"/>
            </a:ext>
            <a:ext uri="{147F2762-F138-4A5C-976F-8EAC2B608ADB}">
              <a16:predDERef xmlns:a16="http://schemas.microsoft.com/office/drawing/2014/main" pred="{00000000-0008-0000-0F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26" name="Picture 4" descr="VIAGS xanh">
          <a:extLst>
            <a:ext uri="{FF2B5EF4-FFF2-40B4-BE49-F238E27FC236}">
              <a16:creationId xmlns:a16="http://schemas.microsoft.com/office/drawing/2014/main" id="{DAA61919-3199-4E1C-93E2-C8E8D2062BE3}"/>
            </a:ext>
            <a:ext uri="{147F2762-F138-4A5C-976F-8EAC2B608ADB}">
              <a16:predDERef xmlns:a16="http://schemas.microsoft.com/office/drawing/2014/main" pred="{8CE9EFC4-599F-4A59-A5F2-8A7BA540890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7" name="Picture 27" descr="VIAGS xanh">
          <a:extLst>
            <a:ext uri="{FF2B5EF4-FFF2-40B4-BE49-F238E27FC236}">
              <a16:creationId xmlns:a16="http://schemas.microsoft.com/office/drawing/2014/main" id="{C4A18967-0FB1-405F-9419-34402389B856}"/>
            </a:ext>
            <a:ext uri="{147F2762-F138-4A5C-976F-8EAC2B608ADB}">
              <a16:predDERef xmlns:a16="http://schemas.microsoft.com/office/drawing/2014/main" pred="{DAA61919-3199-4E1C-93E2-C8E8D2062BE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8" name="TextBox 4">
          <a:extLst>
            <a:ext uri="{FF2B5EF4-FFF2-40B4-BE49-F238E27FC236}">
              <a16:creationId xmlns:a16="http://schemas.microsoft.com/office/drawing/2014/main" id="{2052521B-280E-4559-B122-583109D8441F}"/>
            </a:ext>
            <a:ext uri="{147F2762-F138-4A5C-976F-8EAC2B608ADB}">
              <a16:predDERef xmlns:a16="http://schemas.microsoft.com/office/drawing/2014/main" pred="{C4A18967-0FB1-405F-9419-34402389B85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443EBCEC-38B8-46D2-AD03-1623BACA2C20}"/>
            </a:ext>
            <a:ext uri="{147F2762-F138-4A5C-976F-8EAC2B608ADB}">
              <a16:predDERef xmlns:a16="http://schemas.microsoft.com/office/drawing/2014/main" pred="{2052521B-280E-4559-B122-583109D8441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DA1B1F57-8DE7-4D4A-AE0E-AB7CFCA12A42}"/>
            </a:ext>
            <a:ext uri="{147F2762-F138-4A5C-976F-8EAC2B608ADB}">
              <a16:predDERef xmlns:a16="http://schemas.microsoft.com/office/drawing/2014/main" pred="{443EBCEC-38B8-46D2-AD03-1623BACA2C2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E10B6BE7-4D44-47C0-8495-B34B5B3F2AE9}"/>
            </a:ext>
            <a:ext uri="{147F2762-F138-4A5C-976F-8EAC2B608ADB}">
              <a16:predDERef xmlns:a16="http://schemas.microsoft.com/office/drawing/2014/main" pred="{DA1B1F57-8DE7-4D4A-AE0E-AB7CFCA12A4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4B216655-74E0-49FA-801C-B6FD4BD5F7BE}"/>
            </a:ext>
            <a:ext uri="{147F2762-F138-4A5C-976F-8EAC2B608ADB}">
              <a16:predDERef xmlns:a16="http://schemas.microsoft.com/office/drawing/2014/main" pred="{E10B6BE7-4D44-47C0-8495-B34B5B3F2AE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ABF2BF56-AA23-481F-B9C0-69693D1998B7}"/>
            </a:ext>
            <a:ext uri="{147F2762-F138-4A5C-976F-8EAC2B608ADB}">
              <a16:predDERef xmlns:a16="http://schemas.microsoft.com/office/drawing/2014/main" pred="{4B216655-74E0-49FA-801C-B6FD4BD5F7B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34" name="Picture 10" descr="VIAGS xanh">
          <a:hlinkClick xmlns:r="http://schemas.openxmlformats.org/officeDocument/2006/relationships" r:id="rId1"/>
          <a:extLst>
            <a:ext uri="{FF2B5EF4-FFF2-40B4-BE49-F238E27FC236}">
              <a16:creationId xmlns:a16="http://schemas.microsoft.com/office/drawing/2014/main" id="{A360A8D5-9EC6-4085-B2B0-C27052B63D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35" name="Picture 4" descr="VIAGS xanh">
          <a:extLst>
            <a:ext uri="{FF2B5EF4-FFF2-40B4-BE49-F238E27FC236}">
              <a16:creationId xmlns:a16="http://schemas.microsoft.com/office/drawing/2014/main" id="{EB693122-A70B-4118-8352-3FEBB9645ACB}"/>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36" name="Picture 35" descr="VIAGS xanh">
          <a:extLst>
            <a:ext uri="{FF2B5EF4-FFF2-40B4-BE49-F238E27FC236}">
              <a16:creationId xmlns:a16="http://schemas.microsoft.com/office/drawing/2014/main" id="{F5D7AD9B-7FED-4BB7-9886-873792EA479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550C463D-9599-42CA-9B8C-98B137C6AA6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FCEBC31F-D110-4282-8BDE-B057BB8F5F2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18EAFDFA-3743-400F-A655-2370FD47B09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1D59D12E-A8F6-439C-ADA2-66BBAB82924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E3915E9E-D29A-41E8-936C-858FCB36A0B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ACBAAD47-83C3-4C63-9C05-0A86C88D579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36F657A4-E9CD-458B-94AD-0714EF6285B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 name="TextBox 7">
          <a:extLst>
            <a:ext uri="{FF2B5EF4-FFF2-40B4-BE49-F238E27FC236}">
              <a16:creationId xmlns:a16="http://schemas.microsoft.com/office/drawing/2014/main" id="{D18F03E8-1CD4-4272-8F4D-1AF21D46267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8">
          <a:extLst>
            <a:ext uri="{FF2B5EF4-FFF2-40B4-BE49-F238E27FC236}">
              <a16:creationId xmlns:a16="http://schemas.microsoft.com/office/drawing/2014/main" id="{AEDC5184-4465-4A09-95F7-47ECD8CFAEC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43">
          <a:extLst>
            <a:ext uri="{FF2B5EF4-FFF2-40B4-BE49-F238E27FC236}">
              <a16:creationId xmlns:a16="http://schemas.microsoft.com/office/drawing/2014/main" id="{0D8F5E2D-B92E-4FFE-96EC-1A56C301A5C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7">
          <a:extLst>
            <a:ext uri="{FF2B5EF4-FFF2-40B4-BE49-F238E27FC236}">
              <a16:creationId xmlns:a16="http://schemas.microsoft.com/office/drawing/2014/main" id="{5940AD86-9A53-4459-9647-45F5ACFFC74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8">
          <a:extLst>
            <a:ext uri="{FF2B5EF4-FFF2-40B4-BE49-F238E27FC236}">
              <a16:creationId xmlns:a16="http://schemas.microsoft.com/office/drawing/2014/main" id="{F1A0ED1D-FF4A-406C-8D0F-687E9926C00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4">
          <a:extLst>
            <a:ext uri="{FF2B5EF4-FFF2-40B4-BE49-F238E27FC236}">
              <a16:creationId xmlns:a16="http://schemas.microsoft.com/office/drawing/2014/main" id="{7B663E9C-AB34-47EE-871D-32CF11506AC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7">
          <a:extLst>
            <a:ext uri="{FF2B5EF4-FFF2-40B4-BE49-F238E27FC236}">
              <a16:creationId xmlns:a16="http://schemas.microsoft.com/office/drawing/2014/main" id="{F57524C8-7F7C-4727-9A1D-A46606B36A2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8">
          <a:extLst>
            <a:ext uri="{FF2B5EF4-FFF2-40B4-BE49-F238E27FC236}">
              <a16:creationId xmlns:a16="http://schemas.microsoft.com/office/drawing/2014/main" id="{BD29EF68-8A6B-4DD7-9198-1779A697086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
          <a:extLst>
            <a:ext uri="{FF2B5EF4-FFF2-40B4-BE49-F238E27FC236}">
              <a16:creationId xmlns:a16="http://schemas.microsoft.com/office/drawing/2014/main" id="{459C612A-9ED7-48E5-ABDA-A6466062474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7">
          <a:extLst>
            <a:ext uri="{FF2B5EF4-FFF2-40B4-BE49-F238E27FC236}">
              <a16:creationId xmlns:a16="http://schemas.microsoft.com/office/drawing/2014/main" id="{67527A30-E40B-4F18-A621-71AAAB7A5F3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8">
          <a:extLst>
            <a:ext uri="{FF2B5EF4-FFF2-40B4-BE49-F238E27FC236}">
              <a16:creationId xmlns:a16="http://schemas.microsoft.com/office/drawing/2014/main" id="{36251DDC-95EE-4932-B892-EEFB3B69A84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4">
          <a:extLst>
            <a:ext uri="{FF2B5EF4-FFF2-40B4-BE49-F238E27FC236}">
              <a16:creationId xmlns:a16="http://schemas.microsoft.com/office/drawing/2014/main" id="{1DBE5ED2-F8FB-4EC6-A4C0-9053562E260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7">
          <a:extLst>
            <a:ext uri="{FF2B5EF4-FFF2-40B4-BE49-F238E27FC236}">
              <a16:creationId xmlns:a16="http://schemas.microsoft.com/office/drawing/2014/main" id="{9FB2FE1D-385A-4424-8039-BA06E9FE6F8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8">
          <a:extLst>
            <a:ext uri="{FF2B5EF4-FFF2-40B4-BE49-F238E27FC236}">
              <a16:creationId xmlns:a16="http://schemas.microsoft.com/office/drawing/2014/main" id="{95B4C63F-8945-4F8C-8FC9-7D887E88514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55">
          <a:extLst>
            <a:ext uri="{FF2B5EF4-FFF2-40B4-BE49-F238E27FC236}">
              <a16:creationId xmlns:a16="http://schemas.microsoft.com/office/drawing/2014/main" id="{ED349A7F-57DC-4EF6-AEA0-0D0DC7EAFAF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56">
          <a:extLst>
            <a:ext uri="{FF2B5EF4-FFF2-40B4-BE49-F238E27FC236}">
              <a16:creationId xmlns:a16="http://schemas.microsoft.com/office/drawing/2014/main" id="{53E8B89F-8493-4D79-B55C-07560DDB7B6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57">
          <a:extLst>
            <a:ext uri="{FF2B5EF4-FFF2-40B4-BE49-F238E27FC236}">
              <a16:creationId xmlns:a16="http://schemas.microsoft.com/office/drawing/2014/main" id="{88CDF02F-32E2-4B50-AB0B-D179FD66A6D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6.xml><?xml version="1.0" encoding="utf-8"?>
<xdr:wsDr xmlns:xdr="http://schemas.openxmlformats.org/drawingml/2006/spreadsheetDrawing" xmlns:a="http://schemas.openxmlformats.org/drawingml/2006/main">
  <xdr:twoCellAnchor>
    <xdr:from>
      <xdr:col>6</xdr:col>
      <xdr:colOff>171450</xdr:colOff>
      <xdr:row>1</xdr:row>
      <xdr:rowOff>123825</xdr:rowOff>
    </xdr:from>
    <xdr:to>
      <xdr:col>8</xdr:col>
      <xdr:colOff>876300</xdr:colOff>
      <xdr:row>3</xdr:row>
      <xdr:rowOff>142875</xdr:rowOff>
    </xdr:to>
    <xdr:pic>
      <xdr:nvPicPr>
        <xdr:cNvPr id="11" name="Picture 4" descr="VIAGS xanh">
          <a:extLst>
            <a:ext uri="{FF2B5EF4-FFF2-40B4-BE49-F238E27FC236}">
              <a16:creationId xmlns:a16="http://schemas.microsoft.com/office/drawing/2014/main" id="{00000000-0008-0000-1000-000004000000}"/>
            </a:ext>
            <a:ext uri="{147F2762-F138-4A5C-976F-8EAC2B608ADB}">
              <a16:predDERef xmlns:a16="http://schemas.microsoft.com/office/drawing/2014/main" pred="{00000000-0008-0000-1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91275" y="228600"/>
          <a:ext cx="179070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10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10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10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4">
          <a:extLst>
            <a:ext uri="{FF2B5EF4-FFF2-40B4-BE49-F238E27FC236}">
              <a16:creationId xmlns:a16="http://schemas.microsoft.com/office/drawing/2014/main" id="{00000000-0008-0000-1000-000008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7">
          <a:extLst>
            <a:ext uri="{FF2B5EF4-FFF2-40B4-BE49-F238E27FC236}">
              <a16:creationId xmlns:a16="http://schemas.microsoft.com/office/drawing/2014/main" id="{00000000-0008-0000-1000-000009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8">
          <a:extLst>
            <a:ext uri="{FF2B5EF4-FFF2-40B4-BE49-F238E27FC236}">
              <a16:creationId xmlns:a16="http://schemas.microsoft.com/office/drawing/2014/main" id="{00000000-0008-0000-1000-00000A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2"/>
          <a:extLst>
            <a:ext uri="{FF2B5EF4-FFF2-40B4-BE49-F238E27FC236}">
              <a16:creationId xmlns:a16="http://schemas.microsoft.com/office/drawing/2014/main" id="{838376EB-EF50-47A2-B080-F83F5E6DF36B}"/>
            </a:ext>
            <a:ext uri="{147F2762-F138-4A5C-976F-8EAC2B608ADB}">
              <a16:predDERef xmlns:a16="http://schemas.microsoft.com/office/drawing/2014/main" pred="{00000000-0008-0000-1000-00000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2" name="Picture 27" descr="VIAGS xanh">
          <a:extLst>
            <a:ext uri="{FF2B5EF4-FFF2-40B4-BE49-F238E27FC236}">
              <a16:creationId xmlns:a16="http://schemas.microsoft.com/office/drawing/2014/main" id="{3DA1ADDA-6FAF-43F4-AD7D-D9C665DE6C2C}"/>
            </a:ext>
            <a:ext uri="{147F2762-F138-4A5C-976F-8EAC2B608ADB}">
              <a16:predDERef xmlns:a16="http://schemas.microsoft.com/office/drawing/2014/main" pred="{4E3A3956-BB91-4BCD-8535-CA8DEDC726F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FD66C405-AEB9-4D7C-8F05-33545EC0F15C}"/>
            </a:ext>
            <a:ext uri="{147F2762-F138-4A5C-976F-8EAC2B608ADB}">
              <a16:predDERef xmlns:a16="http://schemas.microsoft.com/office/drawing/2014/main" pred="{3DA1ADDA-6FAF-43F4-AD7D-D9C665DE6C2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C76A1936-5644-4D55-B1F7-7D12F0E27648}"/>
            </a:ext>
            <a:ext uri="{147F2762-F138-4A5C-976F-8EAC2B608ADB}">
              <a16:predDERef xmlns:a16="http://schemas.microsoft.com/office/drawing/2014/main" pred="{FD66C405-AEB9-4D7C-8F05-33545EC0F15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8ADC81AD-4A69-4FE6-A067-0CDB2FC41B35}"/>
            </a:ext>
            <a:ext uri="{147F2762-F138-4A5C-976F-8EAC2B608ADB}">
              <a16:predDERef xmlns:a16="http://schemas.microsoft.com/office/drawing/2014/main" pred="{C76A1936-5644-4D55-B1F7-7D12F0E2764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4">
          <a:extLst>
            <a:ext uri="{FF2B5EF4-FFF2-40B4-BE49-F238E27FC236}">
              <a16:creationId xmlns:a16="http://schemas.microsoft.com/office/drawing/2014/main" id="{F892AB36-CF23-4DA3-A7A6-9484DFEA8340}"/>
            </a:ext>
            <a:ext uri="{147F2762-F138-4A5C-976F-8EAC2B608ADB}">
              <a16:predDERef xmlns:a16="http://schemas.microsoft.com/office/drawing/2014/main" pred="{8ADC81AD-4A69-4FE6-A067-0CDB2FC41B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7">
          <a:extLst>
            <a:ext uri="{FF2B5EF4-FFF2-40B4-BE49-F238E27FC236}">
              <a16:creationId xmlns:a16="http://schemas.microsoft.com/office/drawing/2014/main" id="{E01DFFA7-811E-44F8-B403-CAD905179B6B}"/>
            </a:ext>
            <a:ext uri="{147F2762-F138-4A5C-976F-8EAC2B608ADB}">
              <a16:predDERef xmlns:a16="http://schemas.microsoft.com/office/drawing/2014/main" pred="{F892AB36-CF23-4DA3-A7A6-9484DFEA834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8">
          <a:extLst>
            <a:ext uri="{FF2B5EF4-FFF2-40B4-BE49-F238E27FC236}">
              <a16:creationId xmlns:a16="http://schemas.microsoft.com/office/drawing/2014/main" id="{6FD26248-FAED-4597-9C92-E8ADC10EDBB6}"/>
            </a:ext>
            <a:ext uri="{147F2762-F138-4A5C-976F-8EAC2B608ADB}">
              <a16:predDERef xmlns:a16="http://schemas.microsoft.com/office/drawing/2014/main" pred="{E01DFFA7-811E-44F8-B403-CAD905179B6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9" name="Picture 10" descr="VIAGS xanh">
          <a:hlinkClick xmlns:r="http://schemas.openxmlformats.org/officeDocument/2006/relationships" r:id="rId2"/>
          <a:extLst>
            <a:ext uri="{FF2B5EF4-FFF2-40B4-BE49-F238E27FC236}">
              <a16:creationId xmlns:a16="http://schemas.microsoft.com/office/drawing/2014/main" id="{54D50E7D-A2E3-4DC6-B419-3AAB8978025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1" name="Picture 20" descr="VIAGS xanh">
          <a:extLst>
            <a:ext uri="{FF2B5EF4-FFF2-40B4-BE49-F238E27FC236}">
              <a16:creationId xmlns:a16="http://schemas.microsoft.com/office/drawing/2014/main" id="{DC78759B-69E8-4093-B6DB-0B5C0FE7869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62BDA791-CE31-431F-A917-33077181961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5B8F694A-006E-4EBA-8E3C-97E7FBB1570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49F8707C-6859-4423-8A49-8DE44A6CF2B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7654088B-F6B7-4C62-8D6B-5C059F8151A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0107DE09-AAC8-40DE-98AE-81C80B522B2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BAB6390F-B180-4CEF-B332-97D12BAC35B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46A72676-280E-4AB2-9E8A-FACB15EB273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 name="TextBox 7">
          <a:extLst>
            <a:ext uri="{FF2B5EF4-FFF2-40B4-BE49-F238E27FC236}">
              <a16:creationId xmlns:a16="http://schemas.microsoft.com/office/drawing/2014/main" id="{897A626D-E70F-4562-9691-3EB1488869B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239B5E01-C712-499C-A892-9CA1ABE6830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0C0CC955-446E-47BF-A1DA-F4074B6C406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3CCF51D6-4FBD-412B-8EB8-03FD140E438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ED1D3603-956E-496A-A5B1-FC8C8653F60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61057919-218F-4A07-AD00-41B69903B2C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B8E2200C-C0BC-45D4-8542-DC3B5019A10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6F6254C8-3F28-40F3-AE28-3C4B6AA25DA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FF9D4D82-2E2A-4682-9C0D-D25910F9996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E85C6BF6-1164-4567-B333-1E8B3B42F92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F813FB1D-FDA6-41AA-A838-6175916BF0A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03436143-A37F-4048-B183-91E76966B61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708E1E9C-AD83-4711-9950-CAD4AB4A4A4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4028BB28-99BB-4A82-AD41-ED76C496572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6B6B182C-7D17-4A74-AA6E-135F8A2C454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CC6C6B78-885B-4131-A8AF-1274DF56C02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91D8983F-7896-4DD3-96F3-1E061C763E8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7.xml><?xml version="1.0" encoding="utf-8"?>
<xdr:wsDr xmlns:xdr="http://schemas.openxmlformats.org/drawingml/2006/spreadsheetDrawing" xmlns:a="http://schemas.openxmlformats.org/drawingml/2006/main">
  <xdr:twoCellAnchor>
    <xdr:from>
      <xdr:col>6</xdr:col>
      <xdr:colOff>190500</xdr:colOff>
      <xdr:row>1</xdr:row>
      <xdr:rowOff>114300</xdr:rowOff>
    </xdr:from>
    <xdr:to>
      <xdr:col>8</xdr:col>
      <xdr:colOff>885825</xdr:colOff>
      <xdr:row>4</xdr:row>
      <xdr:rowOff>57150</xdr:rowOff>
    </xdr:to>
    <xdr:pic>
      <xdr:nvPicPr>
        <xdr:cNvPr id="4" name="Picture 4" descr="VIAGS xanh">
          <a:extLst>
            <a:ext uri="{FF2B5EF4-FFF2-40B4-BE49-F238E27FC236}">
              <a16:creationId xmlns:a16="http://schemas.microsoft.com/office/drawing/2014/main" id="{00000000-0008-0000-11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0325" y="219075"/>
          <a:ext cx="1781175"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5" name="TextBox 4">
          <a:extLst>
            <a:ext uri="{FF2B5EF4-FFF2-40B4-BE49-F238E27FC236}">
              <a16:creationId xmlns:a16="http://schemas.microsoft.com/office/drawing/2014/main" id="{00000000-0008-0000-1100-00000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11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00000000-0008-0000-1100-00000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00000000-0008-0000-1100-00000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00000000-0008-0000-1100-00000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00000000-0008-0000-1100-00000A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00000000-0008-0000-1100-00000B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00000000-0008-0000-1100-00000C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F491A75F-FEE7-4C37-94F1-8D88547BE69B}"/>
            </a:ext>
            <a:ext uri="{147F2762-F138-4A5C-976F-8EAC2B608ADB}">
              <a16:predDERef xmlns:a16="http://schemas.microsoft.com/office/drawing/2014/main" pred="{00000000-0008-0000-1100-00000C000000}"/>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807DB882-F5AF-4314-892C-BB710B8AA005}"/>
            </a:ext>
            <a:ext uri="{147F2762-F138-4A5C-976F-8EAC2B608ADB}">
              <a16:predDERef xmlns:a16="http://schemas.microsoft.com/office/drawing/2014/main" pred="{F491A75F-FEE7-4C37-94F1-8D88547BE69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8F0EA4DD-E00C-476C-A288-09E71DCA9037}"/>
            </a:ext>
            <a:ext uri="{147F2762-F138-4A5C-976F-8EAC2B608ADB}">
              <a16:predDERef xmlns:a16="http://schemas.microsoft.com/office/drawing/2014/main" pred="{807DB882-F5AF-4314-892C-BB710B8AA00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D279C129-64E3-473B-B571-5EBF9A02321D}"/>
            </a:ext>
            <a:ext uri="{147F2762-F138-4A5C-976F-8EAC2B608ADB}">
              <a16:predDERef xmlns:a16="http://schemas.microsoft.com/office/drawing/2014/main" pred="{8F0EA4DD-E00C-476C-A288-09E71DCA9037}"/>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431F8AAA-8458-40A5-8738-D1EB3873D9CB}"/>
            </a:ext>
            <a:ext uri="{147F2762-F138-4A5C-976F-8EAC2B608ADB}">
              <a16:predDERef xmlns:a16="http://schemas.microsoft.com/office/drawing/2014/main" pred="{D279C129-64E3-473B-B571-5EBF9A02321D}"/>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13EF679B-2DFC-43EA-9231-618E30884462}"/>
            </a:ext>
            <a:ext uri="{147F2762-F138-4A5C-976F-8EAC2B608ADB}">
              <a16:predDERef xmlns:a16="http://schemas.microsoft.com/office/drawing/2014/main" pred="{431F8AAA-8458-40A5-8738-D1EB3873D9C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2"/>
          <a:extLst>
            <a:ext uri="{FF2B5EF4-FFF2-40B4-BE49-F238E27FC236}">
              <a16:creationId xmlns:a16="http://schemas.microsoft.com/office/drawing/2014/main" id="{2AF5248D-2B94-44D7-8540-2493F49995B9}"/>
            </a:ext>
            <a:ext uri="{147F2762-F138-4A5C-976F-8EAC2B608ADB}">
              <a16:predDERef xmlns:a16="http://schemas.microsoft.com/office/drawing/2014/main" pred="{13EF679B-2DFC-43EA-9231-618E3088446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4" name="Picture 27" descr="VIAGS xanh">
          <a:extLst>
            <a:ext uri="{FF2B5EF4-FFF2-40B4-BE49-F238E27FC236}">
              <a16:creationId xmlns:a16="http://schemas.microsoft.com/office/drawing/2014/main" id="{6B95FAA7-2E27-46A5-BB50-3DDC6D3C6C64}"/>
            </a:ext>
            <a:ext uri="{147F2762-F138-4A5C-976F-8EAC2B608ADB}">
              <a16:predDERef xmlns:a16="http://schemas.microsoft.com/office/drawing/2014/main" pred="{22577957-937B-4189-BB91-4DE0E5F75BD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A429550B-32DC-4B63-9A09-1A020DD3CDEA}"/>
            </a:ext>
            <a:ext uri="{147F2762-F138-4A5C-976F-8EAC2B608ADB}">
              <a16:predDERef xmlns:a16="http://schemas.microsoft.com/office/drawing/2014/main" pred="{6B95FAA7-2E27-46A5-BB50-3DDC6D3C6C6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B9E9F2AE-95DB-42C1-83E6-D9970ABA8223}"/>
            </a:ext>
            <a:ext uri="{147F2762-F138-4A5C-976F-8EAC2B608ADB}">
              <a16:predDERef xmlns:a16="http://schemas.microsoft.com/office/drawing/2014/main" pred="{A429550B-32DC-4B63-9A09-1A020DD3CDE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E5B358CF-1B43-4165-8ECB-E2731ED2BC87}"/>
            </a:ext>
            <a:ext uri="{147F2762-F138-4A5C-976F-8EAC2B608ADB}">
              <a16:predDERef xmlns:a16="http://schemas.microsoft.com/office/drawing/2014/main" pred="{B9E9F2AE-95DB-42C1-83E6-D9970ABA822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67D023BB-5BE0-4CA4-BA70-FD26F85D598E}"/>
            </a:ext>
            <a:ext uri="{147F2762-F138-4A5C-976F-8EAC2B608ADB}">
              <a16:predDERef xmlns:a16="http://schemas.microsoft.com/office/drawing/2014/main" pred="{E5B358CF-1B43-4165-8ECB-E2731ED2BC8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2510472A-F27F-49B8-BDB0-376E99DA8BE2}"/>
            </a:ext>
            <a:ext uri="{147F2762-F138-4A5C-976F-8EAC2B608ADB}">
              <a16:predDERef xmlns:a16="http://schemas.microsoft.com/office/drawing/2014/main" pred="{67D023BB-5BE0-4CA4-BA70-FD26F85D598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7BC52A67-EA40-4962-B0F8-199E47BC295B}"/>
            </a:ext>
            <a:ext uri="{147F2762-F138-4A5C-976F-8EAC2B608ADB}">
              <a16:predDERef xmlns:a16="http://schemas.microsoft.com/office/drawing/2014/main" pred="{2510472A-F27F-49B8-BDB0-376E99DA8BE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7" name="Picture 10" descr="VIAGS xanh">
          <a:hlinkClick xmlns:r="http://schemas.openxmlformats.org/officeDocument/2006/relationships" r:id="rId2"/>
          <a:extLst>
            <a:ext uri="{FF2B5EF4-FFF2-40B4-BE49-F238E27FC236}">
              <a16:creationId xmlns:a16="http://schemas.microsoft.com/office/drawing/2014/main" id="{9F4CEF7F-38A1-4321-A14A-5CE67DA29E2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9" name="Picture 28" descr="VIAGS xanh">
          <a:extLst>
            <a:ext uri="{FF2B5EF4-FFF2-40B4-BE49-F238E27FC236}">
              <a16:creationId xmlns:a16="http://schemas.microsoft.com/office/drawing/2014/main" id="{61C06CAC-8924-4C02-9C2D-C9657A4117C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30" name="TextBox 4">
          <a:extLst>
            <a:ext uri="{FF2B5EF4-FFF2-40B4-BE49-F238E27FC236}">
              <a16:creationId xmlns:a16="http://schemas.microsoft.com/office/drawing/2014/main" id="{57DB906D-C6E7-4BCC-96B4-14BCB9BBEFD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92724997-0FBA-4A5C-AAC6-9369DD02C16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3D165219-93F9-415A-B8AF-2EC9F34BA47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7CE202E9-8062-497E-A14A-58ABEF356ED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A3FC49C9-7943-494E-A45D-A07FFF565E1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C6EEC19F-142E-40E7-8D3C-C360331C514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8823E9C5-11A1-44CE-8B4F-7DA0E9FE419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FB56F353-1A4C-4AC9-B514-ED957AE0619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8">
          <a:extLst>
            <a:ext uri="{FF2B5EF4-FFF2-40B4-BE49-F238E27FC236}">
              <a16:creationId xmlns:a16="http://schemas.microsoft.com/office/drawing/2014/main" id="{F98AAC53-7EA4-42AD-8F19-06D72E79A1B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35">
          <a:extLst>
            <a:ext uri="{FF2B5EF4-FFF2-40B4-BE49-F238E27FC236}">
              <a16:creationId xmlns:a16="http://schemas.microsoft.com/office/drawing/2014/main" id="{DDD4CD2C-F1CC-4BE4-816E-031BFDF7DF4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DE5DA296-FC13-4F1C-9946-A16369FBE05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0496FE7A-1B59-41AC-B403-5B8481E1147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FD9340D0-743F-4D1C-8231-BBC62F7711F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6A840848-FCAD-4A01-B7F9-4C057296C7A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3CF21294-4F7B-4B29-9337-2336C342982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EFFE0215-2A13-40A4-A6FF-06EEE7888F5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CF6EF4CC-B9DB-43D7-B2E1-228E9734B06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0CA87861-A7CA-453A-8367-5E3DC3D9433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4C498397-C030-4ABE-9FE9-044BB40EFCC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FB8F7CDE-5D0D-45CF-8DB0-FA1147AD872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2B632F03-C3FE-405C-A9BA-0A3690CE2C4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7">
          <a:extLst>
            <a:ext uri="{FF2B5EF4-FFF2-40B4-BE49-F238E27FC236}">
              <a16:creationId xmlns:a16="http://schemas.microsoft.com/office/drawing/2014/main" id="{60650F17-6F08-4430-BF73-2B5D94D6897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8">
          <a:extLst>
            <a:ext uri="{FF2B5EF4-FFF2-40B4-BE49-F238E27FC236}">
              <a16:creationId xmlns:a16="http://schemas.microsoft.com/office/drawing/2014/main" id="{B557A78A-33C9-4E4E-900B-CBC0171EE23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9">
          <a:extLst>
            <a:ext uri="{FF2B5EF4-FFF2-40B4-BE49-F238E27FC236}">
              <a16:creationId xmlns:a16="http://schemas.microsoft.com/office/drawing/2014/main" id="{E7B29426-4C04-4D15-8D54-6872225B2F8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8.xml><?xml version="1.0" encoding="utf-8"?>
<xdr:wsDr xmlns:xdr="http://schemas.openxmlformats.org/drawingml/2006/spreadsheetDrawing" xmlns:a="http://schemas.openxmlformats.org/drawingml/2006/main">
  <xdr:twoCellAnchor>
    <xdr:from>
      <xdr:col>6</xdr:col>
      <xdr:colOff>190500</xdr:colOff>
      <xdr:row>1</xdr:row>
      <xdr:rowOff>114300</xdr:rowOff>
    </xdr:from>
    <xdr:to>
      <xdr:col>8</xdr:col>
      <xdr:colOff>857250</xdr:colOff>
      <xdr:row>4</xdr:row>
      <xdr:rowOff>57150</xdr:rowOff>
    </xdr:to>
    <xdr:pic>
      <xdr:nvPicPr>
        <xdr:cNvPr id="4" name="Picture 4" descr="VIAGS xanh">
          <a:extLst>
            <a:ext uri="{FF2B5EF4-FFF2-40B4-BE49-F238E27FC236}">
              <a16:creationId xmlns:a16="http://schemas.microsoft.com/office/drawing/2014/main" id="{00000000-0008-0000-12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0325" y="219075"/>
          <a:ext cx="17526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5" name="TextBox 4">
          <a:extLst>
            <a:ext uri="{FF2B5EF4-FFF2-40B4-BE49-F238E27FC236}">
              <a16:creationId xmlns:a16="http://schemas.microsoft.com/office/drawing/2014/main" id="{00000000-0008-0000-1200-000005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1200-000007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00000000-0008-0000-1200-00000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00000000-0008-0000-1200-00000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00000000-0008-0000-1200-00000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00000000-0008-0000-1200-00000A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00000000-0008-0000-1200-00000B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00000000-0008-0000-1200-00000C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38641376-247C-4F09-B428-9A892010E2C2}"/>
            </a:ext>
            <a:ext uri="{147F2762-F138-4A5C-976F-8EAC2B608ADB}">
              <a16:predDERef xmlns:a16="http://schemas.microsoft.com/office/drawing/2014/main" pred="{00000000-0008-0000-1200-00000C000000}"/>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3CC8C21F-52B2-4188-9015-A579F60B77D3}"/>
            </a:ext>
            <a:ext uri="{147F2762-F138-4A5C-976F-8EAC2B608ADB}">
              <a16:predDERef xmlns:a16="http://schemas.microsoft.com/office/drawing/2014/main" pred="{38641376-247C-4F09-B428-9A892010E2C2}"/>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FA7180EF-2E18-4BB6-8148-261B82861D56}"/>
            </a:ext>
            <a:ext uri="{147F2762-F138-4A5C-976F-8EAC2B608ADB}">
              <a16:predDERef xmlns:a16="http://schemas.microsoft.com/office/drawing/2014/main" pred="{3CC8C21F-52B2-4188-9015-A579F60B77D3}"/>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0029E61C-1E78-41A3-AA95-983756E0E9BE}"/>
            </a:ext>
            <a:ext uri="{147F2762-F138-4A5C-976F-8EAC2B608ADB}">
              <a16:predDERef xmlns:a16="http://schemas.microsoft.com/office/drawing/2014/main" pred="{FA7180EF-2E18-4BB6-8148-261B82861D56}"/>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F5D1E9A5-9786-433F-BE44-6FDA625F8B99}"/>
            </a:ext>
            <a:ext uri="{147F2762-F138-4A5C-976F-8EAC2B608ADB}">
              <a16:predDERef xmlns:a16="http://schemas.microsoft.com/office/drawing/2014/main" pred="{0029E61C-1E78-41A3-AA95-983756E0E9BE}"/>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7C7E5573-8A0D-4E3E-A3DB-E8A04AD01669}"/>
            </a:ext>
            <a:ext uri="{147F2762-F138-4A5C-976F-8EAC2B608ADB}">
              <a16:predDERef xmlns:a16="http://schemas.microsoft.com/office/drawing/2014/main" pred="{F5D1E9A5-9786-433F-BE44-6FDA625F8B99}"/>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8" name="Picture 10" descr="VIAGS xanh">
          <a:hlinkClick xmlns:r="http://schemas.openxmlformats.org/officeDocument/2006/relationships" r:id="rId2"/>
          <a:extLst>
            <a:ext uri="{FF2B5EF4-FFF2-40B4-BE49-F238E27FC236}">
              <a16:creationId xmlns:a16="http://schemas.microsoft.com/office/drawing/2014/main" id="{51A5E338-18C8-425B-A362-1A170CF48DDB}"/>
            </a:ext>
            <a:ext uri="{147F2762-F138-4A5C-976F-8EAC2B608ADB}">
              <a16:predDERef xmlns:a16="http://schemas.microsoft.com/office/drawing/2014/main" pred="{7C7E5573-8A0D-4E3E-A3DB-E8A04AD0166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0" name="Picture 27" descr="VIAGS xanh">
          <a:extLst>
            <a:ext uri="{FF2B5EF4-FFF2-40B4-BE49-F238E27FC236}">
              <a16:creationId xmlns:a16="http://schemas.microsoft.com/office/drawing/2014/main" id="{BA504221-EBE0-405D-AB08-9B50D6C154C8}"/>
            </a:ext>
            <a:ext uri="{147F2762-F138-4A5C-976F-8EAC2B608ADB}">
              <a16:predDERef xmlns:a16="http://schemas.microsoft.com/office/drawing/2014/main" pred="{88B96144-7D69-413D-A113-48ACD86B37D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0ACA90F9-B0C6-4D89-96E2-D6E7E76D1E41}"/>
            </a:ext>
            <a:ext uri="{147F2762-F138-4A5C-976F-8EAC2B608ADB}">
              <a16:predDERef xmlns:a16="http://schemas.microsoft.com/office/drawing/2014/main" pred="{BA504221-EBE0-405D-AB08-9B50D6C154C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6D258E1E-831B-47B5-B979-529A611591F7}"/>
            </a:ext>
            <a:ext uri="{147F2762-F138-4A5C-976F-8EAC2B608ADB}">
              <a16:predDERef xmlns:a16="http://schemas.microsoft.com/office/drawing/2014/main" pred="{0ACA90F9-B0C6-4D89-96E2-D6E7E76D1E4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C90C7958-4DB3-430B-9D8E-16980789BFD8}"/>
            </a:ext>
            <a:ext uri="{147F2762-F138-4A5C-976F-8EAC2B608ADB}">
              <a16:predDERef xmlns:a16="http://schemas.microsoft.com/office/drawing/2014/main" pred="{6D258E1E-831B-47B5-B979-529A611591F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A073824F-409D-4D2D-A9EE-D520DC273AAF}"/>
            </a:ext>
            <a:ext uri="{147F2762-F138-4A5C-976F-8EAC2B608ADB}">
              <a16:predDERef xmlns:a16="http://schemas.microsoft.com/office/drawing/2014/main" pred="{C90C7958-4DB3-430B-9D8E-16980789BFD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DC990357-8BD7-4175-838B-77E8F6204DDB}"/>
            </a:ext>
            <a:ext uri="{147F2762-F138-4A5C-976F-8EAC2B608ADB}">
              <a16:predDERef xmlns:a16="http://schemas.microsoft.com/office/drawing/2014/main" pred="{A073824F-409D-4D2D-A9EE-D520DC273AA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994DC939-E820-4E67-8810-27BAC7FA65EB}"/>
            </a:ext>
            <a:ext uri="{147F2762-F138-4A5C-976F-8EAC2B608ADB}">
              <a16:predDERef xmlns:a16="http://schemas.microsoft.com/office/drawing/2014/main" pred="{DC990357-8BD7-4175-838B-77E8F6204DD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7" name="Picture 10" descr="VIAGS xanh">
          <a:hlinkClick xmlns:r="http://schemas.openxmlformats.org/officeDocument/2006/relationships" r:id="rId2"/>
          <a:extLst>
            <a:ext uri="{FF2B5EF4-FFF2-40B4-BE49-F238E27FC236}">
              <a16:creationId xmlns:a16="http://schemas.microsoft.com/office/drawing/2014/main" id="{894F178D-C4D8-440B-A1DD-5BABC3A0634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9" name="Picture 28" descr="VIAGS xanh">
          <a:extLst>
            <a:ext uri="{FF2B5EF4-FFF2-40B4-BE49-F238E27FC236}">
              <a16:creationId xmlns:a16="http://schemas.microsoft.com/office/drawing/2014/main" id="{1128ACB9-E2B3-4419-859D-0CB36D4420B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30" name="TextBox 4">
          <a:extLst>
            <a:ext uri="{FF2B5EF4-FFF2-40B4-BE49-F238E27FC236}">
              <a16:creationId xmlns:a16="http://schemas.microsoft.com/office/drawing/2014/main" id="{6198A553-1E1B-4978-8FDB-161095F2001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33EF4E60-EC2F-4548-B438-CA2FB7A993A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2F87DA97-0E64-4815-A0E6-3D396F3FA74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F202B5EA-0E5C-46A2-9B51-1C06E5841A7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7223765D-078F-4E54-9FC6-7F36FCECA5B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4209A04F-E249-44D9-BBCB-98B5948DEFE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94E9D93E-825E-4B42-BAD3-12CD8FB49EB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118765C1-470A-4B02-994E-F77A21AC36E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8">
          <a:extLst>
            <a:ext uri="{FF2B5EF4-FFF2-40B4-BE49-F238E27FC236}">
              <a16:creationId xmlns:a16="http://schemas.microsoft.com/office/drawing/2014/main" id="{B0280F5C-5939-4F46-B4F8-DE0A371288D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35">
          <a:extLst>
            <a:ext uri="{FF2B5EF4-FFF2-40B4-BE49-F238E27FC236}">
              <a16:creationId xmlns:a16="http://schemas.microsoft.com/office/drawing/2014/main" id="{CABFCA47-B787-454C-8B98-A245E5CB03C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CAD2FA74-2D9E-4F5C-B04A-437947F834C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9F6F45C9-A4E8-41E3-A902-64DF97468F3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AE0F56BC-4AC8-4DA0-85AE-23323DCB1AE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1A602701-18DD-4BDB-8A8D-0F46FFC47C3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B6947B3D-FB8C-40FF-BC24-E394B1F3082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E6DADD9E-AAF2-4D14-BC5E-CE511D701F1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2F909036-E9CF-4EC7-A9E3-CC809AFFEC4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2B3934B9-DD93-4A58-A4CF-2E18E15138C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80003049-94DD-4999-ABB9-D0779866C59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E289A935-57A8-45E4-A077-8EEB5462A91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6A22F1EB-08D3-4B5F-80D9-1FF96207A10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7">
          <a:extLst>
            <a:ext uri="{FF2B5EF4-FFF2-40B4-BE49-F238E27FC236}">
              <a16:creationId xmlns:a16="http://schemas.microsoft.com/office/drawing/2014/main" id="{548CE98F-2679-4926-88AE-74809DE0C00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8">
          <a:extLst>
            <a:ext uri="{FF2B5EF4-FFF2-40B4-BE49-F238E27FC236}">
              <a16:creationId xmlns:a16="http://schemas.microsoft.com/office/drawing/2014/main" id="{4936C5B7-6B91-4DD6-8CD6-14CBC7FC135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9">
          <a:extLst>
            <a:ext uri="{FF2B5EF4-FFF2-40B4-BE49-F238E27FC236}">
              <a16:creationId xmlns:a16="http://schemas.microsoft.com/office/drawing/2014/main" id="{DEFE9355-D46D-4CF9-BC4B-483B4469D50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9.xml><?xml version="1.0" encoding="utf-8"?>
<xdr:wsDr xmlns:xdr="http://schemas.openxmlformats.org/drawingml/2006/spreadsheetDrawing" xmlns:a="http://schemas.openxmlformats.org/drawingml/2006/main">
  <xdr:twoCellAnchor>
    <xdr:from>
      <xdr:col>6</xdr:col>
      <xdr:colOff>190500</xdr:colOff>
      <xdr:row>1</xdr:row>
      <xdr:rowOff>114300</xdr:rowOff>
    </xdr:from>
    <xdr:to>
      <xdr:col>8</xdr:col>
      <xdr:colOff>904875</xdr:colOff>
      <xdr:row>4</xdr:row>
      <xdr:rowOff>57150</xdr:rowOff>
    </xdr:to>
    <xdr:pic>
      <xdr:nvPicPr>
        <xdr:cNvPr id="4" name="Picture 4" descr="VIAGS xanh">
          <a:extLst>
            <a:ext uri="{FF2B5EF4-FFF2-40B4-BE49-F238E27FC236}">
              <a16:creationId xmlns:a16="http://schemas.microsoft.com/office/drawing/2014/main" id="{00000000-0008-0000-13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0325" y="219075"/>
          <a:ext cx="1800225"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5" name="TextBox 4">
          <a:extLst>
            <a:ext uri="{FF2B5EF4-FFF2-40B4-BE49-F238E27FC236}">
              <a16:creationId xmlns:a16="http://schemas.microsoft.com/office/drawing/2014/main" id="{00000000-0008-0000-1300-00000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13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00000000-0008-0000-1300-00000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00000000-0008-0000-1300-00000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00000000-0008-0000-1300-00000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00000000-0008-0000-1300-00000A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00000000-0008-0000-1300-00000B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00000000-0008-0000-1300-00000C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1C154250-C049-47E9-BB20-ACCDAA270937}"/>
            </a:ext>
            <a:ext uri="{147F2762-F138-4A5C-976F-8EAC2B608ADB}">
              <a16:predDERef xmlns:a16="http://schemas.microsoft.com/office/drawing/2014/main" pred="{00000000-0008-0000-1300-00000C000000}"/>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CACE6DD4-312C-4531-87FF-F4FCDC84AE6E}"/>
            </a:ext>
            <a:ext uri="{147F2762-F138-4A5C-976F-8EAC2B608ADB}">
              <a16:predDERef xmlns:a16="http://schemas.microsoft.com/office/drawing/2014/main" pred="{1C154250-C049-47E9-BB20-ACCDAA270937}"/>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A3D2E7A2-BE2B-4C26-959F-38B100AC1949}"/>
            </a:ext>
            <a:ext uri="{147F2762-F138-4A5C-976F-8EAC2B608ADB}">
              <a16:predDERef xmlns:a16="http://schemas.microsoft.com/office/drawing/2014/main" pred="{CACE6DD4-312C-4531-87FF-F4FCDC84AE6E}"/>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B878ECF1-7410-4389-B692-8489EEE5D611}"/>
            </a:ext>
            <a:ext uri="{147F2762-F138-4A5C-976F-8EAC2B608ADB}">
              <a16:predDERef xmlns:a16="http://schemas.microsoft.com/office/drawing/2014/main" pred="{A3D2E7A2-BE2B-4C26-959F-38B100AC1949}"/>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40CCC433-3638-4643-94B0-CEE81B3DAB9F}"/>
            </a:ext>
            <a:ext uri="{147F2762-F138-4A5C-976F-8EAC2B608ADB}">
              <a16:predDERef xmlns:a16="http://schemas.microsoft.com/office/drawing/2014/main" pred="{B878ECF1-7410-4389-B692-8489EEE5D611}"/>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2450B526-58F6-44F3-8454-C39D0F6099B2}"/>
            </a:ext>
            <a:ext uri="{147F2762-F138-4A5C-976F-8EAC2B608ADB}">
              <a16:predDERef xmlns:a16="http://schemas.microsoft.com/office/drawing/2014/main" pred="{40CCC433-3638-4643-94B0-CEE81B3DAB9F}"/>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8" name="Picture 10" descr="VIAGS xanh">
          <a:hlinkClick xmlns:r="http://schemas.openxmlformats.org/officeDocument/2006/relationships" r:id="rId2"/>
          <a:extLst>
            <a:ext uri="{FF2B5EF4-FFF2-40B4-BE49-F238E27FC236}">
              <a16:creationId xmlns:a16="http://schemas.microsoft.com/office/drawing/2014/main" id="{0EA76A6A-AAD1-41E1-B078-C062F74D9DB2}"/>
            </a:ext>
            <a:ext uri="{147F2762-F138-4A5C-976F-8EAC2B608ADB}">
              <a16:predDERef xmlns:a16="http://schemas.microsoft.com/office/drawing/2014/main" pred="{2450B526-58F6-44F3-8454-C39D0F6099B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0" name="Picture 27" descr="VIAGS xanh">
          <a:extLst>
            <a:ext uri="{FF2B5EF4-FFF2-40B4-BE49-F238E27FC236}">
              <a16:creationId xmlns:a16="http://schemas.microsoft.com/office/drawing/2014/main" id="{DFE09274-A292-4BE1-8089-DEF6E8BE25DB}"/>
            </a:ext>
            <a:ext uri="{147F2762-F138-4A5C-976F-8EAC2B608ADB}">
              <a16:predDERef xmlns:a16="http://schemas.microsoft.com/office/drawing/2014/main" pred="{B8D0EE2B-6E5F-4068-87B0-597FDCF099F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87DF2398-D62A-4CDE-9E52-3C1DBA9F4935}"/>
            </a:ext>
            <a:ext uri="{147F2762-F138-4A5C-976F-8EAC2B608ADB}">
              <a16:predDERef xmlns:a16="http://schemas.microsoft.com/office/drawing/2014/main" pred="{DFE09274-A292-4BE1-8089-DEF6E8BE25D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D844CEB0-D584-4514-AE66-5CEAEF00A56B}"/>
            </a:ext>
            <a:ext uri="{147F2762-F138-4A5C-976F-8EAC2B608ADB}">
              <a16:predDERef xmlns:a16="http://schemas.microsoft.com/office/drawing/2014/main" pred="{87DF2398-D62A-4CDE-9E52-3C1DBA9F49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1633D49D-E695-4BE0-BE5D-F447F4DD8F88}"/>
            </a:ext>
            <a:ext uri="{147F2762-F138-4A5C-976F-8EAC2B608ADB}">
              <a16:predDERef xmlns:a16="http://schemas.microsoft.com/office/drawing/2014/main" pred="{D844CEB0-D584-4514-AE66-5CEAEF00A56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10FD9BC6-94ED-47AD-8D8F-121376C362C1}"/>
            </a:ext>
            <a:ext uri="{147F2762-F138-4A5C-976F-8EAC2B608ADB}">
              <a16:predDERef xmlns:a16="http://schemas.microsoft.com/office/drawing/2014/main" pred="{1633D49D-E695-4BE0-BE5D-F447F4DD8F8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92D41E6B-4720-45CE-BDC0-AC9E47507B31}"/>
            </a:ext>
            <a:ext uri="{147F2762-F138-4A5C-976F-8EAC2B608ADB}">
              <a16:predDERef xmlns:a16="http://schemas.microsoft.com/office/drawing/2014/main" pred="{10FD9BC6-94ED-47AD-8D8F-121376C362C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D4A1B9DC-E53F-499E-B3E4-47BA7483DC12}"/>
            </a:ext>
            <a:ext uri="{147F2762-F138-4A5C-976F-8EAC2B608ADB}">
              <a16:predDERef xmlns:a16="http://schemas.microsoft.com/office/drawing/2014/main" pred="{92D41E6B-4720-45CE-BDC0-AC9E47507B3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7" name="Picture 10" descr="VIAGS xanh">
          <a:hlinkClick xmlns:r="http://schemas.openxmlformats.org/officeDocument/2006/relationships" r:id="rId2"/>
          <a:extLst>
            <a:ext uri="{FF2B5EF4-FFF2-40B4-BE49-F238E27FC236}">
              <a16:creationId xmlns:a16="http://schemas.microsoft.com/office/drawing/2014/main" id="{8F9B3051-3C0B-4013-B4C1-CA1170E8E35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9" name="Picture 28" descr="VIAGS xanh">
          <a:extLst>
            <a:ext uri="{FF2B5EF4-FFF2-40B4-BE49-F238E27FC236}">
              <a16:creationId xmlns:a16="http://schemas.microsoft.com/office/drawing/2014/main" id="{4F0FFD6B-B528-4D77-B251-53FF9A545BA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30" name="TextBox 4">
          <a:extLst>
            <a:ext uri="{FF2B5EF4-FFF2-40B4-BE49-F238E27FC236}">
              <a16:creationId xmlns:a16="http://schemas.microsoft.com/office/drawing/2014/main" id="{D857105C-7F6F-4B69-AA0F-69233369ED1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54B403C4-2794-47BC-921A-E11ED03CB52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17C1E191-FA4B-4B6E-90F1-9BB279C84D3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D8B6AC04-83BF-4BFA-9AAD-3D2C9B218D5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863B6826-63CA-481E-93D5-D3109B393B3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BA2E1723-D037-4154-9893-FB3C96AF44B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4717F78A-0F50-44B9-A394-C512E0A152E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DAF2E427-EE4B-4953-94BD-4C64D227C7E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8">
          <a:extLst>
            <a:ext uri="{FF2B5EF4-FFF2-40B4-BE49-F238E27FC236}">
              <a16:creationId xmlns:a16="http://schemas.microsoft.com/office/drawing/2014/main" id="{1DC47F88-E7E8-45AA-80CF-AE251B07CF2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35">
          <a:extLst>
            <a:ext uri="{FF2B5EF4-FFF2-40B4-BE49-F238E27FC236}">
              <a16:creationId xmlns:a16="http://schemas.microsoft.com/office/drawing/2014/main" id="{A238E8BD-D7E9-46B2-858D-65341DBAC6D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9760107D-C04D-4F20-AB20-92C2709BFF2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6BC3D89F-2751-4A43-994D-A11C454E99A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003DCFF9-13FB-461D-8DF2-87C468AA715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B058E1F2-E1F1-4CB4-9DDD-2C46BC7E983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43683B30-61F7-4E0D-8D10-579415293E0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8D86F545-E0A8-4D12-ABB3-7562B8A1027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D080968B-9ECA-4E9E-9728-547D563D8BA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5F1153C2-3471-4285-B483-169B635ABA8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41B00BCD-F1B0-4C0E-8129-5DA26A370E5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1740C237-7A93-45F2-95EC-166B6142107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30CAADE6-5288-4963-9B90-56F5D4E3815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7">
          <a:extLst>
            <a:ext uri="{FF2B5EF4-FFF2-40B4-BE49-F238E27FC236}">
              <a16:creationId xmlns:a16="http://schemas.microsoft.com/office/drawing/2014/main" id="{C5442302-9EFA-4C6C-9F58-A97A85B8879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8">
          <a:extLst>
            <a:ext uri="{FF2B5EF4-FFF2-40B4-BE49-F238E27FC236}">
              <a16:creationId xmlns:a16="http://schemas.microsoft.com/office/drawing/2014/main" id="{2D859FAD-6FB4-4B85-B6C2-62ACCB245CB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9">
          <a:extLst>
            <a:ext uri="{FF2B5EF4-FFF2-40B4-BE49-F238E27FC236}">
              <a16:creationId xmlns:a16="http://schemas.microsoft.com/office/drawing/2014/main" id="{771CE517-F2E4-4F48-8EF2-C6DB3910790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0.xml><?xml version="1.0" encoding="utf-8"?>
<xdr:wsDr xmlns:xdr="http://schemas.openxmlformats.org/drawingml/2006/spreadsheetDrawing" xmlns:a="http://schemas.openxmlformats.org/drawingml/2006/main">
  <xdr:twoCellAnchor>
    <xdr:from>
      <xdr:col>6</xdr:col>
      <xdr:colOff>190500</xdr:colOff>
      <xdr:row>1</xdr:row>
      <xdr:rowOff>114300</xdr:rowOff>
    </xdr:from>
    <xdr:to>
      <xdr:col>8</xdr:col>
      <xdr:colOff>914400</xdr:colOff>
      <xdr:row>4</xdr:row>
      <xdr:rowOff>57150</xdr:rowOff>
    </xdr:to>
    <xdr:pic>
      <xdr:nvPicPr>
        <xdr:cNvPr id="4" name="Picture 4" descr="VIAGS xanh">
          <a:extLst>
            <a:ext uri="{FF2B5EF4-FFF2-40B4-BE49-F238E27FC236}">
              <a16:creationId xmlns:a16="http://schemas.microsoft.com/office/drawing/2014/main" id="{00000000-0008-0000-14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0325" y="219075"/>
          <a:ext cx="18097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5" name="TextBox 4">
          <a:extLst>
            <a:ext uri="{FF2B5EF4-FFF2-40B4-BE49-F238E27FC236}">
              <a16:creationId xmlns:a16="http://schemas.microsoft.com/office/drawing/2014/main" id="{00000000-0008-0000-1400-00000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14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00000000-0008-0000-1400-00000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00000000-0008-0000-1400-00000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00000000-0008-0000-1400-00000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2"/>
          <a:extLst>
            <a:ext uri="{FF2B5EF4-FFF2-40B4-BE49-F238E27FC236}">
              <a16:creationId xmlns:a16="http://schemas.microsoft.com/office/drawing/2014/main" id="{95570EE7-BFD0-420E-BB39-F957BA5E43D2}"/>
            </a:ext>
            <a:ext uri="{147F2762-F138-4A5C-976F-8EAC2B608ADB}">
              <a16:predDERef xmlns:a16="http://schemas.microsoft.com/office/drawing/2014/main" pred="{00000000-0008-0000-1400-00000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1" name="Picture 27" descr="VIAGS xanh">
          <a:extLst>
            <a:ext uri="{FF2B5EF4-FFF2-40B4-BE49-F238E27FC236}">
              <a16:creationId xmlns:a16="http://schemas.microsoft.com/office/drawing/2014/main" id="{3C404A8F-5BC6-4A6B-B432-13B5E685C2E4}"/>
            </a:ext>
            <a:ext uri="{147F2762-F138-4A5C-976F-8EAC2B608ADB}">
              <a16:predDERef xmlns:a16="http://schemas.microsoft.com/office/drawing/2014/main" pred="{529EDC15-86F1-467B-B242-105D46B80D5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D49BCA09-0B46-4B7E-991E-00D699BE297A}"/>
            </a:ext>
            <a:ext uri="{147F2762-F138-4A5C-976F-8EAC2B608ADB}">
              <a16:predDERef xmlns:a16="http://schemas.microsoft.com/office/drawing/2014/main" pred="{3C404A8F-5BC6-4A6B-B432-13B5E685C2E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5A521943-02FD-4B90-983C-F3504EEAA504}"/>
            </a:ext>
            <a:ext uri="{147F2762-F138-4A5C-976F-8EAC2B608ADB}">
              <a16:predDERef xmlns:a16="http://schemas.microsoft.com/office/drawing/2014/main" pred="{D49BCA09-0B46-4B7E-991E-00D699BE297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218DA2AB-1DB9-423A-9C57-AA1626180EBD}"/>
            </a:ext>
            <a:ext uri="{147F2762-F138-4A5C-976F-8EAC2B608ADB}">
              <a16:predDERef xmlns:a16="http://schemas.microsoft.com/office/drawing/2014/main" pred="{5A521943-02FD-4B90-983C-F3504EEAA50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C142FFF5-257E-499A-944F-9AC1BE2725B6}"/>
            </a:ext>
            <a:ext uri="{147F2762-F138-4A5C-976F-8EAC2B608ADB}">
              <a16:predDERef xmlns:a16="http://schemas.microsoft.com/office/drawing/2014/main" pred="{218DA2AB-1DB9-423A-9C57-AA1626180EB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8C24DACC-75CD-4543-ACEB-392D025A3BDB}"/>
            </a:ext>
            <a:ext uri="{147F2762-F138-4A5C-976F-8EAC2B608ADB}">
              <a16:predDERef xmlns:a16="http://schemas.microsoft.com/office/drawing/2014/main" pred="{C142FFF5-257E-499A-944F-9AC1BE2725B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96F45CFA-C581-44B7-B61D-6D2129324B4B}"/>
            </a:ext>
            <a:ext uri="{147F2762-F138-4A5C-976F-8EAC2B608ADB}">
              <a16:predDERef xmlns:a16="http://schemas.microsoft.com/office/drawing/2014/main" pred="{8C24DACC-75CD-4543-ACEB-392D025A3BD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8" name="Picture 10" descr="VIAGS xanh">
          <a:hlinkClick xmlns:r="http://schemas.openxmlformats.org/officeDocument/2006/relationships" r:id="rId2"/>
          <a:extLst>
            <a:ext uri="{FF2B5EF4-FFF2-40B4-BE49-F238E27FC236}">
              <a16:creationId xmlns:a16="http://schemas.microsoft.com/office/drawing/2014/main" id="{340A38A0-C982-4ECA-B1F0-26D4D726F37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0" name="Picture 19" descr="VIAGS xanh">
          <a:extLst>
            <a:ext uri="{FF2B5EF4-FFF2-40B4-BE49-F238E27FC236}">
              <a16:creationId xmlns:a16="http://schemas.microsoft.com/office/drawing/2014/main" id="{7B4DBA2F-E604-40B9-87C2-E586847799D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CBFA290C-E5FD-4939-98E5-D8BE17D15E6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FFB48914-7329-4C1F-99DE-E4F065C1CE8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7A572B83-A37A-4EB6-AA43-6964026F817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1C9140D6-30E4-4232-AD74-B1178D38E8E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D5195AC9-D5A3-42C5-8916-0902E7C717C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7D117E9E-6B5D-4416-9F5A-B712EA0C62B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36A14182-6BC5-4EB2-9A5E-332F6319D40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7">
          <a:extLst>
            <a:ext uri="{FF2B5EF4-FFF2-40B4-BE49-F238E27FC236}">
              <a16:creationId xmlns:a16="http://schemas.microsoft.com/office/drawing/2014/main" id="{7BDCCC50-D9DF-48F1-8F8C-609CFE00703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8">
          <a:extLst>
            <a:ext uri="{FF2B5EF4-FFF2-40B4-BE49-F238E27FC236}">
              <a16:creationId xmlns:a16="http://schemas.microsoft.com/office/drawing/2014/main" id="{4173D55E-3FD2-4698-B5D4-45D0B3AE891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26">
          <a:extLst>
            <a:ext uri="{FF2B5EF4-FFF2-40B4-BE49-F238E27FC236}">
              <a16:creationId xmlns:a16="http://schemas.microsoft.com/office/drawing/2014/main" id="{A8E9A1AD-1D6B-491F-8C4E-44CA16FBFF0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552449A4-BD60-4AA4-8362-E60681C1EE1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56ECB1C5-0015-4F5E-A228-894FA5E5364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4">
          <a:extLst>
            <a:ext uri="{FF2B5EF4-FFF2-40B4-BE49-F238E27FC236}">
              <a16:creationId xmlns:a16="http://schemas.microsoft.com/office/drawing/2014/main" id="{0DAF2707-77E4-4260-8341-DE9420BDFA2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1501D40A-12B0-4C2B-BF57-20733045EB0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D67C03D6-9501-487F-B002-B65A9F7CBC7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85961C76-DB18-48ED-9568-5C3E407AFA4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BCF7594B-BD57-439A-8A9B-86268601002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F1678BCF-911B-44F8-8FAA-3B78CD16740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1FC7E747-E900-4F23-9760-D70C7773A64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7EE3EB49-4DF1-40DB-98AF-D7FB60CFFAE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E06CD9CA-92BD-4527-A2E2-C4540562FD8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38">
          <a:extLst>
            <a:ext uri="{FF2B5EF4-FFF2-40B4-BE49-F238E27FC236}">
              <a16:creationId xmlns:a16="http://schemas.microsoft.com/office/drawing/2014/main" id="{3883C0DB-F77E-4C2D-8081-4C7B821AB38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BF330F99-26DA-473D-B7C8-4B542257EFD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4EB62106-1080-4858-A39B-F066124D456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1.xml><?xml version="1.0" encoding="utf-8"?>
<xdr:wsDr xmlns:xdr="http://schemas.openxmlformats.org/drawingml/2006/spreadsheetDrawing" xmlns:a="http://schemas.openxmlformats.org/drawingml/2006/main">
  <xdr:twoCellAnchor>
    <xdr:from>
      <xdr:col>6</xdr:col>
      <xdr:colOff>190500</xdr:colOff>
      <xdr:row>1</xdr:row>
      <xdr:rowOff>114300</xdr:rowOff>
    </xdr:from>
    <xdr:to>
      <xdr:col>8</xdr:col>
      <xdr:colOff>847725</xdr:colOff>
      <xdr:row>4</xdr:row>
      <xdr:rowOff>57150</xdr:rowOff>
    </xdr:to>
    <xdr:pic>
      <xdr:nvPicPr>
        <xdr:cNvPr id="4" name="Picture 4" descr="VIAGS xanh">
          <a:extLst>
            <a:ext uri="{FF2B5EF4-FFF2-40B4-BE49-F238E27FC236}">
              <a16:creationId xmlns:a16="http://schemas.microsoft.com/office/drawing/2014/main" id="{00000000-0008-0000-15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0325" y="219075"/>
          <a:ext cx="1743075"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5" name="TextBox 4">
          <a:extLst>
            <a:ext uri="{FF2B5EF4-FFF2-40B4-BE49-F238E27FC236}">
              <a16:creationId xmlns:a16="http://schemas.microsoft.com/office/drawing/2014/main" id="{00000000-0008-0000-1500-00000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15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00000000-0008-0000-1500-00000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00000000-0008-0000-1500-00000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00000000-0008-0000-1500-00000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2"/>
          <a:extLst>
            <a:ext uri="{FF2B5EF4-FFF2-40B4-BE49-F238E27FC236}">
              <a16:creationId xmlns:a16="http://schemas.microsoft.com/office/drawing/2014/main" id="{4E86731B-A1C6-4D5B-B1B6-2C62A3C3CC95}"/>
            </a:ext>
            <a:ext uri="{147F2762-F138-4A5C-976F-8EAC2B608ADB}">
              <a16:predDERef xmlns:a16="http://schemas.microsoft.com/office/drawing/2014/main" pred="{00000000-0008-0000-1500-00000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1" name="Picture 27" descr="VIAGS xanh">
          <a:extLst>
            <a:ext uri="{FF2B5EF4-FFF2-40B4-BE49-F238E27FC236}">
              <a16:creationId xmlns:a16="http://schemas.microsoft.com/office/drawing/2014/main" id="{A01FA422-5E9A-4D0A-BC82-8EAA25AA63AB}"/>
            </a:ext>
            <a:ext uri="{147F2762-F138-4A5C-976F-8EAC2B608ADB}">
              <a16:predDERef xmlns:a16="http://schemas.microsoft.com/office/drawing/2014/main" pred="{98DB415D-9F7A-4D35-BDC3-0000BE1C676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89D53CF0-CD58-4D18-A7B6-50013611E969}"/>
            </a:ext>
            <a:ext uri="{147F2762-F138-4A5C-976F-8EAC2B608ADB}">
              <a16:predDERef xmlns:a16="http://schemas.microsoft.com/office/drawing/2014/main" pred="{A01FA422-5E9A-4D0A-BC82-8EAA25AA63A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70709223-9F0E-4FD2-9D63-455012122147}"/>
            </a:ext>
            <a:ext uri="{147F2762-F138-4A5C-976F-8EAC2B608ADB}">
              <a16:predDERef xmlns:a16="http://schemas.microsoft.com/office/drawing/2014/main" pred="{89D53CF0-CD58-4D18-A7B6-50013611E96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C5D68E85-6CBC-4A5F-896A-7B2345C4618B}"/>
            </a:ext>
            <a:ext uri="{147F2762-F138-4A5C-976F-8EAC2B608ADB}">
              <a16:predDERef xmlns:a16="http://schemas.microsoft.com/office/drawing/2014/main" pred="{70709223-9F0E-4FD2-9D63-45501212214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AAB375D8-FB43-4F47-946D-B45FC4EFF8CC}"/>
            </a:ext>
            <a:ext uri="{147F2762-F138-4A5C-976F-8EAC2B608ADB}">
              <a16:predDERef xmlns:a16="http://schemas.microsoft.com/office/drawing/2014/main" pred="{C5D68E85-6CBC-4A5F-896A-7B2345C4618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42B60CF4-43C4-4656-A448-0604E103277D}"/>
            </a:ext>
            <a:ext uri="{147F2762-F138-4A5C-976F-8EAC2B608ADB}">
              <a16:predDERef xmlns:a16="http://schemas.microsoft.com/office/drawing/2014/main" pred="{AAB375D8-FB43-4F47-946D-B45FC4EFF8C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134F7A49-158D-477A-AC07-15125361C890}"/>
            </a:ext>
            <a:ext uri="{147F2762-F138-4A5C-976F-8EAC2B608ADB}">
              <a16:predDERef xmlns:a16="http://schemas.microsoft.com/office/drawing/2014/main" pred="{42B60CF4-43C4-4656-A448-0604E103277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8" name="Picture 10" descr="VIAGS xanh">
          <a:hlinkClick xmlns:r="http://schemas.openxmlformats.org/officeDocument/2006/relationships" r:id="rId2"/>
          <a:extLst>
            <a:ext uri="{FF2B5EF4-FFF2-40B4-BE49-F238E27FC236}">
              <a16:creationId xmlns:a16="http://schemas.microsoft.com/office/drawing/2014/main" id="{46E90C0C-353A-41CE-AF41-289E9C0E23C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0" name="Picture 19" descr="VIAGS xanh">
          <a:extLst>
            <a:ext uri="{FF2B5EF4-FFF2-40B4-BE49-F238E27FC236}">
              <a16:creationId xmlns:a16="http://schemas.microsoft.com/office/drawing/2014/main" id="{36F3E966-6F40-4DB5-8454-1980ED86175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FE8A7EA6-8868-4C56-B6C0-458E5D39566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E66234D9-228B-408D-AF2E-4B1091C7BB4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350927B1-E845-489C-8641-AB4CB961FAD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BAAEE2FD-93F6-40AB-BF31-F7EB33B05BA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CA0B5468-DEBF-4876-92F7-628385B7822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3590226D-1BD9-4F6B-B7D1-2F0077E5D42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EA31549A-3504-4482-A680-96B739B18A7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7">
          <a:extLst>
            <a:ext uri="{FF2B5EF4-FFF2-40B4-BE49-F238E27FC236}">
              <a16:creationId xmlns:a16="http://schemas.microsoft.com/office/drawing/2014/main" id="{59D8BE5D-CD94-447C-92CB-39E57F80FF4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8">
          <a:extLst>
            <a:ext uri="{FF2B5EF4-FFF2-40B4-BE49-F238E27FC236}">
              <a16:creationId xmlns:a16="http://schemas.microsoft.com/office/drawing/2014/main" id="{27E6845B-F790-47DF-8246-241C89E338D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26">
          <a:extLst>
            <a:ext uri="{FF2B5EF4-FFF2-40B4-BE49-F238E27FC236}">
              <a16:creationId xmlns:a16="http://schemas.microsoft.com/office/drawing/2014/main" id="{8DC35023-6A3E-41E7-B9D8-2B871FCD908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2D76ED45-1594-4D7D-9039-C43B17A5257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4B9CB642-A051-4A9A-ADB4-D0E2FB1755E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4">
          <a:extLst>
            <a:ext uri="{FF2B5EF4-FFF2-40B4-BE49-F238E27FC236}">
              <a16:creationId xmlns:a16="http://schemas.microsoft.com/office/drawing/2014/main" id="{24F46474-A284-40AC-9D17-EDDD9A5C80A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DE23FD0B-BB34-4764-9274-D47FB1B3EE9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DBC0567C-5EF0-4530-B448-71CA0800ADB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2714480D-DA44-425D-892B-9C7BC7D7F11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5096B723-FA17-4BB9-A76C-B09E8A2F6CB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3F704212-9C08-4A9A-AD55-1BE0DB03E94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48E1D66A-F8E7-47A7-9679-E51D539AE33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A2E16906-3101-4036-A217-01A58D6D790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E2598363-5E8A-461B-9677-6A03601A7A4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38">
          <a:extLst>
            <a:ext uri="{FF2B5EF4-FFF2-40B4-BE49-F238E27FC236}">
              <a16:creationId xmlns:a16="http://schemas.microsoft.com/office/drawing/2014/main" id="{05EB8E49-2171-4F5C-BD69-3A8D174A154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F6679A58-9E7E-4B53-8F01-B50051A058E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81B406CB-A38C-4D12-9384-9FE9D1D62A9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2.xml><?xml version="1.0" encoding="utf-8"?>
<xdr:wsDr xmlns:xdr="http://schemas.openxmlformats.org/drawingml/2006/spreadsheetDrawing" xmlns:a="http://schemas.openxmlformats.org/drawingml/2006/main">
  <xdr:twoCellAnchor>
    <xdr:from>
      <xdr:col>6</xdr:col>
      <xdr:colOff>190500</xdr:colOff>
      <xdr:row>1</xdr:row>
      <xdr:rowOff>114300</xdr:rowOff>
    </xdr:from>
    <xdr:to>
      <xdr:col>8</xdr:col>
      <xdr:colOff>933450</xdr:colOff>
      <xdr:row>4</xdr:row>
      <xdr:rowOff>57150</xdr:rowOff>
    </xdr:to>
    <xdr:pic>
      <xdr:nvPicPr>
        <xdr:cNvPr id="4" name="Picture 4" descr="VIAGS xanh">
          <a:extLst>
            <a:ext uri="{FF2B5EF4-FFF2-40B4-BE49-F238E27FC236}">
              <a16:creationId xmlns:a16="http://schemas.microsoft.com/office/drawing/2014/main" id="{00000000-0008-0000-1600-000004000000}"/>
            </a:ext>
            <a:ext uri="{147F2762-F138-4A5C-976F-8EAC2B608ADB}">
              <a16:predDERef xmlns:a16="http://schemas.microsoft.com/office/drawing/2014/main" pred="{00000000-0008-0000-16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0325" y="219075"/>
          <a:ext cx="18288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5" name="TextBox 4">
          <a:extLst>
            <a:ext uri="{FF2B5EF4-FFF2-40B4-BE49-F238E27FC236}">
              <a16:creationId xmlns:a16="http://schemas.microsoft.com/office/drawing/2014/main" id="{00000000-0008-0000-1600-00000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16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00000000-0008-0000-1600-00000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00000000-0008-0000-1600-00000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00000000-0008-0000-1600-00000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2"/>
          <a:extLst>
            <a:ext uri="{FF2B5EF4-FFF2-40B4-BE49-F238E27FC236}">
              <a16:creationId xmlns:a16="http://schemas.microsoft.com/office/drawing/2014/main" id="{E3B35D26-7A7B-4FEE-8D79-200891D3E477}"/>
            </a:ext>
            <a:ext uri="{147F2762-F138-4A5C-976F-8EAC2B608ADB}">
              <a16:predDERef xmlns:a16="http://schemas.microsoft.com/office/drawing/2014/main" pred="{00000000-0008-0000-1600-00000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1" name="Picture 27" descr="VIAGS xanh">
          <a:extLst>
            <a:ext uri="{FF2B5EF4-FFF2-40B4-BE49-F238E27FC236}">
              <a16:creationId xmlns:a16="http://schemas.microsoft.com/office/drawing/2014/main" id="{D889263A-E73C-412F-8FF2-01A48D098A32}"/>
            </a:ext>
            <a:ext uri="{147F2762-F138-4A5C-976F-8EAC2B608ADB}">
              <a16:predDERef xmlns:a16="http://schemas.microsoft.com/office/drawing/2014/main" pred="{3A6CCB0E-3C85-4AB8-88C5-D16D6B90E86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B7D250B6-4BDE-4F68-8E1B-F9BFC0C5D800}"/>
            </a:ext>
            <a:ext uri="{147F2762-F138-4A5C-976F-8EAC2B608ADB}">
              <a16:predDERef xmlns:a16="http://schemas.microsoft.com/office/drawing/2014/main" pred="{D889263A-E73C-412F-8FF2-01A48D098A3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14486CE5-CF7A-4672-8B5F-64D31E47010C}"/>
            </a:ext>
            <a:ext uri="{147F2762-F138-4A5C-976F-8EAC2B608ADB}">
              <a16:predDERef xmlns:a16="http://schemas.microsoft.com/office/drawing/2014/main" pred="{B7D250B6-4BDE-4F68-8E1B-F9BFC0C5D80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1F33FF32-D134-44F1-B0DB-FCABE124964A}"/>
            </a:ext>
            <a:ext uri="{147F2762-F138-4A5C-976F-8EAC2B608ADB}">
              <a16:predDERef xmlns:a16="http://schemas.microsoft.com/office/drawing/2014/main" pred="{14486CE5-CF7A-4672-8B5F-64D31E47010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C1911813-53F6-4E7B-AC42-D2179E880F76}"/>
            </a:ext>
            <a:ext uri="{147F2762-F138-4A5C-976F-8EAC2B608ADB}">
              <a16:predDERef xmlns:a16="http://schemas.microsoft.com/office/drawing/2014/main" pred="{1F33FF32-D134-44F1-B0DB-FCABE124964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485EDDC1-92DB-485E-AA7A-699C6F893785}"/>
            </a:ext>
            <a:ext uri="{147F2762-F138-4A5C-976F-8EAC2B608ADB}">
              <a16:predDERef xmlns:a16="http://schemas.microsoft.com/office/drawing/2014/main" pred="{C1911813-53F6-4E7B-AC42-D2179E880F7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FAB38425-B0DD-4C8F-A243-0026CA06A7FF}"/>
            </a:ext>
            <a:ext uri="{147F2762-F138-4A5C-976F-8EAC2B608ADB}">
              <a16:predDERef xmlns:a16="http://schemas.microsoft.com/office/drawing/2014/main" pred="{485EDDC1-92DB-485E-AA7A-699C6F89378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8" name="Picture 10" descr="VIAGS xanh">
          <a:hlinkClick xmlns:r="http://schemas.openxmlformats.org/officeDocument/2006/relationships" r:id="rId2"/>
          <a:extLst>
            <a:ext uri="{FF2B5EF4-FFF2-40B4-BE49-F238E27FC236}">
              <a16:creationId xmlns:a16="http://schemas.microsoft.com/office/drawing/2014/main" id="{03A4286D-09D0-4321-857B-50D79AE781A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0" name="Picture 19" descr="VIAGS xanh">
          <a:extLst>
            <a:ext uri="{FF2B5EF4-FFF2-40B4-BE49-F238E27FC236}">
              <a16:creationId xmlns:a16="http://schemas.microsoft.com/office/drawing/2014/main" id="{A2340692-EB9F-4C5C-9CDD-C9DB8487DD0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A6B3DCF6-99DD-4B34-9336-D2338DF19F6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CED47949-568C-4129-980E-202F08245CB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AE5B64DC-F08D-4AED-8361-758A538430F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30B8F4A7-0B13-44CB-A28D-5126EC8B036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FE9EFA40-20F4-4775-9A16-267E0A4C36B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5FAEE7D3-D8F9-4B25-A815-1FA18684E28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96BE8506-E10F-484D-A5FE-E3AB2048DC2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7">
          <a:extLst>
            <a:ext uri="{FF2B5EF4-FFF2-40B4-BE49-F238E27FC236}">
              <a16:creationId xmlns:a16="http://schemas.microsoft.com/office/drawing/2014/main" id="{34CB64EE-FCFD-4AE1-8BA8-3098B33BB6D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8">
          <a:extLst>
            <a:ext uri="{FF2B5EF4-FFF2-40B4-BE49-F238E27FC236}">
              <a16:creationId xmlns:a16="http://schemas.microsoft.com/office/drawing/2014/main" id="{36E56B35-56C3-4800-BFE4-FA82BF77544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26">
          <a:extLst>
            <a:ext uri="{FF2B5EF4-FFF2-40B4-BE49-F238E27FC236}">
              <a16:creationId xmlns:a16="http://schemas.microsoft.com/office/drawing/2014/main" id="{45871B56-C7A2-4F6B-B7BE-4ED49E2A1C8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14DECCCE-0CB5-4083-93FE-2B132F3D5A9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B085D743-4A00-4BCE-8771-0B2E22D9FCF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4">
          <a:extLst>
            <a:ext uri="{FF2B5EF4-FFF2-40B4-BE49-F238E27FC236}">
              <a16:creationId xmlns:a16="http://schemas.microsoft.com/office/drawing/2014/main" id="{286E7279-9467-4871-AF2E-1527AD849E1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E973D3BC-53CB-4F15-9B03-4DC8A7E3904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0452CA50-E9B5-4F33-B4F9-FA16BE71A44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3597F7B4-EB1A-4392-A5E2-01CB405DCE5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87443128-6825-495F-BD57-68DE98BA8FB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4106BE5A-8505-44CA-B850-966ECAC5861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35E6F8F1-BF3A-42A6-8330-0F024EFFB8E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2F8A8F15-4B3B-44A7-BB82-8E13A086105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9A3EBF31-F412-4C2C-850A-C797D157DB9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38">
          <a:extLst>
            <a:ext uri="{FF2B5EF4-FFF2-40B4-BE49-F238E27FC236}">
              <a16:creationId xmlns:a16="http://schemas.microsoft.com/office/drawing/2014/main" id="{D660EA05-AD04-4548-823E-C2BF7014E63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F3434A50-71DD-4859-8069-A2C879F36D5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E4F37567-D32A-48AE-B3B9-2992D8F3586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17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 name="TextBox 5">
          <a:extLst>
            <a:ext uri="{FF2B5EF4-FFF2-40B4-BE49-F238E27FC236}">
              <a16:creationId xmlns:a16="http://schemas.microsoft.com/office/drawing/2014/main" id="{00000000-0008-0000-1700-000006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7" name="TextBox 4">
          <a:extLst>
            <a:ext uri="{FF2B5EF4-FFF2-40B4-BE49-F238E27FC236}">
              <a16:creationId xmlns:a16="http://schemas.microsoft.com/office/drawing/2014/main" id="{00000000-0008-0000-1700-000007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00000000-0008-0000-1700-00000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00000000-0008-0000-1700-00000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5" name="Picture 10" descr="VIAGS xanh">
          <a:hlinkClick xmlns:r="http://schemas.openxmlformats.org/officeDocument/2006/relationships" r:id="rId1"/>
          <a:extLst>
            <a:ext uri="{FF2B5EF4-FFF2-40B4-BE49-F238E27FC236}">
              <a16:creationId xmlns:a16="http://schemas.microsoft.com/office/drawing/2014/main" id="{360EFD6F-6812-4F9D-B5A3-80008DE8DE85}"/>
            </a:ext>
            <a:ext uri="{147F2762-F138-4A5C-976F-8EAC2B608ADB}">
              <a16:predDERef xmlns:a16="http://schemas.microsoft.com/office/drawing/2014/main" pred="{00000000-0008-0000-17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0" name="Picture 4" descr="VIAGS xanh">
          <a:extLst>
            <a:ext uri="{FF2B5EF4-FFF2-40B4-BE49-F238E27FC236}">
              <a16:creationId xmlns:a16="http://schemas.microsoft.com/office/drawing/2014/main" id="{D0000E19-4EB3-4D23-BD6C-4F848431860B}"/>
            </a:ext>
            <a:ext uri="{147F2762-F138-4A5C-976F-8EAC2B608ADB}">
              <a16:predDERef xmlns:a16="http://schemas.microsoft.com/office/drawing/2014/main" pred="{360EFD6F-6812-4F9D-B5A3-80008DE8DE8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1" name="Picture 27" descr="VIAGS xanh">
          <a:extLst>
            <a:ext uri="{FF2B5EF4-FFF2-40B4-BE49-F238E27FC236}">
              <a16:creationId xmlns:a16="http://schemas.microsoft.com/office/drawing/2014/main" id="{17854F09-10C1-41E1-A1BC-967AB6790C2A}"/>
            </a:ext>
            <a:ext uri="{147F2762-F138-4A5C-976F-8EAC2B608ADB}">
              <a16:predDERef xmlns:a16="http://schemas.microsoft.com/office/drawing/2014/main" pred="{D0000E19-4EB3-4D23-BD6C-4F848431860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157D8215-3F49-43AD-BCBB-3C4DD17109A3}"/>
            </a:ext>
            <a:ext uri="{147F2762-F138-4A5C-976F-8EAC2B608ADB}">
              <a16:predDERef xmlns:a16="http://schemas.microsoft.com/office/drawing/2014/main" pred="{17854F09-10C1-41E1-A1BC-967AB6790C2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51A6F6E8-B69D-49EE-8695-5409877573A8}"/>
            </a:ext>
            <a:ext uri="{147F2762-F138-4A5C-976F-8EAC2B608ADB}">
              <a16:predDERef xmlns:a16="http://schemas.microsoft.com/office/drawing/2014/main" pred="{157D8215-3F49-43AD-BCBB-3C4DD17109A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EAB409BD-27D9-4521-A26C-7C697E3B810A}"/>
            </a:ext>
            <a:ext uri="{147F2762-F138-4A5C-976F-8EAC2B608ADB}">
              <a16:predDERef xmlns:a16="http://schemas.microsoft.com/office/drawing/2014/main" pred="{51A6F6E8-B69D-49EE-8695-5409877573A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CD520E89-1E19-4DB9-A861-D619F57D310F}"/>
            </a:ext>
            <a:ext uri="{147F2762-F138-4A5C-976F-8EAC2B608ADB}">
              <a16:predDERef xmlns:a16="http://schemas.microsoft.com/office/drawing/2014/main" pred="{EAB409BD-27D9-4521-A26C-7C697E3B810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14F9F049-2C03-4B67-9072-5EC8B04D2449}"/>
            </a:ext>
            <a:ext uri="{147F2762-F138-4A5C-976F-8EAC2B608ADB}">
              <a16:predDERef xmlns:a16="http://schemas.microsoft.com/office/drawing/2014/main" pred="{CD520E89-1E19-4DB9-A861-D619F57D310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6BB46240-713D-4049-87C4-82AD47786957}"/>
            </a:ext>
            <a:ext uri="{147F2762-F138-4A5C-976F-8EAC2B608ADB}">
              <a16:predDERef xmlns:a16="http://schemas.microsoft.com/office/drawing/2014/main" pred="{14F9F049-2C03-4B67-9072-5EC8B04D244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8" name="Picture 10" descr="VIAGS xanh">
          <a:hlinkClick xmlns:r="http://schemas.openxmlformats.org/officeDocument/2006/relationships" r:id="rId1"/>
          <a:extLst>
            <a:ext uri="{FF2B5EF4-FFF2-40B4-BE49-F238E27FC236}">
              <a16:creationId xmlns:a16="http://schemas.microsoft.com/office/drawing/2014/main" id="{A020907A-B64D-42FB-A57C-FC469AF367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9" name="Picture 4" descr="VIAGS xanh">
          <a:extLst>
            <a:ext uri="{FF2B5EF4-FFF2-40B4-BE49-F238E27FC236}">
              <a16:creationId xmlns:a16="http://schemas.microsoft.com/office/drawing/2014/main" id="{AAE29B52-8D5E-43BD-A6D6-88C322517714}"/>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0" name="Picture 19" descr="VIAGS xanh">
          <a:extLst>
            <a:ext uri="{FF2B5EF4-FFF2-40B4-BE49-F238E27FC236}">
              <a16:creationId xmlns:a16="http://schemas.microsoft.com/office/drawing/2014/main" id="{7AE4F829-E656-4B34-AA5D-7626B27D30A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25767807-A168-4FAB-B4C5-8ABD5C1EC02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E3492177-8C3F-4590-AE4C-0AFB5FF3694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44C2570F-616F-46FB-B0BA-3C179A4F8D1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0C2B821D-3E32-47C0-AA7F-547468EB515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8937F428-7DCB-48DF-95E2-904D7AE8E4C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857185E1-18D1-4D94-92EC-95A728D64A3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5D62DFC3-F2C8-48E7-9B85-204127A9923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7">
          <a:extLst>
            <a:ext uri="{FF2B5EF4-FFF2-40B4-BE49-F238E27FC236}">
              <a16:creationId xmlns:a16="http://schemas.microsoft.com/office/drawing/2014/main" id="{78A9654D-76DF-4B87-94F2-467D2F2B153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16133D5E-BF39-462A-AAFB-EBB952BA4B2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2FC242D1-F27F-40A6-98C8-2F43991EE36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813B4B2C-E0E2-4612-A953-7F521F4ED07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33BF99E7-399C-4687-92DB-C4EF96CD177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12090923-BDA5-4DEF-8A54-E42C5B42C68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664D4E57-658A-4C2F-B66B-D1DBCEEDF15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F5ECCE62-CD75-455C-8584-0723FA6E982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B8C66513-0A38-4B18-BB96-BB12B5EC47E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4532026A-5BBA-4612-A7E4-2A5FE46E110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04E2B569-11AD-44E1-9085-754C467A45A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B545FCCC-0C1D-4BC0-BE26-C2BDF727A13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D2EAF36B-5C19-4B4B-8818-3118BFA2C82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9DC67991-AFC7-40C0-A7DA-3BAA8EE68A0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C8E96414-EE44-49B7-985F-20A5E074AA3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0312B98D-944F-4D6D-9214-3CEA95DB688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7CEEF156-089D-4C62-BFF1-1B8FFD39803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5" name="TextBox 4">
          <a:extLst>
            <a:ext uri="{FF2B5EF4-FFF2-40B4-BE49-F238E27FC236}">
              <a16:creationId xmlns:a16="http://schemas.microsoft.com/office/drawing/2014/main" id="{00000000-0008-0000-1800-000005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1800-000007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00000000-0008-0000-1800-00000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00000000-0008-0000-1800-00000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00000000-0008-0000-1800-00000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5BB18A85-4C73-4E5B-9817-B0394E496A02}"/>
            </a:ext>
            <a:ext uri="{147F2762-F138-4A5C-976F-8EAC2B608ADB}">
              <a16:predDERef xmlns:a16="http://schemas.microsoft.com/office/drawing/2014/main" pred="{00000000-0008-0000-18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0" name="Picture 4" descr="VIAGS xanh">
          <a:extLst>
            <a:ext uri="{FF2B5EF4-FFF2-40B4-BE49-F238E27FC236}">
              <a16:creationId xmlns:a16="http://schemas.microsoft.com/office/drawing/2014/main" id="{C6919AD0-526B-4D99-A5BC-E9833B5858AB}"/>
            </a:ext>
            <a:ext uri="{147F2762-F138-4A5C-976F-8EAC2B608ADB}">
              <a16:predDERef xmlns:a16="http://schemas.microsoft.com/office/drawing/2014/main" pred="{5BB18A85-4C73-4E5B-9817-B0394E496A0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1" name="Picture 27" descr="VIAGS xanh">
          <a:extLst>
            <a:ext uri="{FF2B5EF4-FFF2-40B4-BE49-F238E27FC236}">
              <a16:creationId xmlns:a16="http://schemas.microsoft.com/office/drawing/2014/main" id="{A72A72EE-5C0B-459B-B6E5-D15319189EED}"/>
            </a:ext>
            <a:ext uri="{147F2762-F138-4A5C-976F-8EAC2B608ADB}">
              <a16:predDERef xmlns:a16="http://schemas.microsoft.com/office/drawing/2014/main" pred="{C6919AD0-526B-4D99-A5BC-E9833B5858A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8E90CFCB-2F0C-4EA9-B0E9-F55AF83DB641}"/>
            </a:ext>
            <a:ext uri="{147F2762-F138-4A5C-976F-8EAC2B608ADB}">
              <a16:predDERef xmlns:a16="http://schemas.microsoft.com/office/drawing/2014/main" pred="{A72A72EE-5C0B-459B-B6E5-D15319189EE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6175A89E-D86B-49A9-812E-08F0A19A7A42}"/>
            </a:ext>
            <a:ext uri="{147F2762-F138-4A5C-976F-8EAC2B608ADB}">
              <a16:predDERef xmlns:a16="http://schemas.microsoft.com/office/drawing/2014/main" pred="{8E90CFCB-2F0C-4EA9-B0E9-F55AF83DB64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891E3132-2AA5-4385-B497-A178210A5610}"/>
            </a:ext>
            <a:ext uri="{147F2762-F138-4A5C-976F-8EAC2B608ADB}">
              <a16:predDERef xmlns:a16="http://schemas.microsoft.com/office/drawing/2014/main" pred="{6175A89E-D86B-49A9-812E-08F0A19A7A4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BCD09352-5124-4F05-8B43-EFDB68661726}"/>
            </a:ext>
            <a:ext uri="{147F2762-F138-4A5C-976F-8EAC2B608ADB}">
              <a16:predDERef xmlns:a16="http://schemas.microsoft.com/office/drawing/2014/main" pred="{891E3132-2AA5-4385-B497-A178210A561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1A5C35B3-AB58-4B03-A824-0E4B230F3E43}"/>
            </a:ext>
            <a:ext uri="{147F2762-F138-4A5C-976F-8EAC2B608ADB}">
              <a16:predDERef xmlns:a16="http://schemas.microsoft.com/office/drawing/2014/main" pred="{BCD09352-5124-4F05-8B43-EFDB6866172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E51D5093-9FC9-41BF-B922-1B133EC88D41}"/>
            </a:ext>
            <a:ext uri="{147F2762-F138-4A5C-976F-8EAC2B608ADB}">
              <a16:predDERef xmlns:a16="http://schemas.microsoft.com/office/drawing/2014/main" pred="{1A5C35B3-AB58-4B03-A824-0E4B230F3E4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8" name="Picture 10" descr="VIAGS xanh">
          <a:hlinkClick xmlns:r="http://schemas.openxmlformats.org/officeDocument/2006/relationships" r:id="rId1"/>
          <a:extLst>
            <a:ext uri="{FF2B5EF4-FFF2-40B4-BE49-F238E27FC236}">
              <a16:creationId xmlns:a16="http://schemas.microsoft.com/office/drawing/2014/main" id="{96A0C799-E46D-4DEF-8E60-D001519017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9" name="Picture 4" descr="VIAGS xanh">
          <a:extLst>
            <a:ext uri="{FF2B5EF4-FFF2-40B4-BE49-F238E27FC236}">
              <a16:creationId xmlns:a16="http://schemas.microsoft.com/office/drawing/2014/main" id="{8C210165-C60F-4E11-8356-F21827C9B060}"/>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0" name="Picture 19" descr="VIAGS xanh">
          <a:extLst>
            <a:ext uri="{FF2B5EF4-FFF2-40B4-BE49-F238E27FC236}">
              <a16:creationId xmlns:a16="http://schemas.microsoft.com/office/drawing/2014/main" id="{04098A3E-1E54-48C5-960D-7C482428BA3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6A2224D4-3964-4DB4-9053-6DF5AA1459F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34839BD9-4E72-498A-9DA3-EF892204D3D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3ACD529B-6BCA-4A71-8F3E-66B69591B58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F7AE4CEE-3751-4DC4-B864-17140F40573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4C298AAF-0FA5-4CE6-94EB-9A200B6335B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E89DA086-4E1D-4510-BF18-043CA0FCFD7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8B7D7192-BB96-47F6-B8F0-3F2C608AE5C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 name="TextBox 7">
          <a:extLst>
            <a:ext uri="{FF2B5EF4-FFF2-40B4-BE49-F238E27FC236}">
              <a16:creationId xmlns:a16="http://schemas.microsoft.com/office/drawing/2014/main" id="{75D86353-D013-4A56-90ED-B4DB34A61DB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E1167929-20D9-4124-A52D-5829891C7F0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12068C28-C5FE-44F4-B7C0-359DE3CEAE8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204F7680-D1DB-444A-AB2E-7045A851801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476E9198-0327-4E92-B176-680EECA4A8C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050B46F7-DE60-4480-8201-4EB4CFC4DB0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F617D3BA-0C9F-46D1-87BF-77F742B8502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5BFBEBCD-A3A7-442F-8EBB-AFBB5D83556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3A185881-1E69-4E27-A027-E5E8DFF275E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48E3D274-10B8-4C6C-81A7-B5B82879DFA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518954D7-BA39-4BA2-B427-D2CE92AA4A0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E01B4F5C-77FA-41B0-8D85-03574A69509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A13AEF04-53A8-4EF8-858B-B6F13803C50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8022B36B-83DD-442F-8C3E-41375E2ABDF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47D52BA3-68D8-4384-8E44-B5C2633E9CB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9EFD3B2D-29E5-4C04-B623-4DE41A0E1E1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FBC69052-8B51-40C4-94B9-77FA79E6135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5" name="TextBox 4">
          <a:extLst>
            <a:ext uri="{FF2B5EF4-FFF2-40B4-BE49-F238E27FC236}">
              <a16:creationId xmlns:a16="http://schemas.microsoft.com/office/drawing/2014/main" id="{00000000-0008-0000-1900-000005000000}"/>
            </a:ext>
          </a:extLst>
        </xdr:cNvPr>
        <xdr:cNvSpPr txBox="1"/>
      </xdr:nvSpPr>
      <xdr:spPr>
        <a:xfrm>
          <a:off x="127730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1900-000007000000}"/>
            </a:ext>
          </a:extLst>
        </xdr:cNvPr>
        <xdr:cNvSpPr txBox="1"/>
      </xdr:nvSpPr>
      <xdr:spPr>
        <a:xfrm>
          <a:off x="127730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00000000-0008-0000-1900-00000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00000000-0008-0000-1900-00000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00000000-0008-0000-1900-00000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E5D23B60-84CD-46B7-8701-E726437B8B20}"/>
            </a:ext>
            <a:ext uri="{147F2762-F138-4A5C-976F-8EAC2B608ADB}">
              <a16:predDERef xmlns:a16="http://schemas.microsoft.com/office/drawing/2014/main" pred="{00000000-0008-0000-19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0" name="Picture 4" descr="VIAGS xanh">
          <a:extLst>
            <a:ext uri="{FF2B5EF4-FFF2-40B4-BE49-F238E27FC236}">
              <a16:creationId xmlns:a16="http://schemas.microsoft.com/office/drawing/2014/main" id="{BAE72ACE-EA7D-4BC9-A6B1-D099C41306DF}"/>
            </a:ext>
            <a:ext uri="{147F2762-F138-4A5C-976F-8EAC2B608ADB}">
              <a16:predDERef xmlns:a16="http://schemas.microsoft.com/office/drawing/2014/main" pred="{E5D23B60-84CD-46B7-8701-E726437B8B2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1" name="Picture 27" descr="VIAGS xanh">
          <a:extLst>
            <a:ext uri="{FF2B5EF4-FFF2-40B4-BE49-F238E27FC236}">
              <a16:creationId xmlns:a16="http://schemas.microsoft.com/office/drawing/2014/main" id="{499EC9BE-B461-426A-90F0-FB350AC5B109}"/>
            </a:ext>
            <a:ext uri="{147F2762-F138-4A5C-976F-8EAC2B608ADB}">
              <a16:predDERef xmlns:a16="http://schemas.microsoft.com/office/drawing/2014/main" pred="{BAE72ACE-EA7D-4BC9-A6B1-D099C41306D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B076B145-BD53-45E5-A494-F92558EBE940}"/>
            </a:ext>
            <a:ext uri="{147F2762-F138-4A5C-976F-8EAC2B608ADB}">
              <a16:predDERef xmlns:a16="http://schemas.microsoft.com/office/drawing/2014/main" pred="{499EC9BE-B461-426A-90F0-FB350AC5B10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66EAF643-7A32-4863-8D1F-8B8CE2233830}"/>
            </a:ext>
            <a:ext uri="{147F2762-F138-4A5C-976F-8EAC2B608ADB}">
              <a16:predDERef xmlns:a16="http://schemas.microsoft.com/office/drawing/2014/main" pred="{B076B145-BD53-45E5-A494-F92558EBE94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5A29C970-05FF-4D68-AE23-606F433E8FAF}"/>
            </a:ext>
            <a:ext uri="{147F2762-F138-4A5C-976F-8EAC2B608ADB}">
              <a16:predDERef xmlns:a16="http://schemas.microsoft.com/office/drawing/2014/main" pred="{66EAF643-7A32-4863-8D1F-8B8CE223383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40385217-46CB-4F4C-95FF-F407084C5626}"/>
            </a:ext>
            <a:ext uri="{147F2762-F138-4A5C-976F-8EAC2B608ADB}">
              <a16:predDERef xmlns:a16="http://schemas.microsoft.com/office/drawing/2014/main" pred="{5A29C970-05FF-4D68-AE23-606F433E8FA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585085BC-BA6C-4C5E-BCB6-6588151D393E}"/>
            </a:ext>
            <a:ext uri="{147F2762-F138-4A5C-976F-8EAC2B608ADB}">
              <a16:predDERef xmlns:a16="http://schemas.microsoft.com/office/drawing/2014/main" pred="{40385217-46CB-4F4C-95FF-F407084C562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5FC096D8-307D-421A-A58B-B37DFEEB9E7B}"/>
            </a:ext>
            <a:ext uri="{147F2762-F138-4A5C-976F-8EAC2B608ADB}">
              <a16:predDERef xmlns:a16="http://schemas.microsoft.com/office/drawing/2014/main" pred="{585085BC-BA6C-4C5E-BCB6-6588151D393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8" name="Picture 10" descr="VIAGS xanh">
          <a:hlinkClick xmlns:r="http://schemas.openxmlformats.org/officeDocument/2006/relationships" r:id="rId1"/>
          <a:extLst>
            <a:ext uri="{FF2B5EF4-FFF2-40B4-BE49-F238E27FC236}">
              <a16:creationId xmlns:a16="http://schemas.microsoft.com/office/drawing/2014/main" id="{77295B78-FEC4-46AB-88ED-3C6B89525E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9" name="Picture 4" descr="VIAGS xanh">
          <a:extLst>
            <a:ext uri="{FF2B5EF4-FFF2-40B4-BE49-F238E27FC236}">
              <a16:creationId xmlns:a16="http://schemas.microsoft.com/office/drawing/2014/main" id="{780A84D1-941D-4F34-9A7D-FDBF9BB67F41}"/>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0" name="Picture 19" descr="VIAGS xanh">
          <a:extLst>
            <a:ext uri="{FF2B5EF4-FFF2-40B4-BE49-F238E27FC236}">
              <a16:creationId xmlns:a16="http://schemas.microsoft.com/office/drawing/2014/main" id="{FF04CBF7-6883-49C6-9657-5E941314CAB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44E4358E-04FC-4B31-8164-A064D067782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ADE92CF8-9338-4640-947B-651F14B5457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09D0A109-D7E0-4A33-A11B-FAF946B4446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F4001360-8CDE-4FA1-A0F9-FEC2453720A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50572C3A-F136-4AD4-9F2B-29B0799E83B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008662C1-8309-4B4C-9B8F-24AC87C2B08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1A604E1F-83C4-466F-9CB4-09FE852B0F0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 name="TextBox 7">
          <a:extLst>
            <a:ext uri="{FF2B5EF4-FFF2-40B4-BE49-F238E27FC236}">
              <a16:creationId xmlns:a16="http://schemas.microsoft.com/office/drawing/2014/main" id="{76A6A7B7-DFCB-44CD-9C81-BC48BBF9236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C2D93B47-7519-400C-AE24-3F510C2F0DF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30AC7BF8-2A4C-4BEF-9322-082E593CA96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B4297D78-E12A-4E22-9D4A-15C9A3BCBA0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68C5C098-B196-4C42-BB5F-3686B31E896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39CF3439-C2C1-4036-977F-B68BC7E4612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C89ACEED-D53B-4EF2-9614-D71E1C28FCC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81C788A8-E023-47DE-B8B0-D0137760D40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01A2528C-95B6-482B-92AD-83349F525B7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CD7BDF02-AB9C-444A-A541-6239AB85E6F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E595ECA6-E625-4C9F-851E-8D2E7905347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500C9A5F-0CDD-42BE-9BC3-BC2659F550D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36CBE51C-B3E5-402D-9892-D1CDB841EE1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87B0C05F-3A0B-45F2-8ACC-B626BBF5AE4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2B320AF8-BB35-42BA-BB12-15E5B33B0BF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0C7FC130-2D53-4B39-A431-CC27BCBB59D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DF542711-7068-4415-8270-D95E18CE983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6.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8" name="TextBox 4">
          <a:extLst>
            <a:ext uri="{FF2B5EF4-FFF2-40B4-BE49-F238E27FC236}">
              <a16:creationId xmlns:a16="http://schemas.microsoft.com/office/drawing/2014/main" id="{00000000-0008-0000-1A00-000008000000}"/>
            </a:ext>
            <a:ext uri="{147F2762-F138-4A5C-976F-8EAC2B608ADB}">
              <a16:predDERef xmlns:a16="http://schemas.microsoft.com/office/drawing/2014/main" pred="{144DCFC9-1B53-4E26-B335-5E195C984B5F}"/>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 name="TextBox 6">
          <a:extLst>
            <a:ext uri="{FF2B5EF4-FFF2-40B4-BE49-F238E27FC236}">
              <a16:creationId xmlns:a16="http://schemas.microsoft.com/office/drawing/2014/main" id="{00000000-0008-0000-1A00-00000A000000}"/>
            </a:ext>
            <a:ext uri="{147F2762-F138-4A5C-976F-8EAC2B608ADB}">
              <a16:predDERef xmlns:a16="http://schemas.microsoft.com/office/drawing/2014/main" pred="{FBBE80A4-B7C0-459F-B085-23BFE331FEED}"/>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1" name="TextBox 4">
          <a:extLst>
            <a:ext uri="{FF2B5EF4-FFF2-40B4-BE49-F238E27FC236}">
              <a16:creationId xmlns:a16="http://schemas.microsoft.com/office/drawing/2014/main" id="{00000000-0008-0000-1A00-00000B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7">
          <a:extLst>
            <a:ext uri="{FF2B5EF4-FFF2-40B4-BE49-F238E27FC236}">
              <a16:creationId xmlns:a16="http://schemas.microsoft.com/office/drawing/2014/main" id="{00000000-0008-0000-1A00-00000C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8">
          <a:extLst>
            <a:ext uri="{FF2B5EF4-FFF2-40B4-BE49-F238E27FC236}">
              <a16:creationId xmlns:a16="http://schemas.microsoft.com/office/drawing/2014/main" id="{00000000-0008-0000-1A00-00000D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375CCF2C-1486-4F91-93A5-F4B07AEC725E}"/>
            </a:ext>
            <a:ext uri="{147F2762-F138-4A5C-976F-8EAC2B608ADB}">
              <a16:predDERef xmlns:a16="http://schemas.microsoft.com/office/drawing/2014/main" pred="{00000000-0008-0000-1A00-00000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3" name="Picture 4" descr="VIAGS xanh">
          <a:extLst>
            <a:ext uri="{FF2B5EF4-FFF2-40B4-BE49-F238E27FC236}">
              <a16:creationId xmlns:a16="http://schemas.microsoft.com/office/drawing/2014/main" id="{4765A48C-0A04-4934-A4E7-20CA88725F2E}"/>
            </a:ext>
            <a:ext uri="{147F2762-F138-4A5C-976F-8EAC2B608ADB}">
              <a16:predDERef xmlns:a16="http://schemas.microsoft.com/office/drawing/2014/main" pred="{375CCF2C-1486-4F91-93A5-F4B07AEC725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4" name="Picture 27" descr="VIAGS xanh">
          <a:extLst>
            <a:ext uri="{FF2B5EF4-FFF2-40B4-BE49-F238E27FC236}">
              <a16:creationId xmlns:a16="http://schemas.microsoft.com/office/drawing/2014/main" id="{0C0B94AA-AD38-4D47-BE63-71EF7D30495D}"/>
            </a:ext>
            <a:ext uri="{147F2762-F138-4A5C-976F-8EAC2B608ADB}">
              <a16:predDERef xmlns:a16="http://schemas.microsoft.com/office/drawing/2014/main" pred="{4765A48C-0A04-4934-A4E7-20CA88725F2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31F33E28-3891-422B-8F58-64134BF50FED}"/>
            </a:ext>
            <a:ext uri="{147F2762-F138-4A5C-976F-8EAC2B608ADB}">
              <a16:predDERef xmlns:a16="http://schemas.microsoft.com/office/drawing/2014/main" pred="{0C0B94AA-AD38-4D47-BE63-71EF7D30495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A7D8716E-41F3-4E72-A8F7-DBF73C7CE5C5}"/>
            </a:ext>
            <a:ext uri="{147F2762-F138-4A5C-976F-8EAC2B608ADB}">
              <a16:predDERef xmlns:a16="http://schemas.microsoft.com/office/drawing/2014/main" pred="{31F33E28-3891-422B-8F58-64134BF50FE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54C1CFCA-64FC-4282-A24C-D9968E2509D5}"/>
            </a:ext>
            <a:ext uri="{147F2762-F138-4A5C-976F-8EAC2B608ADB}">
              <a16:predDERef xmlns:a16="http://schemas.microsoft.com/office/drawing/2014/main" pred="{A7D8716E-41F3-4E72-A8F7-DBF73C7CE5C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4">
          <a:extLst>
            <a:ext uri="{FF2B5EF4-FFF2-40B4-BE49-F238E27FC236}">
              <a16:creationId xmlns:a16="http://schemas.microsoft.com/office/drawing/2014/main" id="{B5E35479-6FA2-40BC-9302-C3DF158C1E3C}"/>
            </a:ext>
            <a:ext uri="{147F2762-F138-4A5C-976F-8EAC2B608ADB}">
              <a16:predDERef xmlns:a16="http://schemas.microsoft.com/office/drawing/2014/main" pred="{54C1CFCA-64FC-4282-A24C-D9968E2509D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7">
          <a:extLst>
            <a:ext uri="{FF2B5EF4-FFF2-40B4-BE49-F238E27FC236}">
              <a16:creationId xmlns:a16="http://schemas.microsoft.com/office/drawing/2014/main" id="{EC17F9A6-9231-4591-A4EB-BC21A5600645}"/>
            </a:ext>
            <a:ext uri="{147F2762-F138-4A5C-976F-8EAC2B608ADB}">
              <a16:predDERef xmlns:a16="http://schemas.microsoft.com/office/drawing/2014/main" pred="{B5E35479-6FA2-40BC-9302-C3DF158C1E3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8">
          <a:extLst>
            <a:ext uri="{FF2B5EF4-FFF2-40B4-BE49-F238E27FC236}">
              <a16:creationId xmlns:a16="http://schemas.microsoft.com/office/drawing/2014/main" id="{E4D2C8F0-99C0-4789-AFA3-2C8DC5391FAC}"/>
            </a:ext>
            <a:ext uri="{147F2762-F138-4A5C-976F-8EAC2B608ADB}">
              <a16:predDERef xmlns:a16="http://schemas.microsoft.com/office/drawing/2014/main" pred="{EC17F9A6-9231-4591-A4EB-BC21A560064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9" name="Picture 10" descr="VIAGS xanh">
          <a:hlinkClick xmlns:r="http://schemas.openxmlformats.org/officeDocument/2006/relationships" r:id="rId1"/>
          <a:extLst>
            <a:ext uri="{FF2B5EF4-FFF2-40B4-BE49-F238E27FC236}">
              <a16:creationId xmlns:a16="http://schemas.microsoft.com/office/drawing/2014/main" id="{D2F7BFBE-A34A-4B88-A904-E448699157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20" name="Picture 4" descr="VIAGS xanh">
          <a:extLst>
            <a:ext uri="{FF2B5EF4-FFF2-40B4-BE49-F238E27FC236}">
              <a16:creationId xmlns:a16="http://schemas.microsoft.com/office/drawing/2014/main" id="{F0E9B246-9723-4CCB-B1D2-F3FFC83E285E}"/>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1" name="Picture 20" descr="VIAGS xanh">
          <a:extLst>
            <a:ext uri="{FF2B5EF4-FFF2-40B4-BE49-F238E27FC236}">
              <a16:creationId xmlns:a16="http://schemas.microsoft.com/office/drawing/2014/main" id="{4D21B0D6-06E6-446E-BF94-7C132C55DEA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6087FDA2-A1BD-4A8A-9B3E-06FBA5AB1FB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C40C7479-F5D7-4216-BDCE-7DBDC86C729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BBDB765A-F849-41D8-915B-33644471310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8BC6CB6F-5BBE-4C82-BE5F-DC2CFDD5330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682BC313-2871-45C4-8EEF-DB4E49441E1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47EF4A1D-572C-4D0E-90D1-F90786188E3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9738CBA0-DF4E-42FF-B313-5BDA2DED6AC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7">
          <a:extLst>
            <a:ext uri="{FF2B5EF4-FFF2-40B4-BE49-F238E27FC236}">
              <a16:creationId xmlns:a16="http://schemas.microsoft.com/office/drawing/2014/main" id="{EBBC068E-822B-41DE-8908-CBF96ADD3E4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8">
          <a:extLst>
            <a:ext uri="{FF2B5EF4-FFF2-40B4-BE49-F238E27FC236}">
              <a16:creationId xmlns:a16="http://schemas.microsoft.com/office/drawing/2014/main" id="{3C866B64-6981-42F9-96DF-6989A88013F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28">
          <a:extLst>
            <a:ext uri="{FF2B5EF4-FFF2-40B4-BE49-F238E27FC236}">
              <a16:creationId xmlns:a16="http://schemas.microsoft.com/office/drawing/2014/main" id="{54E20783-012E-4A5F-B812-31643611196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D8992EF4-52AF-40A7-A99B-040724C0916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874B8027-BCA6-446D-A3B6-24F82172AF4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4">
          <a:extLst>
            <a:ext uri="{FF2B5EF4-FFF2-40B4-BE49-F238E27FC236}">
              <a16:creationId xmlns:a16="http://schemas.microsoft.com/office/drawing/2014/main" id="{BA808A7B-1B44-412E-999C-0ACDAEA3E5A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0A609153-F67B-4A0A-A887-C74561E346B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D43027A7-E7EC-48F1-BC27-8773AD54B36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CEA0241D-8072-40FF-9796-B6412E49303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4DC0474D-F170-4F75-A209-7152B4F585C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1B89AF00-9135-48DC-8A6A-27536A4E0D6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BAC5AD5B-434C-4227-8582-4257B822DC9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FADF6E28-AC3F-45FD-9021-8CC6360A3AC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16C2817D-0777-4D2F-966F-3A3A5704EC3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26B87771-4B56-4131-AB86-93D953A7875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560C9C2B-7074-4592-BE93-93549D79009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37CE4EFB-0C1C-464E-982C-35552CA6A41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7.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1B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1B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1B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751AF066-C169-4CCC-B347-F00F41D42EB9}"/>
            </a:ext>
            <a:ext uri="{147F2762-F138-4A5C-976F-8EAC2B608ADB}">
              <a16:predDERef xmlns:a16="http://schemas.microsoft.com/office/drawing/2014/main" pred="{00000000-0008-0000-1B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8" name="Picture 4" descr="VIAGS xanh">
          <a:extLst>
            <a:ext uri="{FF2B5EF4-FFF2-40B4-BE49-F238E27FC236}">
              <a16:creationId xmlns:a16="http://schemas.microsoft.com/office/drawing/2014/main" id="{1D036664-CE13-42AB-B30A-CAC97AEA72AB}"/>
            </a:ext>
            <a:ext uri="{147F2762-F138-4A5C-976F-8EAC2B608ADB}">
              <a16:predDERef xmlns:a16="http://schemas.microsoft.com/office/drawing/2014/main" pred="{751AF066-C169-4CCC-B347-F00F41D42EB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9" name="Picture 27" descr="VIAGS xanh">
          <a:extLst>
            <a:ext uri="{FF2B5EF4-FFF2-40B4-BE49-F238E27FC236}">
              <a16:creationId xmlns:a16="http://schemas.microsoft.com/office/drawing/2014/main" id="{E54F1AB6-615C-45A9-B8E6-CF56FE20CF89}"/>
            </a:ext>
            <a:ext uri="{147F2762-F138-4A5C-976F-8EAC2B608ADB}">
              <a16:predDERef xmlns:a16="http://schemas.microsoft.com/office/drawing/2014/main" pred="{1D036664-CE13-42AB-B30A-CAC97AEA72A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79001C64-5599-4F37-978F-32E984A0CFB6}"/>
            </a:ext>
            <a:ext uri="{147F2762-F138-4A5C-976F-8EAC2B608ADB}">
              <a16:predDERef xmlns:a16="http://schemas.microsoft.com/office/drawing/2014/main" pred="{E54F1AB6-615C-45A9-B8E6-CF56FE20CF8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F9D23DEB-B289-4700-99D4-DB6EAF6C53D5}"/>
            </a:ext>
            <a:ext uri="{147F2762-F138-4A5C-976F-8EAC2B608ADB}">
              <a16:predDERef xmlns:a16="http://schemas.microsoft.com/office/drawing/2014/main" pred="{79001C64-5599-4F37-978F-32E984A0CFB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96C23980-D317-47FC-AD26-ADB69F84BE79}"/>
            </a:ext>
            <a:ext uri="{147F2762-F138-4A5C-976F-8EAC2B608ADB}">
              <a16:predDERef xmlns:a16="http://schemas.microsoft.com/office/drawing/2014/main" pred="{F9D23DEB-B289-4700-99D4-DB6EAF6C53D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89AEB03B-EEF8-423B-819A-531A0A4F287D}"/>
            </a:ext>
            <a:ext uri="{147F2762-F138-4A5C-976F-8EAC2B608ADB}">
              <a16:predDERef xmlns:a16="http://schemas.microsoft.com/office/drawing/2014/main" pred="{96C23980-D317-47FC-AD26-ADB69F84BE7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18234483-5F20-427D-BC02-0873924F47A1}"/>
            </a:ext>
            <a:ext uri="{147F2762-F138-4A5C-976F-8EAC2B608ADB}">
              <a16:predDERef xmlns:a16="http://schemas.microsoft.com/office/drawing/2014/main" pred="{89AEB03B-EEF8-423B-819A-531A0A4F287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C8E5B613-B428-41DB-B0CE-619CADE0DB4C}"/>
            </a:ext>
            <a:ext uri="{147F2762-F138-4A5C-976F-8EAC2B608ADB}">
              <a16:predDERef xmlns:a16="http://schemas.microsoft.com/office/drawing/2014/main" pred="{18234483-5F20-427D-BC02-0873924F47A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6" name="Picture 10" descr="VIAGS xanh">
          <a:hlinkClick xmlns:r="http://schemas.openxmlformats.org/officeDocument/2006/relationships" r:id="rId1"/>
          <a:extLst>
            <a:ext uri="{FF2B5EF4-FFF2-40B4-BE49-F238E27FC236}">
              <a16:creationId xmlns:a16="http://schemas.microsoft.com/office/drawing/2014/main" id="{09C2E040-2878-44E0-91C3-53E0DA9726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7" name="Picture 4" descr="VIAGS xanh">
          <a:extLst>
            <a:ext uri="{FF2B5EF4-FFF2-40B4-BE49-F238E27FC236}">
              <a16:creationId xmlns:a16="http://schemas.microsoft.com/office/drawing/2014/main" id="{783C98C2-FE32-4785-8349-6F97B52FB173}"/>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8" name="Picture 17" descr="VIAGS xanh">
          <a:extLst>
            <a:ext uri="{FF2B5EF4-FFF2-40B4-BE49-F238E27FC236}">
              <a16:creationId xmlns:a16="http://schemas.microsoft.com/office/drawing/2014/main" id="{2EE666C7-BC3D-4511-92F4-90626AB071B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F500386B-D944-404F-A929-7F2C21B1536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8267081D-5479-4F5F-8EA0-45007C69575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21E1B8F4-8641-4D9B-BC60-A1625616A8E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0C5D786B-AC23-442F-86CB-EFAE24D9076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29FF9FE9-DBFB-4E08-BA28-71EB6009895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43E48917-F769-4CF9-AE81-DBAD1978500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1D33DF21-F513-4BC7-91CE-F16CA4B9DC0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 name="TextBox 7">
          <a:extLst>
            <a:ext uri="{FF2B5EF4-FFF2-40B4-BE49-F238E27FC236}">
              <a16:creationId xmlns:a16="http://schemas.microsoft.com/office/drawing/2014/main" id="{62A9AEFF-59A8-484D-99F7-CD56E694BA1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8">
          <a:extLst>
            <a:ext uri="{FF2B5EF4-FFF2-40B4-BE49-F238E27FC236}">
              <a16:creationId xmlns:a16="http://schemas.microsoft.com/office/drawing/2014/main" id="{667DCC96-5079-407B-8F4C-1E8B5A9AE61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25">
          <a:extLst>
            <a:ext uri="{FF2B5EF4-FFF2-40B4-BE49-F238E27FC236}">
              <a16:creationId xmlns:a16="http://schemas.microsoft.com/office/drawing/2014/main" id="{8098CC9A-5B1E-4A20-B1BF-BD360A5665C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7">
          <a:extLst>
            <a:ext uri="{FF2B5EF4-FFF2-40B4-BE49-F238E27FC236}">
              <a16:creationId xmlns:a16="http://schemas.microsoft.com/office/drawing/2014/main" id="{33A38E72-BFB0-4781-9F93-960033285A3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8">
          <a:extLst>
            <a:ext uri="{FF2B5EF4-FFF2-40B4-BE49-F238E27FC236}">
              <a16:creationId xmlns:a16="http://schemas.microsoft.com/office/drawing/2014/main" id="{114CABD9-C827-4CE9-AED1-D1F1A4BB5A5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75919483-CB95-4382-B8AD-1CCC154FD2D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D10BE985-F17F-4CE4-A743-13DFDBFFB48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7EDA14D1-2FE2-4C5F-85FE-136C0B9052F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4">
          <a:extLst>
            <a:ext uri="{FF2B5EF4-FFF2-40B4-BE49-F238E27FC236}">
              <a16:creationId xmlns:a16="http://schemas.microsoft.com/office/drawing/2014/main" id="{BC68B497-C659-4519-A188-53E3B0CCD23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7">
          <a:extLst>
            <a:ext uri="{FF2B5EF4-FFF2-40B4-BE49-F238E27FC236}">
              <a16:creationId xmlns:a16="http://schemas.microsoft.com/office/drawing/2014/main" id="{662CBF71-D92A-4A77-A741-F04D0211686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8">
          <a:extLst>
            <a:ext uri="{FF2B5EF4-FFF2-40B4-BE49-F238E27FC236}">
              <a16:creationId xmlns:a16="http://schemas.microsoft.com/office/drawing/2014/main" id="{152C61B1-0892-44C8-A715-0A334DFE026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4">
          <a:extLst>
            <a:ext uri="{FF2B5EF4-FFF2-40B4-BE49-F238E27FC236}">
              <a16:creationId xmlns:a16="http://schemas.microsoft.com/office/drawing/2014/main" id="{C48069C1-5D6F-433F-A538-1DBB649B982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7">
          <a:extLst>
            <a:ext uri="{FF2B5EF4-FFF2-40B4-BE49-F238E27FC236}">
              <a16:creationId xmlns:a16="http://schemas.microsoft.com/office/drawing/2014/main" id="{57B0FE15-96F9-45AA-9FF0-7C7266444BC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8">
          <a:extLst>
            <a:ext uri="{FF2B5EF4-FFF2-40B4-BE49-F238E27FC236}">
              <a16:creationId xmlns:a16="http://schemas.microsoft.com/office/drawing/2014/main" id="{3A22832A-FDFE-462A-A791-8B3110F25F2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37">
          <a:extLst>
            <a:ext uri="{FF2B5EF4-FFF2-40B4-BE49-F238E27FC236}">
              <a16:creationId xmlns:a16="http://schemas.microsoft.com/office/drawing/2014/main" id="{08F0D60D-5886-461C-9FF2-14FAFD7559C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38">
          <a:extLst>
            <a:ext uri="{FF2B5EF4-FFF2-40B4-BE49-F238E27FC236}">
              <a16:creationId xmlns:a16="http://schemas.microsoft.com/office/drawing/2014/main" id="{2854D1EC-81AA-4A17-AD2D-1E5A3D9693C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1AE95097-5B5A-4585-9D33-8B885793894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8.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1C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1C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1C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A060A50B-0326-4B8E-A890-F0F64781BB94}"/>
            </a:ext>
            <a:ext uri="{147F2762-F138-4A5C-976F-8EAC2B608ADB}">
              <a16:predDERef xmlns:a16="http://schemas.microsoft.com/office/drawing/2014/main" pred="{00000000-0008-0000-1C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8" name="Picture 4" descr="VIAGS xanh">
          <a:extLst>
            <a:ext uri="{FF2B5EF4-FFF2-40B4-BE49-F238E27FC236}">
              <a16:creationId xmlns:a16="http://schemas.microsoft.com/office/drawing/2014/main" id="{B1E86B17-F3B2-4C58-8F08-268EA9491586}"/>
            </a:ext>
            <a:ext uri="{147F2762-F138-4A5C-976F-8EAC2B608ADB}">
              <a16:predDERef xmlns:a16="http://schemas.microsoft.com/office/drawing/2014/main" pred="{A060A50B-0326-4B8E-A890-F0F64781BB9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9" name="Picture 27" descr="VIAGS xanh">
          <a:extLst>
            <a:ext uri="{FF2B5EF4-FFF2-40B4-BE49-F238E27FC236}">
              <a16:creationId xmlns:a16="http://schemas.microsoft.com/office/drawing/2014/main" id="{6F88A736-6640-4B67-93F6-653506AC392B}"/>
            </a:ext>
            <a:ext uri="{147F2762-F138-4A5C-976F-8EAC2B608ADB}">
              <a16:predDERef xmlns:a16="http://schemas.microsoft.com/office/drawing/2014/main" pred="{B1E86B17-F3B2-4C58-8F08-268EA949158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0F2078A5-2ABA-486E-93AB-70345C54A297}"/>
            </a:ext>
            <a:ext uri="{147F2762-F138-4A5C-976F-8EAC2B608ADB}">
              <a16:predDERef xmlns:a16="http://schemas.microsoft.com/office/drawing/2014/main" pred="{6F88A736-6640-4B67-93F6-653506AC392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E0FDB134-6C36-46E7-B22E-FD31C6DBF251}"/>
            </a:ext>
            <a:ext uri="{147F2762-F138-4A5C-976F-8EAC2B608ADB}">
              <a16:predDERef xmlns:a16="http://schemas.microsoft.com/office/drawing/2014/main" pred="{0F2078A5-2ABA-486E-93AB-70345C54A29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9EDD4C5F-B350-4F9C-A467-415D12DAC26C}"/>
            </a:ext>
            <a:ext uri="{147F2762-F138-4A5C-976F-8EAC2B608ADB}">
              <a16:predDERef xmlns:a16="http://schemas.microsoft.com/office/drawing/2014/main" pred="{E0FDB134-6C36-46E7-B22E-FD31C6DBF25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AA2F2C40-8CCC-42CD-AE77-DB87CC5DC60B}"/>
            </a:ext>
            <a:ext uri="{147F2762-F138-4A5C-976F-8EAC2B608ADB}">
              <a16:predDERef xmlns:a16="http://schemas.microsoft.com/office/drawing/2014/main" pred="{9EDD4C5F-B350-4F9C-A467-415D12DAC26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4C202206-1837-4B4F-B5A4-5F3C36C7128D}"/>
            </a:ext>
            <a:ext uri="{147F2762-F138-4A5C-976F-8EAC2B608ADB}">
              <a16:predDERef xmlns:a16="http://schemas.microsoft.com/office/drawing/2014/main" pred="{AA2F2C40-8CCC-42CD-AE77-DB87CC5DC60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AA00BFB3-F2C5-462F-851A-6340FD8AF13B}"/>
            </a:ext>
            <a:ext uri="{147F2762-F138-4A5C-976F-8EAC2B608ADB}">
              <a16:predDERef xmlns:a16="http://schemas.microsoft.com/office/drawing/2014/main" pred="{4C202206-1837-4B4F-B5A4-5F3C36C7128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6" name="Picture 10" descr="VIAGS xanh">
          <a:hlinkClick xmlns:r="http://schemas.openxmlformats.org/officeDocument/2006/relationships" r:id="rId1"/>
          <a:extLst>
            <a:ext uri="{FF2B5EF4-FFF2-40B4-BE49-F238E27FC236}">
              <a16:creationId xmlns:a16="http://schemas.microsoft.com/office/drawing/2014/main" id="{16D6A246-0EE2-4058-84AE-9004633646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8" name="Picture 17" descr="VIAGS xanh">
          <a:extLst>
            <a:ext uri="{FF2B5EF4-FFF2-40B4-BE49-F238E27FC236}">
              <a16:creationId xmlns:a16="http://schemas.microsoft.com/office/drawing/2014/main" id="{DE5312B6-52D5-4157-8074-2314C3D4639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650C65BD-B7D4-47FB-A5C1-2D7C3CF9AE0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3DFE384E-750F-4D43-A43C-3F6EFB84A43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B9CA6EE8-54BD-477A-8579-EA304620CA2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54DC0D1B-BC6D-45A9-9C6F-EF78EE83528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A4EFDBA6-2189-425A-A800-384477AAD68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059812D9-9C0E-402F-947A-FB10C34E9F3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CDD8EEDB-420E-46E8-9158-A9024DF82B5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 name="TextBox 7">
          <a:extLst>
            <a:ext uri="{FF2B5EF4-FFF2-40B4-BE49-F238E27FC236}">
              <a16:creationId xmlns:a16="http://schemas.microsoft.com/office/drawing/2014/main" id="{6AD26233-4944-4DBF-9748-4E399F4EB55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7422DE2C-E6ED-4365-8B26-6F86A0EB355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24">
          <a:extLst>
            <a:ext uri="{FF2B5EF4-FFF2-40B4-BE49-F238E27FC236}">
              <a16:creationId xmlns:a16="http://schemas.microsoft.com/office/drawing/2014/main" id="{FB4774F4-51C3-465B-8B30-B8A2338A1FA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EEAFB3B2-142A-4871-A8A3-6F3EA30A672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51430F60-B990-46EE-92C2-D2CD2CBEBE4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4">
          <a:extLst>
            <a:ext uri="{FF2B5EF4-FFF2-40B4-BE49-F238E27FC236}">
              <a16:creationId xmlns:a16="http://schemas.microsoft.com/office/drawing/2014/main" id="{75CFD3B9-979A-41FC-88BB-EA5D018E31D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9FAA5CDA-2350-4CA9-8DF5-957AF1064A2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BADA647C-F178-4D58-8938-1C063DD758A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A9249C64-D007-4B24-9C68-2DE2EB4D4A0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BA374DF0-794F-4C05-A918-2B6ADBDB210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E12D9091-0601-4CCB-A266-36156CF2312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47E452CE-0F3E-4A71-89DC-0DBDA930D19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8DF5CBA8-E646-448F-BD17-CAD941DB2DA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4DE6B04C-DC29-466B-ABD7-F0DD7743041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36">
          <a:extLst>
            <a:ext uri="{FF2B5EF4-FFF2-40B4-BE49-F238E27FC236}">
              <a16:creationId xmlns:a16="http://schemas.microsoft.com/office/drawing/2014/main" id="{77C0502A-23D5-489D-94FA-8824A5D7A4B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37">
          <a:extLst>
            <a:ext uri="{FF2B5EF4-FFF2-40B4-BE49-F238E27FC236}">
              <a16:creationId xmlns:a16="http://schemas.microsoft.com/office/drawing/2014/main" id="{1868669D-D563-46B6-982A-529220E1EA1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38">
          <a:extLst>
            <a:ext uri="{FF2B5EF4-FFF2-40B4-BE49-F238E27FC236}">
              <a16:creationId xmlns:a16="http://schemas.microsoft.com/office/drawing/2014/main" id="{850FE037-0FE7-49ED-A2D6-13A1A7076A4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9.xml><?xml version="1.0" encoding="utf-8"?>
<xdr:wsDr xmlns:xdr="http://schemas.openxmlformats.org/drawingml/2006/spreadsheetDrawing" xmlns:a="http://schemas.openxmlformats.org/drawingml/2006/main">
  <xdr:twoCellAnchor>
    <xdr:from>
      <xdr:col>1</xdr:col>
      <xdr:colOff>219075</xdr:colOff>
      <xdr:row>1</xdr:row>
      <xdr:rowOff>133351</xdr:rowOff>
    </xdr:from>
    <xdr:to>
      <xdr:col>2</xdr:col>
      <xdr:colOff>1602441</xdr:colOff>
      <xdr:row>3</xdr:row>
      <xdr:rowOff>156346</xdr:rowOff>
    </xdr:to>
    <xdr:pic>
      <xdr:nvPicPr>
        <xdr:cNvPr id="3" name="Picture 10" descr="VIAGS xanh">
          <a:hlinkClick xmlns:r="http://schemas.openxmlformats.org/officeDocument/2006/relationships" r:id="rId1"/>
          <a:extLst>
            <a:ext uri="{FF2B5EF4-FFF2-40B4-BE49-F238E27FC236}">
              <a16:creationId xmlns:a16="http://schemas.microsoft.com/office/drawing/2014/main" id="{00000000-0008-0000-1D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987" y="234204"/>
          <a:ext cx="1820395" cy="4712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7</xdr:col>
      <xdr:colOff>1491031</xdr:colOff>
      <xdr:row>4</xdr:row>
      <xdr:rowOff>57151</xdr:rowOff>
    </xdr:to>
    <xdr:pic>
      <xdr:nvPicPr>
        <xdr:cNvPr id="4" name="Picture 4" descr="VIAGS xanh">
          <a:extLst>
            <a:ext uri="{FF2B5EF4-FFF2-40B4-BE49-F238E27FC236}">
              <a16:creationId xmlns:a16="http://schemas.microsoft.com/office/drawing/2014/main" id="{00000000-0008-0000-1D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419850" y="304801"/>
          <a:ext cx="1738681"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1D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1D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1D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7B84C43E-A060-4657-BD4E-ECB94DD99A22}"/>
            </a:ext>
            <a:ext uri="{147F2762-F138-4A5C-976F-8EAC2B608ADB}">
              <a16:predDERef xmlns:a16="http://schemas.microsoft.com/office/drawing/2014/main" pred="{00000000-0008-0000-1D00-000007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8" name="Picture 4" descr="VIAGS xanh">
          <a:extLst>
            <a:ext uri="{FF2B5EF4-FFF2-40B4-BE49-F238E27FC236}">
              <a16:creationId xmlns:a16="http://schemas.microsoft.com/office/drawing/2014/main" id="{681E1B13-6854-49AF-8C23-8E6ED623267E}"/>
            </a:ext>
            <a:ext uri="{147F2762-F138-4A5C-976F-8EAC2B608ADB}">
              <a16:predDERef xmlns:a16="http://schemas.microsoft.com/office/drawing/2014/main" pred="{7B84C43E-A060-4657-BD4E-ECB94DD99A2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9" name="Picture 27" descr="VIAGS xanh">
          <a:extLst>
            <a:ext uri="{FF2B5EF4-FFF2-40B4-BE49-F238E27FC236}">
              <a16:creationId xmlns:a16="http://schemas.microsoft.com/office/drawing/2014/main" id="{B3B4E123-F38B-451C-9237-B6AA33DE2155}"/>
            </a:ext>
            <a:ext uri="{147F2762-F138-4A5C-976F-8EAC2B608ADB}">
              <a16:predDERef xmlns:a16="http://schemas.microsoft.com/office/drawing/2014/main" pred="{681E1B13-6854-49AF-8C23-8E6ED623267E}"/>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B1D85AB8-F70B-4131-B620-36E4EAD9798C}"/>
            </a:ext>
            <a:ext uri="{147F2762-F138-4A5C-976F-8EAC2B608ADB}">
              <a16:predDERef xmlns:a16="http://schemas.microsoft.com/office/drawing/2014/main" pred="{B3B4E123-F38B-451C-9237-B6AA33DE215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53DAB609-373D-4EB2-A957-FB70EC29994F}"/>
            </a:ext>
            <a:ext uri="{147F2762-F138-4A5C-976F-8EAC2B608ADB}">
              <a16:predDERef xmlns:a16="http://schemas.microsoft.com/office/drawing/2014/main" pred="{B1D85AB8-F70B-4131-B620-36E4EAD9798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E3FD4DC6-DF4E-4D6D-9815-DD8FDA117A95}"/>
            </a:ext>
            <a:ext uri="{147F2762-F138-4A5C-976F-8EAC2B608ADB}">
              <a16:predDERef xmlns:a16="http://schemas.microsoft.com/office/drawing/2014/main" pred="{53DAB609-373D-4EB2-A957-FB70EC29994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171F27AD-AD0E-4DAA-AED6-709841C35B5F}"/>
            </a:ext>
            <a:ext uri="{147F2762-F138-4A5C-976F-8EAC2B608ADB}">
              <a16:predDERef xmlns:a16="http://schemas.microsoft.com/office/drawing/2014/main" pred="{E3FD4DC6-DF4E-4D6D-9815-DD8FDA117A9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4F86BCD9-00F2-47E1-9D8F-3D1E1F9E88D0}"/>
            </a:ext>
            <a:ext uri="{147F2762-F138-4A5C-976F-8EAC2B608ADB}">
              <a16:predDERef xmlns:a16="http://schemas.microsoft.com/office/drawing/2014/main" pred="{171F27AD-AD0E-4DAA-AED6-709841C35B5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ACED6935-07E4-4AF5-934A-2FD50DDD85DB}"/>
            </a:ext>
            <a:ext uri="{147F2762-F138-4A5C-976F-8EAC2B608ADB}">
              <a16:predDERef xmlns:a16="http://schemas.microsoft.com/office/drawing/2014/main" pred="{4F86BCD9-00F2-47E1-9D8F-3D1E1F9E88D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6" name="Picture 10" descr="VIAGS xanh">
          <a:hlinkClick xmlns:r="http://schemas.openxmlformats.org/officeDocument/2006/relationships" r:id="rId1"/>
          <a:extLst>
            <a:ext uri="{FF2B5EF4-FFF2-40B4-BE49-F238E27FC236}">
              <a16:creationId xmlns:a16="http://schemas.microsoft.com/office/drawing/2014/main" id="{906369C3-DC08-4648-ABD4-9811BC65AEE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7" name="Picture 4" descr="VIAGS xanh">
          <a:extLst>
            <a:ext uri="{FF2B5EF4-FFF2-40B4-BE49-F238E27FC236}">
              <a16:creationId xmlns:a16="http://schemas.microsoft.com/office/drawing/2014/main" id="{7063EDAB-DE69-4580-93C0-124880B839F1}"/>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8" name="Picture 17" descr="VIAGS xanh">
          <a:extLst>
            <a:ext uri="{FF2B5EF4-FFF2-40B4-BE49-F238E27FC236}">
              <a16:creationId xmlns:a16="http://schemas.microsoft.com/office/drawing/2014/main" id="{EE741B13-9B16-45F6-BA18-8A42F1F0C83A}"/>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476FC219-55A0-407D-894E-3E059ECBB1F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1E65539B-720B-49AE-8ECB-3A24205D05D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71A55ECC-F1B7-4780-92AD-782DB37A4F7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8B6C2047-9C0F-48B7-BE2B-BD166B44BD7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284A6AED-1C0C-4637-B1FA-09050CB2901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F7D674EE-3770-4001-A3B5-B9104F804B7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DB3D9939-1DB7-4608-8092-A5B188C5834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957F6C65-B1BF-4715-A74B-797C1AC67A0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EF910CEB-F93F-45BC-B7BB-0236B984DAE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CFFEF736-412B-4FCA-92E4-004D4A8FFB4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4343EE68-9548-41E9-8D7A-07F0A190791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BB6A8B14-1E74-4757-82B2-90EBA1DF974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99D0ABD3-3777-431A-A06E-D0A0C8481D1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7CFA3958-CD6A-4180-BF71-A69AFF4965E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A8D87D0B-9790-4457-AB8E-429DB4B12B9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75251FFD-CD01-4EDA-829F-143DEFC3D30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9E2B9EAC-AE80-478F-949B-EA295DB2E35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4FB71D99-19C1-40D5-84C0-C4B319DD3B2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D6D83CFB-6A7A-4406-A67B-BE611C7C3E9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DE34C7C4-2FAC-4F68-8C44-103D908B8B5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51EA24D3-E875-4D5C-8080-464355BB099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A4E2E0B0-DB7E-4C42-8444-A9E1582CDBD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60A9EA5C-4731-42EF-8B07-C279D42C190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7269DFD7-B870-44A2-8F60-3A3B2BEA088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0.xml><?xml version="1.0" encoding="utf-8"?>
<xdr:wsDr xmlns:xdr="http://schemas.openxmlformats.org/drawingml/2006/spreadsheetDrawing" xmlns:a="http://schemas.openxmlformats.org/drawingml/2006/main">
  <xdr:twoCellAnchor>
    <xdr:from>
      <xdr:col>1</xdr:col>
      <xdr:colOff>219075</xdr:colOff>
      <xdr:row>1</xdr:row>
      <xdr:rowOff>161926</xdr:rowOff>
    </xdr:from>
    <xdr:to>
      <xdr:col>2</xdr:col>
      <xdr:colOff>1592035</xdr:colOff>
      <xdr:row>3</xdr:row>
      <xdr:rowOff>185103</xdr:rowOff>
    </xdr:to>
    <xdr:pic>
      <xdr:nvPicPr>
        <xdr:cNvPr id="3" name="Picture 10" descr="VIAGS xanh">
          <a:hlinkClick xmlns:r="http://schemas.openxmlformats.org/officeDocument/2006/relationships" r:id="rId1"/>
          <a:extLst>
            <a:ext uri="{FF2B5EF4-FFF2-40B4-BE49-F238E27FC236}">
              <a16:creationId xmlns:a16="http://schemas.microsoft.com/office/drawing/2014/main" id="{00000000-0008-0000-1E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3182" y="270783"/>
          <a:ext cx="1808389" cy="485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7</xdr:col>
      <xdr:colOff>1491031</xdr:colOff>
      <xdr:row>4</xdr:row>
      <xdr:rowOff>57151</xdr:rowOff>
    </xdr:to>
    <xdr:pic>
      <xdr:nvPicPr>
        <xdr:cNvPr id="4" name="Picture 4" descr="VIAGS xanh">
          <a:extLst>
            <a:ext uri="{FF2B5EF4-FFF2-40B4-BE49-F238E27FC236}">
              <a16:creationId xmlns:a16="http://schemas.microsoft.com/office/drawing/2014/main" id="{00000000-0008-0000-1E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419850" y="304801"/>
          <a:ext cx="1738681"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1E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1E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1E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97E3D137-16AA-494A-9A6F-643BF4913399}"/>
            </a:ext>
            <a:ext uri="{147F2762-F138-4A5C-976F-8EAC2B608ADB}">
              <a16:predDERef xmlns:a16="http://schemas.microsoft.com/office/drawing/2014/main" pred="{00000000-0008-0000-1E00-000007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8" name="Picture 4" descr="VIAGS xanh">
          <a:extLst>
            <a:ext uri="{FF2B5EF4-FFF2-40B4-BE49-F238E27FC236}">
              <a16:creationId xmlns:a16="http://schemas.microsoft.com/office/drawing/2014/main" id="{B780D363-C89D-4493-80AC-B3FA3697EB52}"/>
            </a:ext>
            <a:ext uri="{147F2762-F138-4A5C-976F-8EAC2B608ADB}">
              <a16:predDERef xmlns:a16="http://schemas.microsoft.com/office/drawing/2014/main" pred="{97E3D137-16AA-494A-9A6F-643BF491339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9" name="Picture 27" descr="VIAGS xanh">
          <a:extLst>
            <a:ext uri="{FF2B5EF4-FFF2-40B4-BE49-F238E27FC236}">
              <a16:creationId xmlns:a16="http://schemas.microsoft.com/office/drawing/2014/main" id="{2133338C-ED39-4D83-A957-F211A9CB9153}"/>
            </a:ext>
            <a:ext uri="{147F2762-F138-4A5C-976F-8EAC2B608ADB}">
              <a16:predDERef xmlns:a16="http://schemas.microsoft.com/office/drawing/2014/main" pred="{B780D363-C89D-4493-80AC-B3FA3697EB52}"/>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232A63EC-D36C-4001-9F8E-1FAD4139EDAA}"/>
            </a:ext>
            <a:ext uri="{147F2762-F138-4A5C-976F-8EAC2B608ADB}">
              <a16:predDERef xmlns:a16="http://schemas.microsoft.com/office/drawing/2014/main" pred="{2133338C-ED39-4D83-A957-F211A9CB915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38247B26-0092-4E93-B463-C1E456A179E4}"/>
            </a:ext>
            <a:ext uri="{147F2762-F138-4A5C-976F-8EAC2B608ADB}">
              <a16:predDERef xmlns:a16="http://schemas.microsoft.com/office/drawing/2014/main" pred="{232A63EC-D36C-4001-9F8E-1FAD4139EDA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25A9A274-9532-42E7-83C8-43185C703EB6}"/>
            </a:ext>
            <a:ext uri="{147F2762-F138-4A5C-976F-8EAC2B608ADB}">
              <a16:predDERef xmlns:a16="http://schemas.microsoft.com/office/drawing/2014/main" pred="{38247B26-0092-4E93-B463-C1E456A179E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95592CF0-6FDC-40C5-AA01-9D47EC5A6876}"/>
            </a:ext>
            <a:ext uri="{147F2762-F138-4A5C-976F-8EAC2B608ADB}">
              <a16:predDERef xmlns:a16="http://schemas.microsoft.com/office/drawing/2014/main" pred="{25A9A274-9532-42E7-83C8-43185C703EB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2BC72DD4-2CB2-4048-9969-18E797633297}"/>
            </a:ext>
            <a:ext uri="{147F2762-F138-4A5C-976F-8EAC2B608ADB}">
              <a16:predDERef xmlns:a16="http://schemas.microsoft.com/office/drawing/2014/main" pred="{95592CF0-6FDC-40C5-AA01-9D47EC5A687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A8186B22-DDA9-49C9-B7E4-8F91EB1DBBBC}"/>
            </a:ext>
            <a:ext uri="{147F2762-F138-4A5C-976F-8EAC2B608ADB}">
              <a16:predDERef xmlns:a16="http://schemas.microsoft.com/office/drawing/2014/main" pred="{2BC72DD4-2CB2-4048-9969-18E79763329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6" name="Picture 10" descr="VIAGS xanh">
          <a:hlinkClick xmlns:r="http://schemas.openxmlformats.org/officeDocument/2006/relationships" r:id="rId1"/>
          <a:extLst>
            <a:ext uri="{FF2B5EF4-FFF2-40B4-BE49-F238E27FC236}">
              <a16:creationId xmlns:a16="http://schemas.microsoft.com/office/drawing/2014/main" id="{31BDE7A9-8D4E-456C-99CB-2DD747024C3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7" name="Picture 4" descr="VIAGS xanh">
          <a:extLst>
            <a:ext uri="{FF2B5EF4-FFF2-40B4-BE49-F238E27FC236}">
              <a16:creationId xmlns:a16="http://schemas.microsoft.com/office/drawing/2014/main" id="{11966AD3-560A-4424-8F8B-1C8E7940A128}"/>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8" name="Picture 17" descr="VIAGS xanh">
          <a:extLst>
            <a:ext uri="{FF2B5EF4-FFF2-40B4-BE49-F238E27FC236}">
              <a16:creationId xmlns:a16="http://schemas.microsoft.com/office/drawing/2014/main" id="{24B70ECE-AF0B-4682-885E-3F533481D06F}"/>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E3D97B23-0EB2-4C53-A42C-D6DA966263E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197822E4-D699-4DB9-A51F-65CEB88D9A5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CDF03C85-AE4D-4FB7-ABED-413DD2C98C5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6E669ACD-D360-40E6-AFB2-DC243F6D07F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7E613514-3DA1-4F55-B081-9A20B5AB5B3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861E0F84-E7A9-4191-96FD-746FA0381EA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816C5124-EA94-488A-A461-17A9956B2C9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D149F22D-DD47-411A-AE19-5C99B39CC98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95D97FF3-A9C1-4CB7-9833-73405AEFF45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35151107-FBA4-4D66-B34F-B2EF213ABAB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B55065E7-5532-4BCC-9794-64FBEBB0E46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938592A5-C01D-423C-9503-E7AE3939DB6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0EB185C5-0B37-4AA2-B80A-364FFB2645B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9210581C-C31D-4A96-A7DD-DB217BE3700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59F1240C-6B01-4FF3-BF23-CABB93E6E46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D2694DD4-6C68-4902-8F62-B311CE802D1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0469861C-FC64-45F4-A3B4-D7B8015F077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24ECE5B2-9D78-49AA-A8E3-D4F10E1CE6F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1D436E6C-53F2-4CCD-B938-0F7D03489C6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2C342A77-1FD3-4DCF-A0C8-E6C20CA25A5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642E28A8-A9BA-4989-9089-824FD959663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54EF3BA1-8B82-41A0-96AE-633B8CD834A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20B80C27-1018-471F-B4A7-CBB158553E7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C741DC54-5CF2-4013-B032-62C67F79D6D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1.xml><?xml version="1.0" encoding="utf-8"?>
<xdr:wsDr xmlns:xdr="http://schemas.openxmlformats.org/drawingml/2006/spreadsheetDrawing" xmlns:a="http://schemas.openxmlformats.org/drawingml/2006/main">
  <xdr:twoCellAnchor>
    <xdr:from>
      <xdr:col>1</xdr:col>
      <xdr:colOff>219075</xdr:colOff>
      <xdr:row>1</xdr:row>
      <xdr:rowOff>152400</xdr:rowOff>
    </xdr:from>
    <xdr:to>
      <xdr:col>2</xdr:col>
      <xdr:colOff>1456765</xdr:colOff>
      <xdr:row>3</xdr:row>
      <xdr:rowOff>131306</xdr:rowOff>
    </xdr:to>
    <xdr:pic>
      <xdr:nvPicPr>
        <xdr:cNvPr id="3" name="Picture 10" descr="VIAGS xanh">
          <a:hlinkClick xmlns:r="http://schemas.openxmlformats.org/officeDocument/2006/relationships" r:id="rId1"/>
          <a:extLst>
            <a:ext uri="{FF2B5EF4-FFF2-40B4-BE49-F238E27FC236}">
              <a16:creationId xmlns:a16="http://schemas.microsoft.com/office/drawing/2014/main" id="{00000000-0008-0000-1F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987" y="253253"/>
          <a:ext cx="1674719" cy="4271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7</xdr:col>
      <xdr:colOff>1491031</xdr:colOff>
      <xdr:row>4</xdr:row>
      <xdr:rowOff>57151</xdr:rowOff>
    </xdr:to>
    <xdr:pic>
      <xdr:nvPicPr>
        <xdr:cNvPr id="4" name="Picture 4" descr="VIAGS xanh">
          <a:extLst>
            <a:ext uri="{FF2B5EF4-FFF2-40B4-BE49-F238E27FC236}">
              <a16:creationId xmlns:a16="http://schemas.microsoft.com/office/drawing/2014/main" id="{00000000-0008-0000-1F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43675" y="219076"/>
          <a:ext cx="1700581"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1F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1F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1F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D056961F-D713-4070-BEB5-1DCE0C705BED}"/>
            </a:ext>
            <a:ext uri="{147F2762-F138-4A5C-976F-8EAC2B608ADB}">
              <a16:predDERef xmlns:a16="http://schemas.microsoft.com/office/drawing/2014/main" pred="{00000000-0008-0000-1F00-000007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8" name="Picture 4" descr="VIAGS xanh">
          <a:extLst>
            <a:ext uri="{FF2B5EF4-FFF2-40B4-BE49-F238E27FC236}">
              <a16:creationId xmlns:a16="http://schemas.microsoft.com/office/drawing/2014/main" id="{99A75F69-95FC-420C-8948-40A89F9EE4DA}"/>
            </a:ext>
            <a:ext uri="{147F2762-F138-4A5C-976F-8EAC2B608ADB}">
              <a16:predDERef xmlns:a16="http://schemas.microsoft.com/office/drawing/2014/main" pred="{D056961F-D713-4070-BEB5-1DCE0C705BE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9" name="Picture 27" descr="VIAGS xanh">
          <a:extLst>
            <a:ext uri="{FF2B5EF4-FFF2-40B4-BE49-F238E27FC236}">
              <a16:creationId xmlns:a16="http://schemas.microsoft.com/office/drawing/2014/main" id="{A7A61785-092A-4657-AA14-1E79C2B2E6CD}"/>
            </a:ext>
            <a:ext uri="{147F2762-F138-4A5C-976F-8EAC2B608ADB}">
              <a16:predDERef xmlns:a16="http://schemas.microsoft.com/office/drawing/2014/main" pred="{99A75F69-95FC-420C-8948-40A89F9EE4DA}"/>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16D1947B-BC25-44BE-9540-EA4C3A355533}"/>
            </a:ext>
            <a:ext uri="{147F2762-F138-4A5C-976F-8EAC2B608ADB}">
              <a16:predDERef xmlns:a16="http://schemas.microsoft.com/office/drawing/2014/main" pred="{A7A61785-092A-4657-AA14-1E79C2B2E6C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1FCD01CB-B012-401C-9CF7-7095C54CF9C9}"/>
            </a:ext>
            <a:ext uri="{147F2762-F138-4A5C-976F-8EAC2B608ADB}">
              <a16:predDERef xmlns:a16="http://schemas.microsoft.com/office/drawing/2014/main" pred="{16D1947B-BC25-44BE-9540-EA4C3A35553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05469E9D-0F16-4B5F-8096-714849DBD594}"/>
            </a:ext>
            <a:ext uri="{147F2762-F138-4A5C-976F-8EAC2B608ADB}">
              <a16:predDERef xmlns:a16="http://schemas.microsoft.com/office/drawing/2014/main" pred="{1FCD01CB-B012-401C-9CF7-7095C54CF9C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0A047AE7-637A-4429-9208-03421B589F4C}"/>
            </a:ext>
            <a:ext uri="{147F2762-F138-4A5C-976F-8EAC2B608ADB}">
              <a16:predDERef xmlns:a16="http://schemas.microsoft.com/office/drawing/2014/main" pred="{05469E9D-0F16-4B5F-8096-714849DBD59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0EBC45E9-546C-4665-BC2A-77E288BC0E7A}"/>
            </a:ext>
            <a:ext uri="{147F2762-F138-4A5C-976F-8EAC2B608ADB}">
              <a16:predDERef xmlns:a16="http://schemas.microsoft.com/office/drawing/2014/main" pred="{0A047AE7-637A-4429-9208-03421B589F4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67E19A2A-B5B3-4DDE-8381-FE63CE9B4FC3}"/>
            </a:ext>
            <a:ext uri="{147F2762-F138-4A5C-976F-8EAC2B608ADB}">
              <a16:predDERef xmlns:a16="http://schemas.microsoft.com/office/drawing/2014/main" pred="{0EBC45E9-546C-4665-BC2A-77E288BC0E7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6" name="Picture 10" descr="VIAGS xanh">
          <a:hlinkClick xmlns:r="http://schemas.openxmlformats.org/officeDocument/2006/relationships" r:id="rId1"/>
          <a:extLst>
            <a:ext uri="{FF2B5EF4-FFF2-40B4-BE49-F238E27FC236}">
              <a16:creationId xmlns:a16="http://schemas.microsoft.com/office/drawing/2014/main" id="{52B83603-9134-4AA5-995B-AB1E2FB6BE6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7" name="Picture 4" descr="VIAGS xanh">
          <a:extLst>
            <a:ext uri="{FF2B5EF4-FFF2-40B4-BE49-F238E27FC236}">
              <a16:creationId xmlns:a16="http://schemas.microsoft.com/office/drawing/2014/main" id="{45DFC212-67B3-46C6-B9AD-01EC0C21D733}"/>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8" name="Picture 17" descr="VIAGS xanh">
          <a:extLst>
            <a:ext uri="{FF2B5EF4-FFF2-40B4-BE49-F238E27FC236}">
              <a16:creationId xmlns:a16="http://schemas.microsoft.com/office/drawing/2014/main" id="{6A9AC6E9-A027-4C7C-AB3D-F42DB88EEA36}"/>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F3F94CA9-2057-429D-A9DA-371AD5D8945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F487A1BE-173F-4A21-B9F1-C1AAB0288DD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CA86AFD9-DF46-44FF-92AE-FC428205358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7CD65512-BE7D-4B53-87C4-8AD8260BA78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B92C3A8C-27B9-4734-B4B5-0F0AD66341A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6B2CD8A7-FEB3-4D95-98F4-0F56828E4FE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3A6570B4-2452-44BD-9A6F-F65BFB86994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AD2B20C3-CB8D-43C6-88F6-D18DCD7568A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54750AA6-DF51-48E5-A8BC-0572D56E6E7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C97B46D0-BD0E-4B6D-BE0C-42795E04340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17AFC58E-7A6B-4C15-ADB2-5C5EAC1660C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F61F5F9E-3CDC-49DD-AF31-488336D610B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40638524-9098-4F30-86F2-067B9CD7304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D58688FB-5AC9-44ED-8BA0-8E9C5BD75A3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F75FEB4F-85F0-4E01-90C4-6614149819F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064B2E80-8B1C-4BAA-9C94-1E5B38588A1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759EBD5A-1AF9-4B2E-8AD9-CC353D78412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9B2349DD-5A7F-49C4-969D-AEE2F52A846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2CB9A302-E152-41F9-B416-ABAEA9798B2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049C57A5-D1D4-4371-8D81-BFF19E65761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C866ECA4-A36C-49D3-9322-D01B193994A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80A9546D-FE3B-48D9-AE9A-CFDE9C23155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D3190B83-336C-4E64-B1E1-CB9B84A52BB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EBAEC69D-8FE8-4B1A-8109-EE8B4C51A2F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2.xml><?xml version="1.0" encoding="utf-8"?>
<xdr:wsDr xmlns:xdr="http://schemas.openxmlformats.org/drawingml/2006/spreadsheetDrawing" xmlns:a="http://schemas.openxmlformats.org/drawingml/2006/main">
  <xdr:twoCellAnchor>
    <xdr:from>
      <xdr:col>1</xdr:col>
      <xdr:colOff>219075</xdr:colOff>
      <xdr:row>1</xdr:row>
      <xdr:rowOff>142876</xdr:rowOff>
    </xdr:from>
    <xdr:to>
      <xdr:col>2</xdr:col>
      <xdr:colOff>1564821</xdr:colOff>
      <xdr:row>3</xdr:row>
      <xdr:rowOff>137809</xdr:rowOff>
    </xdr:to>
    <xdr:pic>
      <xdr:nvPicPr>
        <xdr:cNvPr id="3" name="Picture 10" descr="VIAGS xanh">
          <a:hlinkClick xmlns:r="http://schemas.openxmlformats.org/officeDocument/2006/relationships" r:id="rId1"/>
          <a:extLst>
            <a:ext uri="{FF2B5EF4-FFF2-40B4-BE49-F238E27FC236}">
              <a16:creationId xmlns:a16="http://schemas.microsoft.com/office/drawing/2014/main" id="{00000000-0008-0000-20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3182" y="251733"/>
          <a:ext cx="1781175" cy="4575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7</xdr:col>
      <xdr:colOff>1491031</xdr:colOff>
      <xdr:row>4</xdr:row>
      <xdr:rowOff>57151</xdr:rowOff>
    </xdr:to>
    <xdr:pic>
      <xdr:nvPicPr>
        <xdr:cNvPr id="4" name="Picture 4" descr="VIAGS xanh">
          <a:extLst>
            <a:ext uri="{FF2B5EF4-FFF2-40B4-BE49-F238E27FC236}">
              <a16:creationId xmlns:a16="http://schemas.microsoft.com/office/drawing/2014/main" id="{00000000-0008-0000-20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43675" y="219076"/>
          <a:ext cx="1700581"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20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20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20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C1E16139-621A-4B55-8F1B-B601967E7BB9}"/>
            </a:ext>
            <a:ext uri="{147F2762-F138-4A5C-976F-8EAC2B608ADB}">
              <a16:predDERef xmlns:a16="http://schemas.microsoft.com/office/drawing/2014/main" pred="{00000000-0008-0000-2000-000007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8" name="Picture 4" descr="VIAGS xanh">
          <a:extLst>
            <a:ext uri="{FF2B5EF4-FFF2-40B4-BE49-F238E27FC236}">
              <a16:creationId xmlns:a16="http://schemas.microsoft.com/office/drawing/2014/main" id="{3090C38E-4547-4E08-9236-73B276B2B091}"/>
            </a:ext>
            <a:ext uri="{147F2762-F138-4A5C-976F-8EAC2B608ADB}">
              <a16:predDERef xmlns:a16="http://schemas.microsoft.com/office/drawing/2014/main" pred="{C1E16139-621A-4B55-8F1B-B601967E7BB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9" name="Picture 27" descr="VIAGS xanh">
          <a:extLst>
            <a:ext uri="{FF2B5EF4-FFF2-40B4-BE49-F238E27FC236}">
              <a16:creationId xmlns:a16="http://schemas.microsoft.com/office/drawing/2014/main" id="{5174D964-294E-4D17-97DF-41C97D51B289}"/>
            </a:ext>
            <a:ext uri="{147F2762-F138-4A5C-976F-8EAC2B608ADB}">
              <a16:predDERef xmlns:a16="http://schemas.microsoft.com/office/drawing/2014/main" pred="{3090C38E-4547-4E08-9236-73B276B2B091}"/>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F184F93C-1F7F-4493-ABC8-A62073E0AA76}"/>
            </a:ext>
            <a:ext uri="{147F2762-F138-4A5C-976F-8EAC2B608ADB}">
              <a16:predDERef xmlns:a16="http://schemas.microsoft.com/office/drawing/2014/main" pred="{5174D964-294E-4D17-97DF-41C97D51B28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AFE75B9A-9891-4BF7-B309-DF81273BD9E7}"/>
            </a:ext>
            <a:ext uri="{147F2762-F138-4A5C-976F-8EAC2B608ADB}">
              <a16:predDERef xmlns:a16="http://schemas.microsoft.com/office/drawing/2014/main" pred="{F184F93C-1F7F-4493-ABC8-A62073E0AA7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8060CFC8-7927-4375-9565-77D7576AEA77}"/>
            </a:ext>
            <a:ext uri="{147F2762-F138-4A5C-976F-8EAC2B608ADB}">
              <a16:predDERef xmlns:a16="http://schemas.microsoft.com/office/drawing/2014/main" pred="{AFE75B9A-9891-4BF7-B309-DF81273BD9E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55D3E917-D3D9-4847-9E62-9A2507D3DE3C}"/>
            </a:ext>
            <a:ext uri="{147F2762-F138-4A5C-976F-8EAC2B608ADB}">
              <a16:predDERef xmlns:a16="http://schemas.microsoft.com/office/drawing/2014/main" pred="{8060CFC8-7927-4375-9565-77D7576AEA7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EEF1E196-982B-4E34-A7AB-DD5225242BBB}"/>
            </a:ext>
            <a:ext uri="{147F2762-F138-4A5C-976F-8EAC2B608ADB}">
              <a16:predDERef xmlns:a16="http://schemas.microsoft.com/office/drawing/2014/main" pred="{55D3E917-D3D9-4847-9E62-9A2507D3DE3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A956FBD1-B405-4DFE-B484-5E2C2838E26B}"/>
            </a:ext>
            <a:ext uri="{147F2762-F138-4A5C-976F-8EAC2B608ADB}">
              <a16:predDERef xmlns:a16="http://schemas.microsoft.com/office/drawing/2014/main" pred="{EEF1E196-982B-4E34-A7AB-DD5225242BB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6" name="Picture 10" descr="VIAGS xanh">
          <a:hlinkClick xmlns:r="http://schemas.openxmlformats.org/officeDocument/2006/relationships" r:id="rId1"/>
          <a:extLst>
            <a:ext uri="{FF2B5EF4-FFF2-40B4-BE49-F238E27FC236}">
              <a16:creationId xmlns:a16="http://schemas.microsoft.com/office/drawing/2014/main" id="{6707F215-13C7-4DA5-A350-6E2FE517A46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7" name="Picture 4" descr="VIAGS xanh">
          <a:extLst>
            <a:ext uri="{FF2B5EF4-FFF2-40B4-BE49-F238E27FC236}">
              <a16:creationId xmlns:a16="http://schemas.microsoft.com/office/drawing/2014/main" id="{6743F0F3-6FF2-4A54-86E0-25F989A46DF7}"/>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8" name="Picture 17" descr="VIAGS xanh">
          <a:extLst>
            <a:ext uri="{FF2B5EF4-FFF2-40B4-BE49-F238E27FC236}">
              <a16:creationId xmlns:a16="http://schemas.microsoft.com/office/drawing/2014/main" id="{9C823679-48EC-402E-B6E2-845B76C0A06A}"/>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A6DEC762-67DA-4A1C-994D-56CF5866D41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59C9ED87-9CB4-4136-8719-937DAE25673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7C181424-9DE7-4B9A-9147-AB15A78A1C0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649BCE87-B711-446D-A12C-146E8C38A86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B7E3ED69-3DEB-41B2-B4B1-6AE0672DC2B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E29044F6-59FE-4107-9A2E-009B2BF664B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5F720A12-6BE9-4CFD-8BBB-8AE3FD90C9F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7AFA8B89-A664-43BB-B267-DBAD35B7E61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05D446E1-4A80-4230-BE76-018E51185B8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8D990084-33C5-4421-AE3E-57A558638A2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145F418F-8D7D-4A64-B49E-25B94E22131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B6F11FC9-992E-4B11-8C57-A15A3D5D865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C8A89C13-3F64-433B-A1E0-25BFF091085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6D90186C-0B41-40C7-BC8C-FBD9D49414B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F6C3F759-BC6F-40F3-93DD-6737379003A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8F98005C-E4CB-4BAA-8D71-9FDED84C2CC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16E502F6-6FAB-4BBF-8549-A3E1D5BF3E6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E3AB3E7B-367B-4870-977D-2F96DC72604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7433FABF-143E-425E-9030-E1ACC7A6F9B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FAE7EB73-170A-4D9D-A627-C0C8C159BCB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65194719-82AF-4C38-A0E6-306C27847C3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D4961950-B0D0-4BAB-85C9-5E9FD550FE4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1EDB3403-EBA7-4B4A-861D-D27DA9026D9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6EFFA0B8-391D-46AF-B2F1-AF91A112227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3.xml><?xml version="1.0" encoding="utf-8"?>
<xdr:wsDr xmlns:xdr="http://schemas.openxmlformats.org/drawingml/2006/spreadsheetDrawing" xmlns:a="http://schemas.openxmlformats.org/drawingml/2006/main">
  <xdr:twoCellAnchor>
    <xdr:from>
      <xdr:col>6</xdr:col>
      <xdr:colOff>190500</xdr:colOff>
      <xdr:row>1</xdr:row>
      <xdr:rowOff>114301</xdr:rowOff>
    </xdr:from>
    <xdr:to>
      <xdr:col>7</xdr:col>
      <xdr:colOff>1491031</xdr:colOff>
      <xdr:row>4</xdr:row>
      <xdr:rowOff>57151</xdr:rowOff>
    </xdr:to>
    <xdr:pic>
      <xdr:nvPicPr>
        <xdr:cNvPr id="4" name="Picture 4" descr="VIAGS xanh">
          <a:extLst>
            <a:ext uri="{FF2B5EF4-FFF2-40B4-BE49-F238E27FC236}">
              <a16:creationId xmlns:a16="http://schemas.microsoft.com/office/drawing/2014/main" id="{00000000-0008-0000-21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43675" y="219076"/>
          <a:ext cx="1700581"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21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21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21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2"/>
          <a:extLst>
            <a:ext uri="{FF2B5EF4-FFF2-40B4-BE49-F238E27FC236}">
              <a16:creationId xmlns:a16="http://schemas.microsoft.com/office/drawing/2014/main" id="{E921DDDE-D01C-46B8-B518-8CCCB362855F}"/>
            </a:ext>
            <a:ext uri="{147F2762-F138-4A5C-976F-8EAC2B608ADB}">
              <a16:predDERef xmlns:a16="http://schemas.microsoft.com/office/drawing/2014/main" pred="{00000000-0008-0000-21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3" name="Picture 4" descr="VIAGS xanh">
          <a:extLst>
            <a:ext uri="{FF2B5EF4-FFF2-40B4-BE49-F238E27FC236}">
              <a16:creationId xmlns:a16="http://schemas.microsoft.com/office/drawing/2014/main" id="{8965E7E4-AF55-4336-8521-21E5CC342F4C}"/>
            </a:ext>
            <a:ext uri="{147F2762-F138-4A5C-976F-8EAC2B608ADB}">
              <a16:predDERef xmlns:a16="http://schemas.microsoft.com/office/drawing/2014/main" pred="{E921DDDE-D01C-46B8-B518-8CCCB36285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8" name="Picture 27" descr="VIAGS xanh">
          <a:extLst>
            <a:ext uri="{FF2B5EF4-FFF2-40B4-BE49-F238E27FC236}">
              <a16:creationId xmlns:a16="http://schemas.microsoft.com/office/drawing/2014/main" id="{787EBD57-6D4D-4CDA-97EB-4EADFDADFA51}"/>
            </a:ext>
            <a:ext uri="{147F2762-F138-4A5C-976F-8EAC2B608ADB}">
              <a16:predDERef xmlns:a16="http://schemas.microsoft.com/office/drawing/2014/main" pred="{8965E7E4-AF55-4336-8521-21E5CC342F4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9" name="TextBox 4">
          <a:extLst>
            <a:ext uri="{FF2B5EF4-FFF2-40B4-BE49-F238E27FC236}">
              <a16:creationId xmlns:a16="http://schemas.microsoft.com/office/drawing/2014/main" id="{8C10B060-99D5-4207-8486-90B91F8F07B4}"/>
            </a:ext>
            <a:ext uri="{147F2762-F138-4A5C-976F-8EAC2B608ADB}">
              <a16:predDERef xmlns:a16="http://schemas.microsoft.com/office/drawing/2014/main" pred="{787EBD57-6D4D-4CDA-97EB-4EADFDADFA5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7">
          <a:extLst>
            <a:ext uri="{FF2B5EF4-FFF2-40B4-BE49-F238E27FC236}">
              <a16:creationId xmlns:a16="http://schemas.microsoft.com/office/drawing/2014/main" id="{F44CADEB-8BA6-4BFE-BA2B-5D207883A684}"/>
            </a:ext>
            <a:ext uri="{147F2762-F138-4A5C-976F-8EAC2B608ADB}">
              <a16:predDERef xmlns:a16="http://schemas.microsoft.com/office/drawing/2014/main" pred="{8C10B060-99D5-4207-8486-90B91F8F07B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8">
          <a:extLst>
            <a:ext uri="{FF2B5EF4-FFF2-40B4-BE49-F238E27FC236}">
              <a16:creationId xmlns:a16="http://schemas.microsoft.com/office/drawing/2014/main" id="{AEFF623C-6425-4064-AF40-4BE837FEB5C5}"/>
            </a:ext>
            <a:ext uri="{147F2762-F138-4A5C-976F-8EAC2B608ADB}">
              <a16:predDERef xmlns:a16="http://schemas.microsoft.com/office/drawing/2014/main" pred="{F44CADEB-8BA6-4BFE-BA2B-5D207883A68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D3CFC611-D169-4CBC-A343-835705DEC3CB}"/>
            </a:ext>
            <a:ext uri="{147F2762-F138-4A5C-976F-8EAC2B608ADB}">
              <a16:predDERef xmlns:a16="http://schemas.microsoft.com/office/drawing/2014/main" pred="{AEFF623C-6425-4064-AF40-4BE837FEB5C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7243E795-3C12-4745-82B6-EB1C43087CA0}"/>
            </a:ext>
            <a:ext uri="{147F2762-F138-4A5C-976F-8EAC2B608ADB}">
              <a16:predDERef xmlns:a16="http://schemas.microsoft.com/office/drawing/2014/main" pred="{D3CFC611-D169-4CBC-A343-835705DEC3C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0A3D0370-5431-4CF3-9807-A2D7BD48B341}"/>
            </a:ext>
            <a:ext uri="{147F2762-F138-4A5C-976F-8EAC2B608ADB}">
              <a16:predDERef xmlns:a16="http://schemas.microsoft.com/office/drawing/2014/main" pred="{7243E795-3C12-4745-82B6-EB1C43087CA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5" name="Picture 10" descr="VIAGS xanh">
          <a:hlinkClick xmlns:r="http://schemas.openxmlformats.org/officeDocument/2006/relationships" r:id="rId2"/>
          <a:extLst>
            <a:ext uri="{FF2B5EF4-FFF2-40B4-BE49-F238E27FC236}">
              <a16:creationId xmlns:a16="http://schemas.microsoft.com/office/drawing/2014/main" id="{AD8E5310-91DC-4761-9CAF-4E932F5ECFF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6" name="Picture 4" descr="VIAGS xanh">
          <a:extLst>
            <a:ext uri="{FF2B5EF4-FFF2-40B4-BE49-F238E27FC236}">
              <a16:creationId xmlns:a16="http://schemas.microsoft.com/office/drawing/2014/main" id="{8F14197C-AF52-431A-ADA7-DB4353503BF9}"/>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7" name="Picture 16" descr="VIAGS xanh">
          <a:extLst>
            <a:ext uri="{FF2B5EF4-FFF2-40B4-BE49-F238E27FC236}">
              <a16:creationId xmlns:a16="http://schemas.microsoft.com/office/drawing/2014/main" id="{A16168F0-F83B-45D3-B0DD-1B52CCBFC48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2AE622D3-C9BC-47AA-99BC-D4F124516F3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2AE9C02B-5550-47EE-BE4A-4F39BFE1961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6C7563BB-DD45-44DF-9580-8217AB437B4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C901BE69-DC83-4FA7-B72F-B675EEB8572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1B6DC0E7-B312-4B2B-91FC-BBA4F8B0E6B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866C1376-1490-4AF8-9DB8-5095C9FE601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69442013-B606-4B9F-9630-71805C170C5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B1916AD5-8727-44D7-BEA8-ACEDE320BC6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6343B194-F0BF-4CB0-8328-980666ABEDF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26">
          <a:extLst>
            <a:ext uri="{FF2B5EF4-FFF2-40B4-BE49-F238E27FC236}">
              <a16:creationId xmlns:a16="http://schemas.microsoft.com/office/drawing/2014/main" id="{FC920377-A4D5-4FC3-B2FB-36364FA5E99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A1331898-7E4E-40B4-A354-3A523495E17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32821A89-D63B-467B-A655-B79827CD07D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4">
          <a:extLst>
            <a:ext uri="{FF2B5EF4-FFF2-40B4-BE49-F238E27FC236}">
              <a16:creationId xmlns:a16="http://schemas.microsoft.com/office/drawing/2014/main" id="{84E8B214-D7CB-47E7-B02D-C7B6D90F999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F1F2F5A8-9771-4C4F-B790-D63186F4727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E488610A-AE5A-4CF5-AB0C-A62B2F25EB7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DFF11FB1-42A8-41C6-8B81-C86424CFD10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ECD4A292-474D-4A99-A10F-73B886CA62C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CD2D5603-3721-4DD1-A085-94B6E30F28B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0EE9ED8C-1AE6-4EE2-A663-5D4076E1ED6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899BB8CC-BCA4-40CB-8C60-515649D5FB0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A691DB4A-4E41-401D-8F28-2C91E763F35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38">
          <a:extLst>
            <a:ext uri="{FF2B5EF4-FFF2-40B4-BE49-F238E27FC236}">
              <a16:creationId xmlns:a16="http://schemas.microsoft.com/office/drawing/2014/main" id="{FDDEF00E-7489-44CE-B236-D6CFAB9F187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F5D23F77-26FB-42E7-A22E-D40B6BB5F8C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7518D275-9DCB-4B4C-83BF-ABA0A47C934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4.xml><?xml version="1.0" encoding="utf-8"?>
<xdr:wsDr xmlns:xdr="http://schemas.openxmlformats.org/drawingml/2006/spreadsheetDrawing" xmlns:a="http://schemas.openxmlformats.org/drawingml/2006/main">
  <xdr:twoCellAnchor>
    <xdr:from>
      <xdr:col>1</xdr:col>
      <xdr:colOff>219075</xdr:colOff>
      <xdr:row>1</xdr:row>
      <xdr:rowOff>161925</xdr:rowOff>
    </xdr:from>
    <xdr:to>
      <xdr:col>2</xdr:col>
      <xdr:colOff>1602441</xdr:colOff>
      <xdr:row>3</xdr:row>
      <xdr:rowOff>176278</xdr:rowOff>
    </xdr:to>
    <xdr:pic>
      <xdr:nvPicPr>
        <xdr:cNvPr id="3" name="Picture 10" descr="VIAGS xanh">
          <a:hlinkClick xmlns:r="http://schemas.openxmlformats.org/officeDocument/2006/relationships" r:id="rId1"/>
          <a:extLst>
            <a:ext uri="{FF2B5EF4-FFF2-40B4-BE49-F238E27FC236}">
              <a16:creationId xmlns:a16="http://schemas.microsoft.com/office/drawing/2014/main" id="{00000000-0008-0000-22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987" y="262778"/>
          <a:ext cx="1820395" cy="4625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7</xdr:col>
      <xdr:colOff>1491031</xdr:colOff>
      <xdr:row>4</xdr:row>
      <xdr:rowOff>57151</xdr:rowOff>
    </xdr:to>
    <xdr:pic>
      <xdr:nvPicPr>
        <xdr:cNvPr id="4" name="Picture 4" descr="VIAGS xanh">
          <a:extLst>
            <a:ext uri="{FF2B5EF4-FFF2-40B4-BE49-F238E27FC236}">
              <a16:creationId xmlns:a16="http://schemas.microsoft.com/office/drawing/2014/main" id="{00000000-0008-0000-22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43675" y="219076"/>
          <a:ext cx="1700581"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22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22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22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42F27223-08EA-4CF8-9153-5FA8A8E94C53}"/>
            </a:ext>
            <a:ext uri="{147F2762-F138-4A5C-976F-8EAC2B608ADB}">
              <a16:predDERef xmlns:a16="http://schemas.microsoft.com/office/drawing/2014/main" pred="{00000000-0008-0000-2200-000007000000}"/>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20B00EB3-2645-452E-A36A-3C7B44478237}"/>
            </a:ext>
            <a:ext uri="{147F2762-F138-4A5C-976F-8EAC2B608ADB}">
              <a16:predDERef xmlns:a16="http://schemas.microsoft.com/office/drawing/2014/main" pred="{42F27223-08EA-4CF8-9153-5FA8A8E94C53}"/>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2639E14D-70B1-4B98-84B3-5AD68F22F109}"/>
            </a:ext>
            <a:ext uri="{147F2762-F138-4A5C-976F-8EAC2B608ADB}">
              <a16:predDERef xmlns:a16="http://schemas.microsoft.com/office/drawing/2014/main" pred="{20B00EB3-2645-452E-A36A-3C7B44478237}"/>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0" name="Picture 10" descr="VIAGS xanh">
          <a:hlinkClick xmlns:r="http://schemas.openxmlformats.org/officeDocument/2006/relationships" r:id="rId1"/>
          <a:extLst>
            <a:ext uri="{FF2B5EF4-FFF2-40B4-BE49-F238E27FC236}">
              <a16:creationId xmlns:a16="http://schemas.microsoft.com/office/drawing/2014/main" id="{A375973D-800E-47A6-B28A-831A6C8EF897}"/>
            </a:ext>
            <a:ext uri="{147F2762-F138-4A5C-976F-8EAC2B608ADB}">
              <a16:predDERef xmlns:a16="http://schemas.microsoft.com/office/drawing/2014/main" pred="{2639E14D-70B1-4B98-84B3-5AD68F22F10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1" name="Picture 4" descr="VIAGS xanh">
          <a:extLst>
            <a:ext uri="{FF2B5EF4-FFF2-40B4-BE49-F238E27FC236}">
              <a16:creationId xmlns:a16="http://schemas.microsoft.com/office/drawing/2014/main" id="{E09E9AD6-B8F8-49E3-9F2E-39A76D45BEEE}"/>
            </a:ext>
            <a:ext uri="{147F2762-F138-4A5C-976F-8EAC2B608ADB}">
              <a16:predDERef xmlns:a16="http://schemas.microsoft.com/office/drawing/2014/main" pred="{A375973D-800E-47A6-B28A-831A6C8EF89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2" name="Picture 27" descr="VIAGS xanh">
          <a:extLst>
            <a:ext uri="{FF2B5EF4-FFF2-40B4-BE49-F238E27FC236}">
              <a16:creationId xmlns:a16="http://schemas.microsoft.com/office/drawing/2014/main" id="{79B50339-FFE6-4C94-93E1-EDB77104D040}"/>
            </a:ext>
            <a:ext uri="{147F2762-F138-4A5C-976F-8EAC2B608ADB}">
              <a16:predDERef xmlns:a16="http://schemas.microsoft.com/office/drawing/2014/main" pred="{E09E9AD6-B8F8-49E3-9F2E-39A76D45BEEE}"/>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64DB9902-114E-408E-B8E8-9ECE7548D79C}"/>
            </a:ext>
            <a:ext uri="{147F2762-F138-4A5C-976F-8EAC2B608ADB}">
              <a16:predDERef xmlns:a16="http://schemas.microsoft.com/office/drawing/2014/main" pred="{79B50339-FFE6-4C94-93E1-EDB77104D04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9F475BE9-8F3F-44B5-ABA6-37E460BD54D6}"/>
            </a:ext>
            <a:ext uri="{147F2762-F138-4A5C-976F-8EAC2B608ADB}">
              <a16:predDERef xmlns:a16="http://schemas.microsoft.com/office/drawing/2014/main" pred="{64DB9902-114E-408E-B8E8-9ECE7548D79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704CD56C-E4C2-4B15-8871-E4987EA1693C}"/>
            </a:ext>
            <a:ext uri="{147F2762-F138-4A5C-976F-8EAC2B608ADB}">
              <a16:predDERef xmlns:a16="http://schemas.microsoft.com/office/drawing/2014/main" pred="{9F475BE9-8F3F-44B5-ABA6-37E460BD54D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4">
          <a:extLst>
            <a:ext uri="{FF2B5EF4-FFF2-40B4-BE49-F238E27FC236}">
              <a16:creationId xmlns:a16="http://schemas.microsoft.com/office/drawing/2014/main" id="{4D238AEE-51C5-4C5F-B3FB-43BA07B47DA4}"/>
            </a:ext>
            <a:ext uri="{147F2762-F138-4A5C-976F-8EAC2B608ADB}">
              <a16:predDERef xmlns:a16="http://schemas.microsoft.com/office/drawing/2014/main" pred="{704CD56C-E4C2-4B15-8871-E4987EA1693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7">
          <a:extLst>
            <a:ext uri="{FF2B5EF4-FFF2-40B4-BE49-F238E27FC236}">
              <a16:creationId xmlns:a16="http://schemas.microsoft.com/office/drawing/2014/main" id="{8ED7881A-3CA9-4C37-A65C-12F8AC098EB6}"/>
            </a:ext>
            <a:ext uri="{147F2762-F138-4A5C-976F-8EAC2B608ADB}">
              <a16:predDERef xmlns:a16="http://schemas.microsoft.com/office/drawing/2014/main" pred="{4D238AEE-51C5-4C5F-B3FB-43BA07B47DA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8">
          <a:extLst>
            <a:ext uri="{FF2B5EF4-FFF2-40B4-BE49-F238E27FC236}">
              <a16:creationId xmlns:a16="http://schemas.microsoft.com/office/drawing/2014/main" id="{70120F94-9E45-4DF8-996A-7C7D77E5C11E}"/>
            </a:ext>
            <a:ext uri="{147F2762-F138-4A5C-976F-8EAC2B608ADB}">
              <a16:predDERef xmlns:a16="http://schemas.microsoft.com/office/drawing/2014/main" pred="{8ED7881A-3CA9-4C37-A65C-12F8AC098EB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9" name="Picture 10" descr="VIAGS xanh">
          <a:hlinkClick xmlns:r="http://schemas.openxmlformats.org/officeDocument/2006/relationships" r:id="rId1"/>
          <a:extLst>
            <a:ext uri="{FF2B5EF4-FFF2-40B4-BE49-F238E27FC236}">
              <a16:creationId xmlns:a16="http://schemas.microsoft.com/office/drawing/2014/main" id="{CE8BB18C-892E-448E-B2E4-64A77478F40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20" name="Picture 4" descr="VIAGS xanh">
          <a:extLst>
            <a:ext uri="{FF2B5EF4-FFF2-40B4-BE49-F238E27FC236}">
              <a16:creationId xmlns:a16="http://schemas.microsoft.com/office/drawing/2014/main" id="{61AA852B-438C-41F8-A838-D3DF7986EE5C}"/>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1" name="Picture 20" descr="VIAGS xanh">
          <a:extLst>
            <a:ext uri="{FF2B5EF4-FFF2-40B4-BE49-F238E27FC236}">
              <a16:creationId xmlns:a16="http://schemas.microsoft.com/office/drawing/2014/main" id="{94D280D9-F913-4687-9C20-A9A1FABDFB3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6B2E6CE8-6EA3-4B2E-9756-D90B9B08D2A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1CA5847E-9B79-4E2D-80CC-9B8E8588B60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891C67EE-43B1-4300-92CB-403F2AE51DC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0CC9AC8E-822A-4F5D-8E66-ABB68D8478D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0D47365A-46E7-4BC4-BC6F-5EFB1B2BF51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83E48A69-3DBA-4A66-B3F0-449BE5D3BE6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4">
          <a:extLst>
            <a:ext uri="{FF2B5EF4-FFF2-40B4-BE49-F238E27FC236}">
              <a16:creationId xmlns:a16="http://schemas.microsoft.com/office/drawing/2014/main" id="{4FB44A7E-8D11-491D-97D5-59DE68DBEFE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F82F8B71-860F-4552-A98E-48A61BDECBB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67B3DBF4-6B81-46D0-9DB7-691700CE465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30">
          <a:extLst>
            <a:ext uri="{FF2B5EF4-FFF2-40B4-BE49-F238E27FC236}">
              <a16:creationId xmlns:a16="http://schemas.microsoft.com/office/drawing/2014/main" id="{59004F27-531D-46EB-8A2A-38E3A3E3E10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49710E03-D48A-40E9-BB3B-655516CD30B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7004D0AF-6C2B-4C0C-A92D-F0445BED2CD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2C1A285F-6585-4BF5-BED0-0A66529CC24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CB20531B-FB3A-4A94-A49D-B452EE3C61E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D569FDA5-881A-4F0F-B4D8-1B4F820138C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70D5FE67-08D9-48ED-88BE-F6BBF92E3A7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271DAC99-A0CB-406F-81FA-237253CFD89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BC4E1C5B-63E8-4060-A651-E39362F9334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9DA481C3-C09C-428D-9090-72ACB427BFA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F96F8786-7BEA-45C3-8FB2-F6A3B1ACBF9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DE2046F2-4B35-45F0-9088-B8782C9F354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2">
          <a:extLst>
            <a:ext uri="{FF2B5EF4-FFF2-40B4-BE49-F238E27FC236}">
              <a16:creationId xmlns:a16="http://schemas.microsoft.com/office/drawing/2014/main" id="{A1D503D6-DEFE-4B33-97E5-4EEE350E0E3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43">
          <a:extLst>
            <a:ext uri="{FF2B5EF4-FFF2-40B4-BE49-F238E27FC236}">
              <a16:creationId xmlns:a16="http://schemas.microsoft.com/office/drawing/2014/main" id="{CD8CBA62-555D-4C25-87CD-53D9AEC6F55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4">
          <a:extLst>
            <a:ext uri="{FF2B5EF4-FFF2-40B4-BE49-F238E27FC236}">
              <a16:creationId xmlns:a16="http://schemas.microsoft.com/office/drawing/2014/main" id="{C3E710C2-80D2-47D0-960C-B34D5A41FC3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5.xml><?xml version="1.0" encoding="utf-8"?>
<xdr:wsDr xmlns:xdr="http://schemas.openxmlformats.org/drawingml/2006/spreadsheetDrawing" xmlns:a="http://schemas.openxmlformats.org/drawingml/2006/main">
  <xdr:twoCellAnchor>
    <xdr:from>
      <xdr:col>1</xdr:col>
      <xdr:colOff>219076</xdr:colOff>
      <xdr:row>1</xdr:row>
      <xdr:rowOff>161925</xdr:rowOff>
    </xdr:from>
    <xdr:to>
      <xdr:col>2</xdr:col>
      <xdr:colOff>1514476</xdr:colOff>
      <xdr:row>3</xdr:row>
      <xdr:rowOff>157258</xdr:rowOff>
    </xdr:to>
    <xdr:pic>
      <xdr:nvPicPr>
        <xdr:cNvPr id="11" name="Picture 10" descr="VIAGS xanh">
          <a:hlinkClick xmlns:r="http://schemas.openxmlformats.org/officeDocument/2006/relationships" r:id="rId1"/>
          <a:extLst>
            <a:ext uri="{FF2B5EF4-FFF2-40B4-BE49-F238E27FC236}">
              <a16:creationId xmlns:a16="http://schemas.microsoft.com/office/drawing/2014/main" id="{00000000-0008-0000-2300-00000B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8626" y="266700"/>
          <a:ext cx="1733550" cy="4525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7</xdr:col>
      <xdr:colOff>1491031</xdr:colOff>
      <xdr:row>4</xdr:row>
      <xdr:rowOff>57151</xdr:rowOff>
    </xdr:to>
    <xdr:pic>
      <xdr:nvPicPr>
        <xdr:cNvPr id="12" name="Picture 4" descr="VIAGS xanh">
          <a:extLst>
            <a:ext uri="{FF2B5EF4-FFF2-40B4-BE49-F238E27FC236}">
              <a16:creationId xmlns:a16="http://schemas.microsoft.com/office/drawing/2014/main" id="{00000000-0008-0000-2300-00000C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43675" y="219076"/>
          <a:ext cx="1700581"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 name="TextBox 4">
          <a:extLst>
            <a:ext uri="{FF2B5EF4-FFF2-40B4-BE49-F238E27FC236}">
              <a16:creationId xmlns:a16="http://schemas.microsoft.com/office/drawing/2014/main" id="{00000000-0008-0000-2300-00000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7">
          <a:extLst>
            <a:ext uri="{FF2B5EF4-FFF2-40B4-BE49-F238E27FC236}">
              <a16:creationId xmlns:a16="http://schemas.microsoft.com/office/drawing/2014/main" id="{00000000-0008-0000-2300-00000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8">
          <a:extLst>
            <a:ext uri="{FF2B5EF4-FFF2-40B4-BE49-F238E27FC236}">
              <a16:creationId xmlns:a16="http://schemas.microsoft.com/office/drawing/2014/main" id="{00000000-0008-0000-2300-00000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91571767-2D8F-4431-BBF5-EBC38EBCD41B}"/>
            </a:ext>
            <a:ext uri="{147F2762-F138-4A5C-976F-8EAC2B608ADB}">
              <a16:predDERef xmlns:a16="http://schemas.microsoft.com/office/drawing/2014/main" pred="{00000000-0008-0000-2300-00000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3" name="Picture 4" descr="VIAGS xanh">
          <a:extLst>
            <a:ext uri="{FF2B5EF4-FFF2-40B4-BE49-F238E27FC236}">
              <a16:creationId xmlns:a16="http://schemas.microsoft.com/office/drawing/2014/main" id="{7D847B99-6C38-45CB-92A7-5FE53544D522}"/>
            </a:ext>
            <a:ext uri="{147F2762-F138-4A5C-976F-8EAC2B608ADB}">
              <a16:predDERef xmlns:a16="http://schemas.microsoft.com/office/drawing/2014/main" pred="{91571767-2D8F-4431-BBF5-EBC38EBCD41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7" name="Picture 27" descr="VIAGS xanh">
          <a:extLst>
            <a:ext uri="{FF2B5EF4-FFF2-40B4-BE49-F238E27FC236}">
              <a16:creationId xmlns:a16="http://schemas.microsoft.com/office/drawing/2014/main" id="{D6337174-87AC-4D68-B437-41DC1C8E815E}"/>
            </a:ext>
            <a:ext uri="{147F2762-F138-4A5C-976F-8EAC2B608ADB}">
              <a16:predDERef xmlns:a16="http://schemas.microsoft.com/office/drawing/2014/main" pred="{7D847B99-6C38-45CB-92A7-5FE53544D522}"/>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8" name="TextBox 4">
          <a:extLst>
            <a:ext uri="{FF2B5EF4-FFF2-40B4-BE49-F238E27FC236}">
              <a16:creationId xmlns:a16="http://schemas.microsoft.com/office/drawing/2014/main" id="{9D22D163-966A-474D-985C-37E29C74F8DF}"/>
            </a:ext>
            <a:ext uri="{147F2762-F138-4A5C-976F-8EAC2B608ADB}">
              <a16:predDERef xmlns:a16="http://schemas.microsoft.com/office/drawing/2014/main" pred="{D6337174-87AC-4D68-B437-41DC1C8E815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7">
          <a:extLst>
            <a:ext uri="{FF2B5EF4-FFF2-40B4-BE49-F238E27FC236}">
              <a16:creationId xmlns:a16="http://schemas.microsoft.com/office/drawing/2014/main" id="{7521DF97-5B1E-423C-910F-716FDCD553B5}"/>
            </a:ext>
            <a:ext uri="{147F2762-F138-4A5C-976F-8EAC2B608ADB}">
              <a16:predDERef xmlns:a16="http://schemas.microsoft.com/office/drawing/2014/main" pred="{9D22D163-966A-474D-985C-37E29C74F8D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8">
          <a:extLst>
            <a:ext uri="{FF2B5EF4-FFF2-40B4-BE49-F238E27FC236}">
              <a16:creationId xmlns:a16="http://schemas.microsoft.com/office/drawing/2014/main" id="{036A0AAC-6402-420F-90E3-9C539D5E7904}"/>
            </a:ext>
            <a:ext uri="{147F2762-F138-4A5C-976F-8EAC2B608ADB}">
              <a16:predDERef xmlns:a16="http://schemas.microsoft.com/office/drawing/2014/main" pred="{7521DF97-5B1E-423C-910F-716FDCD553B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98CC3EF8-558C-4498-9272-2128BF3A520B}"/>
            </a:ext>
            <a:ext uri="{147F2762-F138-4A5C-976F-8EAC2B608ADB}">
              <a16:predDERef xmlns:a16="http://schemas.microsoft.com/office/drawing/2014/main" pred="{036A0AAC-6402-420F-90E3-9C539D5E790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182D3678-1A8A-4FE6-A03B-646F120EBAD3}"/>
            </a:ext>
            <a:ext uri="{147F2762-F138-4A5C-976F-8EAC2B608ADB}">
              <a16:predDERef xmlns:a16="http://schemas.microsoft.com/office/drawing/2014/main" pred="{98CC3EF8-558C-4498-9272-2128BF3A520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8034B6F8-8387-4FE4-A905-33F0159A8859}"/>
            </a:ext>
            <a:ext uri="{147F2762-F138-4A5C-976F-8EAC2B608ADB}">
              <a16:predDERef xmlns:a16="http://schemas.microsoft.com/office/drawing/2014/main" pred="{182D3678-1A8A-4FE6-A03B-646F120EBAD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6" name="Picture 10" descr="VIAGS xanh">
          <a:hlinkClick xmlns:r="http://schemas.openxmlformats.org/officeDocument/2006/relationships" r:id="rId1"/>
          <a:extLst>
            <a:ext uri="{FF2B5EF4-FFF2-40B4-BE49-F238E27FC236}">
              <a16:creationId xmlns:a16="http://schemas.microsoft.com/office/drawing/2014/main" id="{9CFAA5B2-43C5-420F-BE23-3D33E9B1A49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7" name="Picture 4" descr="VIAGS xanh">
          <a:extLst>
            <a:ext uri="{FF2B5EF4-FFF2-40B4-BE49-F238E27FC236}">
              <a16:creationId xmlns:a16="http://schemas.microsoft.com/office/drawing/2014/main" id="{4F586908-707E-4D46-BE47-A2515A3936C2}"/>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8" name="Picture 17" descr="VIAGS xanh">
          <a:extLst>
            <a:ext uri="{FF2B5EF4-FFF2-40B4-BE49-F238E27FC236}">
              <a16:creationId xmlns:a16="http://schemas.microsoft.com/office/drawing/2014/main" id="{245BBE14-3CE0-4A6E-8F2D-DFF339B949C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51F9726D-6E10-47D5-A24B-70B8E524CF0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EF18EEB3-AAA2-4320-B29F-B8DE920CC81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AE4C3AF0-D1EA-46B5-B6E4-F424626D50E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48F5DC78-5BBD-4EBD-843B-C12A21D4F85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66E22ED1-6D26-400F-8084-1CFC2103F8C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2A6EB71B-3C3F-488E-BC8D-CF7FA05E9B1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AA55CBF0-31F7-4572-9B13-D4823D942F7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29923A64-E21D-4E2F-8D3B-900B1FF3253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AAC9F015-7B25-4EC9-B646-ACA1B926B8E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2CF213D2-934E-4B60-951C-B2FBD329222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18058885-6059-455F-AFE7-70E23372CCD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B6505EE2-5534-4829-9376-D3CD1CDE188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32B19FC9-2391-498A-AEF8-61F332E8DD2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025B45A1-1635-4942-96D6-9E28AE0B657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681FC5D4-2C20-4042-8129-E451570A85F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B2E8D977-CB4E-4624-9D04-413853E79FC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727782FE-2325-404D-B60A-B084D8D334E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4795CE4B-B4A6-4A46-A197-F83051A626A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7A927BCC-3364-4393-829B-142714CF503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135583D9-A156-4610-AEB9-C7955730500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3A342B01-D53A-4FF0-8B27-F91D43D20AD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AF51337A-6AEA-473C-9601-213F5D6473E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E936644D-A423-4A82-B074-FFF2E3AD791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F4B6230C-51A1-493C-A3DA-B68B6C16F77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6.xml><?xml version="1.0" encoding="utf-8"?>
<xdr:wsDr xmlns:xdr="http://schemas.openxmlformats.org/drawingml/2006/spreadsheetDrawing" xmlns:a="http://schemas.openxmlformats.org/drawingml/2006/main">
  <xdr:twoCellAnchor>
    <xdr:from>
      <xdr:col>1</xdr:col>
      <xdr:colOff>219076</xdr:colOff>
      <xdr:row>1</xdr:row>
      <xdr:rowOff>161925</xdr:rowOff>
    </xdr:from>
    <xdr:to>
      <xdr:col>2</xdr:col>
      <xdr:colOff>1557619</xdr:colOff>
      <xdr:row>3</xdr:row>
      <xdr:rowOff>168523</xdr:rowOff>
    </xdr:to>
    <xdr:pic>
      <xdr:nvPicPr>
        <xdr:cNvPr id="2" name="Picture 1" descr="VIAGS xanh">
          <a:hlinkClick xmlns:r="http://schemas.openxmlformats.org/officeDocument/2006/relationships" r:id="rId1"/>
          <a:extLst>
            <a:ext uri="{FF2B5EF4-FFF2-40B4-BE49-F238E27FC236}">
              <a16:creationId xmlns:a16="http://schemas.microsoft.com/office/drawing/2014/main" id="{00000000-0008-0000-24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988" y="262778"/>
          <a:ext cx="1775572" cy="4548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7</xdr:col>
      <xdr:colOff>1491031</xdr:colOff>
      <xdr:row>4</xdr:row>
      <xdr:rowOff>57151</xdr:rowOff>
    </xdr:to>
    <xdr:pic>
      <xdr:nvPicPr>
        <xdr:cNvPr id="3" name="Picture 4" descr="VIAGS xanh">
          <a:extLst>
            <a:ext uri="{FF2B5EF4-FFF2-40B4-BE49-F238E27FC236}">
              <a16:creationId xmlns:a16="http://schemas.microsoft.com/office/drawing/2014/main" id="{00000000-0008-0000-2400-000003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43675" y="219076"/>
          <a:ext cx="1700581"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 name="TextBox 4">
          <a:extLst>
            <a:ext uri="{FF2B5EF4-FFF2-40B4-BE49-F238E27FC236}">
              <a16:creationId xmlns:a16="http://schemas.microsoft.com/office/drawing/2014/main" id="{00000000-0008-0000-2400-00000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7">
          <a:extLst>
            <a:ext uri="{FF2B5EF4-FFF2-40B4-BE49-F238E27FC236}">
              <a16:creationId xmlns:a16="http://schemas.microsoft.com/office/drawing/2014/main" id="{00000000-0008-0000-2400-00000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8">
          <a:extLst>
            <a:ext uri="{FF2B5EF4-FFF2-40B4-BE49-F238E27FC236}">
              <a16:creationId xmlns:a16="http://schemas.microsoft.com/office/drawing/2014/main" id="{00000000-0008-0000-2400-00000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7" name="Picture 10" descr="VIAGS xanh">
          <a:hlinkClick xmlns:r="http://schemas.openxmlformats.org/officeDocument/2006/relationships" r:id="rId1"/>
          <a:extLst>
            <a:ext uri="{FF2B5EF4-FFF2-40B4-BE49-F238E27FC236}">
              <a16:creationId xmlns:a16="http://schemas.microsoft.com/office/drawing/2014/main" id="{2B257095-745F-4202-A1F9-295523BF1B2D}"/>
            </a:ext>
            <a:ext uri="{147F2762-F138-4A5C-976F-8EAC2B608ADB}">
              <a16:predDERef xmlns:a16="http://schemas.microsoft.com/office/drawing/2014/main" pred="{00000000-0008-0000-2400-00000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8" name="Picture 4" descr="VIAGS xanh">
          <a:extLst>
            <a:ext uri="{FF2B5EF4-FFF2-40B4-BE49-F238E27FC236}">
              <a16:creationId xmlns:a16="http://schemas.microsoft.com/office/drawing/2014/main" id="{AA61EBBD-1898-4EAC-AEA8-212ADC930ABF}"/>
            </a:ext>
            <a:ext uri="{147F2762-F138-4A5C-976F-8EAC2B608ADB}">
              <a16:predDERef xmlns:a16="http://schemas.microsoft.com/office/drawing/2014/main" pred="{2B257095-745F-4202-A1F9-295523BF1B2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9" name="Picture 27" descr="VIAGS xanh">
          <a:extLst>
            <a:ext uri="{FF2B5EF4-FFF2-40B4-BE49-F238E27FC236}">
              <a16:creationId xmlns:a16="http://schemas.microsoft.com/office/drawing/2014/main" id="{DB587304-7A18-4F9C-B1D6-C0E8A0E808A4}"/>
            </a:ext>
            <a:ext uri="{147F2762-F138-4A5C-976F-8EAC2B608ADB}">
              <a16:predDERef xmlns:a16="http://schemas.microsoft.com/office/drawing/2014/main" pred="{AA61EBBD-1898-4EAC-AEA8-212ADC930ABF}"/>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E3F373A5-59D2-428B-9124-C981F5191B39}"/>
            </a:ext>
            <a:ext uri="{147F2762-F138-4A5C-976F-8EAC2B608ADB}">
              <a16:predDERef xmlns:a16="http://schemas.microsoft.com/office/drawing/2014/main" pred="{DB587304-7A18-4F9C-B1D6-C0E8A0E808A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695283CA-5B9D-4423-9B51-027A29AD3DEE}"/>
            </a:ext>
            <a:ext uri="{147F2762-F138-4A5C-976F-8EAC2B608ADB}">
              <a16:predDERef xmlns:a16="http://schemas.microsoft.com/office/drawing/2014/main" pred="{E3F373A5-59D2-428B-9124-C981F5191B3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78394430-1367-4B41-AB9A-50F7C9F5381F}"/>
            </a:ext>
            <a:ext uri="{147F2762-F138-4A5C-976F-8EAC2B608ADB}">
              <a16:predDERef xmlns:a16="http://schemas.microsoft.com/office/drawing/2014/main" pred="{695283CA-5B9D-4423-9B51-027A29AD3DE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F0CAC723-913A-43C9-861D-4C01C0C20B98}"/>
            </a:ext>
            <a:ext uri="{147F2762-F138-4A5C-976F-8EAC2B608ADB}">
              <a16:predDERef xmlns:a16="http://schemas.microsoft.com/office/drawing/2014/main" pred="{78394430-1367-4B41-AB9A-50F7C9F5381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89F181BD-712C-4CEE-9927-F4BB6E0C780C}"/>
            </a:ext>
            <a:ext uri="{147F2762-F138-4A5C-976F-8EAC2B608ADB}">
              <a16:predDERef xmlns:a16="http://schemas.microsoft.com/office/drawing/2014/main" pred="{F0CAC723-913A-43C9-861D-4C01C0C20B9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AD3BDF0A-E796-45BB-B290-1FE8988F422C}"/>
            </a:ext>
            <a:ext uri="{147F2762-F138-4A5C-976F-8EAC2B608ADB}">
              <a16:predDERef xmlns:a16="http://schemas.microsoft.com/office/drawing/2014/main" pred="{89F181BD-712C-4CEE-9927-F4BB6E0C780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6" name="Picture 10" descr="VIAGS xanh">
          <a:hlinkClick xmlns:r="http://schemas.openxmlformats.org/officeDocument/2006/relationships" r:id="rId1"/>
          <a:extLst>
            <a:ext uri="{FF2B5EF4-FFF2-40B4-BE49-F238E27FC236}">
              <a16:creationId xmlns:a16="http://schemas.microsoft.com/office/drawing/2014/main" id="{BF724E72-1515-4567-B5EA-18193F06D99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7" name="Picture 4" descr="VIAGS xanh">
          <a:extLst>
            <a:ext uri="{FF2B5EF4-FFF2-40B4-BE49-F238E27FC236}">
              <a16:creationId xmlns:a16="http://schemas.microsoft.com/office/drawing/2014/main" id="{DFBA0B1F-543A-46AC-8E96-926B54679C08}"/>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8" name="Picture 17" descr="VIAGS xanh">
          <a:extLst>
            <a:ext uri="{FF2B5EF4-FFF2-40B4-BE49-F238E27FC236}">
              <a16:creationId xmlns:a16="http://schemas.microsoft.com/office/drawing/2014/main" id="{262132A8-BFD4-4793-900C-73FFB65E2096}"/>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EB53CFD2-3CAB-4339-8CCB-3F6AE03EDFA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703A6460-D0D5-4D0F-A21E-E98F7D56EAE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819F40F6-8DD4-4724-AD05-AC8558E9560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F5CD35BA-CE94-4A8E-9A01-EB86148812D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66B28C8F-F317-4050-8EAF-BFAF053F680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CECA6B33-EA9B-461C-89CD-EA844C3BBF5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BDAD8D5E-BD7D-4A80-B4EE-1D244BBB93E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08FFB005-0DA7-410D-AA5B-A0036EC5D8C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30154C0D-7122-4BBC-A6B8-058C1B2EAAF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66BB3A8D-7C1C-45C2-AE6E-D26A5326577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3391C49B-8428-42DE-BFFB-0E69818CC28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BEFD5A1A-BA97-4D6E-BD88-9931EFBA0B9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2BAE3C57-856C-4071-B2CB-F9D10F44730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2D9F088F-C36A-4A51-A129-C3BD52ED754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E6888099-ADCB-49E0-99F6-9A5447555A6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56D830EA-2CF8-4C12-AC79-031C88A9086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91801CEF-3448-4A71-B9ED-A9141E53046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B68A1001-E383-43E3-AEC3-C3D3B863ED3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62A94F1A-932D-43BF-BEEC-6FB7E3A5574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9737A6CC-5A32-4AB0-AEAB-770EDC95D24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F676D177-F24B-43C9-B581-69EE43E64EE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C669DFF3-93F1-48E9-9AEC-431E4BBF056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381CECB4-A9E3-451A-82E2-EF7E2408E13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1624AE4A-F115-40AF-9793-F8BBAAB4BB5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7.xml><?xml version="1.0" encoding="utf-8"?>
<xdr:wsDr xmlns:xdr="http://schemas.openxmlformats.org/drawingml/2006/spreadsheetDrawing" xmlns:a="http://schemas.openxmlformats.org/drawingml/2006/main">
  <xdr:twoCellAnchor>
    <xdr:from>
      <xdr:col>1</xdr:col>
      <xdr:colOff>219075</xdr:colOff>
      <xdr:row>1</xdr:row>
      <xdr:rowOff>161926</xdr:rowOff>
    </xdr:from>
    <xdr:to>
      <xdr:col>2</xdr:col>
      <xdr:colOff>1578428</xdr:colOff>
      <xdr:row>3</xdr:row>
      <xdr:rowOff>177545</xdr:rowOff>
    </xdr:to>
    <xdr:pic>
      <xdr:nvPicPr>
        <xdr:cNvPr id="2" name="Picture 1" descr="VIAGS xanh">
          <a:hlinkClick xmlns:r="http://schemas.openxmlformats.org/officeDocument/2006/relationships" r:id="rId1"/>
          <a:extLst>
            <a:ext uri="{FF2B5EF4-FFF2-40B4-BE49-F238E27FC236}">
              <a16:creationId xmlns:a16="http://schemas.microsoft.com/office/drawing/2014/main" id="{00000000-0008-0000-25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3182" y="270783"/>
          <a:ext cx="1794782" cy="478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7</xdr:col>
      <xdr:colOff>1491031</xdr:colOff>
      <xdr:row>4</xdr:row>
      <xdr:rowOff>57151</xdr:rowOff>
    </xdr:to>
    <xdr:pic>
      <xdr:nvPicPr>
        <xdr:cNvPr id="3" name="Picture 4" descr="VIAGS xanh">
          <a:extLst>
            <a:ext uri="{FF2B5EF4-FFF2-40B4-BE49-F238E27FC236}">
              <a16:creationId xmlns:a16="http://schemas.microsoft.com/office/drawing/2014/main" id="{00000000-0008-0000-2500-000003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43675" y="219076"/>
          <a:ext cx="1700581"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 name="TextBox 4">
          <a:extLst>
            <a:ext uri="{FF2B5EF4-FFF2-40B4-BE49-F238E27FC236}">
              <a16:creationId xmlns:a16="http://schemas.microsoft.com/office/drawing/2014/main" id="{00000000-0008-0000-2500-00000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7">
          <a:extLst>
            <a:ext uri="{FF2B5EF4-FFF2-40B4-BE49-F238E27FC236}">
              <a16:creationId xmlns:a16="http://schemas.microsoft.com/office/drawing/2014/main" id="{00000000-0008-0000-2500-00000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8">
          <a:extLst>
            <a:ext uri="{FF2B5EF4-FFF2-40B4-BE49-F238E27FC236}">
              <a16:creationId xmlns:a16="http://schemas.microsoft.com/office/drawing/2014/main" id="{00000000-0008-0000-2500-00000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7" name="Picture 10" descr="VIAGS xanh">
          <a:hlinkClick xmlns:r="http://schemas.openxmlformats.org/officeDocument/2006/relationships" r:id="rId1"/>
          <a:extLst>
            <a:ext uri="{FF2B5EF4-FFF2-40B4-BE49-F238E27FC236}">
              <a16:creationId xmlns:a16="http://schemas.microsoft.com/office/drawing/2014/main" id="{C3B83035-198A-4EFE-A11E-CFEC80661D68}"/>
            </a:ext>
            <a:ext uri="{147F2762-F138-4A5C-976F-8EAC2B608ADB}">
              <a16:predDERef xmlns:a16="http://schemas.microsoft.com/office/drawing/2014/main" pred="{00000000-0008-0000-2500-00000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8" name="Picture 4" descr="VIAGS xanh">
          <a:extLst>
            <a:ext uri="{FF2B5EF4-FFF2-40B4-BE49-F238E27FC236}">
              <a16:creationId xmlns:a16="http://schemas.microsoft.com/office/drawing/2014/main" id="{1AB54B6C-F9E5-4CA1-909D-CDE30FF09A23}"/>
            </a:ext>
            <a:ext uri="{147F2762-F138-4A5C-976F-8EAC2B608ADB}">
              <a16:predDERef xmlns:a16="http://schemas.microsoft.com/office/drawing/2014/main" pred="{C3B83035-198A-4EFE-A11E-CFEC80661D6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9" name="Picture 27" descr="VIAGS xanh">
          <a:extLst>
            <a:ext uri="{FF2B5EF4-FFF2-40B4-BE49-F238E27FC236}">
              <a16:creationId xmlns:a16="http://schemas.microsoft.com/office/drawing/2014/main" id="{EBE3E378-5144-4F6A-BD04-6C1FF2C42881}"/>
            </a:ext>
            <a:ext uri="{147F2762-F138-4A5C-976F-8EAC2B608ADB}">
              <a16:predDERef xmlns:a16="http://schemas.microsoft.com/office/drawing/2014/main" pred="{1AB54B6C-F9E5-4CA1-909D-CDE30FF09A2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E38ACC6C-1053-4149-AB97-E7D31B9C73B0}"/>
            </a:ext>
            <a:ext uri="{147F2762-F138-4A5C-976F-8EAC2B608ADB}">
              <a16:predDERef xmlns:a16="http://schemas.microsoft.com/office/drawing/2014/main" pred="{EBE3E378-5144-4F6A-BD04-6C1FF2C4288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B7F53EF0-8A9E-45CE-83FA-C067F2C13AB8}"/>
            </a:ext>
            <a:ext uri="{147F2762-F138-4A5C-976F-8EAC2B608ADB}">
              <a16:predDERef xmlns:a16="http://schemas.microsoft.com/office/drawing/2014/main" pred="{E38ACC6C-1053-4149-AB97-E7D31B9C73B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09642509-5327-49A9-909D-D4C19E8B866B}"/>
            </a:ext>
            <a:ext uri="{147F2762-F138-4A5C-976F-8EAC2B608ADB}">
              <a16:predDERef xmlns:a16="http://schemas.microsoft.com/office/drawing/2014/main" pred="{B7F53EF0-8A9E-45CE-83FA-C067F2C13AB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5FC5EBAF-4669-4B7B-BCC4-93005B916707}"/>
            </a:ext>
            <a:ext uri="{147F2762-F138-4A5C-976F-8EAC2B608ADB}">
              <a16:predDERef xmlns:a16="http://schemas.microsoft.com/office/drawing/2014/main" pred="{09642509-5327-49A9-909D-D4C19E8B866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1FFCE752-542B-4A7A-94C9-67D7A549A373}"/>
            </a:ext>
            <a:ext uri="{147F2762-F138-4A5C-976F-8EAC2B608ADB}">
              <a16:predDERef xmlns:a16="http://schemas.microsoft.com/office/drawing/2014/main" pred="{5FC5EBAF-4669-4B7B-BCC4-93005B91670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C7175974-985E-46AB-B7E0-5155F5A85962}"/>
            </a:ext>
            <a:ext uri="{147F2762-F138-4A5C-976F-8EAC2B608ADB}">
              <a16:predDERef xmlns:a16="http://schemas.microsoft.com/office/drawing/2014/main" pred="{1FFCE752-542B-4A7A-94C9-67D7A549A37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6" name="Picture 10" descr="VIAGS xanh">
          <a:hlinkClick xmlns:r="http://schemas.openxmlformats.org/officeDocument/2006/relationships" r:id="rId1"/>
          <a:extLst>
            <a:ext uri="{FF2B5EF4-FFF2-40B4-BE49-F238E27FC236}">
              <a16:creationId xmlns:a16="http://schemas.microsoft.com/office/drawing/2014/main" id="{ED281018-DDA2-4E61-AFE6-B3C60531CAD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7" name="Picture 4" descr="VIAGS xanh">
          <a:extLst>
            <a:ext uri="{FF2B5EF4-FFF2-40B4-BE49-F238E27FC236}">
              <a16:creationId xmlns:a16="http://schemas.microsoft.com/office/drawing/2014/main" id="{79ADAF67-8808-4B46-A799-DAF842D37F3E}"/>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8" name="Picture 17" descr="VIAGS xanh">
          <a:extLst>
            <a:ext uri="{FF2B5EF4-FFF2-40B4-BE49-F238E27FC236}">
              <a16:creationId xmlns:a16="http://schemas.microsoft.com/office/drawing/2014/main" id="{657F45F5-00DA-4E2B-8B51-02E2C02215D2}"/>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BE6ECA71-8D56-4840-B04A-DFE46F8F053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2A93CB79-092E-4909-82C3-C496D953AC7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4C7AA236-8AD8-4579-8599-3CD83D34BEA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D3611743-65C7-4180-8944-86782EBB669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EAF437B9-41CF-4DDA-A750-6708A5A8EE8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3C377C64-BB45-4EC1-BA38-4953D207ECF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BB09D3DA-E9EC-4374-80CE-68DC83F1E4A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29E0545D-294A-451F-987F-FACCDD739B7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372C5F22-16F4-4805-A03B-AD94475D25D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77B9F3AB-50D5-4224-A82F-28B366E102D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E56F6165-3B5B-46C8-BE25-FE855A7C3F1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A17E1E77-08D8-433D-9125-0266B027F9A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5F644C3C-EE08-48DD-83B7-4D4E14EEFFA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94F2F1B7-4181-4D8C-A79B-2D0778C9F86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9FEA2A00-9455-4493-8B08-3D4EA989278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02B0F6F6-1F28-40BE-BBE9-AA6EE77E469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BDDD3B25-AF35-484A-B792-F6A6BC86E52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AA1EE29D-D478-4E0F-9753-EA5FB7805BB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57620633-FB4A-4D15-B09B-FE032283F6D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00D780A2-C235-48BE-A58F-25CF249AC34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34BCE833-F4D3-46C8-BF82-62ED6D18F53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0E6F0794-AF33-4F39-AF91-CE0D55FC83F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FB169FE2-AAC3-47DE-B6B4-FABECDC301B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C53927DF-CD46-43FF-B0D3-108804013DD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8.xml><?xml version="1.0" encoding="utf-8"?>
<xdr:wsDr xmlns:xdr="http://schemas.openxmlformats.org/drawingml/2006/spreadsheetDrawing" xmlns:a="http://schemas.openxmlformats.org/drawingml/2006/main">
  <xdr:twoCellAnchor>
    <xdr:from>
      <xdr:col>1</xdr:col>
      <xdr:colOff>219075</xdr:colOff>
      <xdr:row>1</xdr:row>
      <xdr:rowOff>123825</xdr:rowOff>
    </xdr:from>
    <xdr:to>
      <xdr:col>2</xdr:col>
      <xdr:colOff>1558636</xdr:colOff>
      <xdr:row>3</xdr:row>
      <xdr:rowOff>129028</xdr:rowOff>
    </xdr:to>
    <xdr:pic>
      <xdr:nvPicPr>
        <xdr:cNvPr id="2" name="Picture 1" descr="VIAGS xanh">
          <a:hlinkClick xmlns:r="http://schemas.openxmlformats.org/officeDocument/2006/relationships" r:id="rId1"/>
          <a:extLst>
            <a:ext uri="{FF2B5EF4-FFF2-40B4-BE49-F238E27FC236}">
              <a16:creationId xmlns:a16="http://schemas.microsoft.com/office/drawing/2014/main" id="{00000000-0008-0000-26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6893" y="227734"/>
          <a:ext cx="1772516" cy="4554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7</xdr:col>
      <xdr:colOff>1491031</xdr:colOff>
      <xdr:row>4</xdr:row>
      <xdr:rowOff>57151</xdr:rowOff>
    </xdr:to>
    <xdr:pic>
      <xdr:nvPicPr>
        <xdr:cNvPr id="3" name="Picture 4" descr="VIAGS xanh">
          <a:extLst>
            <a:ext uri="{FF2B5EF4-FFF2-40B4-BE49-F238E27FC236}">
              <a16:creationId xmlns:a16="http://schemas.microsoft.com/office/drawing/2014/main" id="{00000000-0008-0000-2600-000003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43675" y="219076"/>
          <a:ext cx="1700581"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26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 name="TextBox 5">
          <a:extLst>
            <a:ext uri="{FF2B5EF4-FFF2-40B4-BE49-F238E27FC236}">
              <a16:creationId xmlns:a16="http://schemas.microsoft.com/office/drawing/2014/main" id="{00000000-0008-0000-2600-000006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00000000-0008-0000-2600-00000A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00000000-0008-0000-2600-00000B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00000000-0008-0000-2600-00000C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5" name="Picture 10" descr="VIAGS xanh">
          <a:hlinkClick xmlns:r="http://schemas.openxmlformats.org/officeDocument/2006/relationships" r:id="rId1"/>
          <a:extLst>
            <a:ext uri="{FF2B5EF4-FFF2-40B4-BE49-F238E27FC236}">
              <a16:creationId xmlns:a16="http://schemas.microsoft.com/office/drawing/2014/main" id="{40B690D6-C1F8-4A85-84BD-6DBD166DFAE3}"/>
            </a:ext>
            <a:ext uri="{147F2762-F138-4A5C-976F-8EAC2B608ADB}">
              <a16:predDERef xmlns:a16="http://schemas.microsoft.com/office/drawing/2014/main" pred="{00000000-0008-0000-2600-00000C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7" name="Picture 4" descr="VIAGS xanh">
          <a:extLst>
            <a:ext uri="{FF2B5EF4-FFF2-40B4-BE49-F238E27FC236}">
              <a16:creationId xmlns:a16="http://schemas.microsoft.com/office/drawing/2014/main" id="{3807B16D-523A-4BFD-BC67-46205A7F302D}"/>
            </a:ext>
            <a:ext uri="{147F2762-F138-4A5C-976F-8EAC2B608ADB}">
              <a16:predDERef xmlns:a16="http://schemas.microsoft.com/office/drawing/2014/main" pred="{40B690D6-C1F8-4A85-84BD-6DBD166DFAE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8" name="Picture 27" descr="VIAGS xanh">
          <a:extLst>
            <a:ext uri="{FF2B5EF4-FFF2-40B4-BE49-F238E27FC236}">
              <a16:creationId xmlns:a16="http://schemas.microsoft.com/office/drawing/2014/main" id="{0BF49D78-01AF-4556-BE54-33698810557F}"/>
            </a:ext>
            <a:ext uri="{147F2762-F138-4A5C-976F-8EAC2B608ADB}">
              <a16:predDERef xmlns:a16="http://schemas.microsoft.com/office/drawing/2014/main" pred="{3807B16D-523A-4BFD-BC67-46205A7F302D}"/>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9" name="TextBox 4">
          <a:extLst>
            <a:ext uri="{FF2B5EF4-FFF2-40B4-BE49-F238E27FC236}">
              <a16:creationId xmlns:a16="http://schemas.microsoft.com/office/drawing/2014/main" id="{3ED4360B-CEF2-4311-A4C1-EF37F0CA5482}"/>
            </a:ext>
            <a:ext uri="{147F2762-F138-4A5C-976F-8EAC2B608ADB}">
              <a16:predDERef xmlns:a16="http://schemas.microsoft.com/office/drawing/2014/main" pred="{0BF49D78-01AF-4556-BE54-33698810557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CCEF7297-65B9-4E0E-B085-B2A20B2B00F7}"/>
            </a:ext>
            <a:ext uri="{147F2762-F138-4A5C-976F-8EAC2B608ADB}">
              <a16:predDERef xmlns:a16="http://schemas.microsoft.com/office/drawing/2014/main" pred="{3ED4360B-CEF2-4311-A4C1-EF37F0CA548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F68DA347-1866-45F8-9728-534981EC2AEB}"/>
            </a:ext>
            <a:ext uri="{147F2762-F138-4A5C-976F-8EAC2B608ADB}">
              <a16:predDERef xmlns:a16="http://schemas.microsoft.com/office/drawing/2014/main" pred="{CCEF7297-65B9-4E0E-B085-B2A20B2B00F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1472551C-6B14-4B82-ACEC-E8A9D6391C3C}"/>
            </a:ext>
            <a:ext uri="{147F2762-F138-4A5C-976F-8EAC2B608ADB}">
              <a16:predDERef xmlns:a16="http://schemas.microsoft.com/office/drawing/2014/main" pred="{F68DA347-1866-45F8-9728-534981EC2AE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CA886E21-1DD2-4A7D-9879-E48E0A6B9C78}"/>
            </a:ext>
            <a:ext uri="{147F2762-F138-4A5C-976F-8EAC2B608ADB}">
              <a16:predDERef xmlns:a16="http://schemas.microsoft.com/office/drawing/2014/main" pred="{1472551C-6B14-4B82-ACEC-E8A9D6391C3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1A0BCE9A-0EB8-49BC-9EBD-9912347E416E}"/>
            </a:ext>
            <a:ext uri="{147F2762-F138-4A5C-976F-8EAC2B608ADB}">
              <a16:predDERef xmlns:a16="http://schemas.microsoft.com/office/drawing/2014/main" pred="{CA886E21-1DD2-4A7D-9879-E48E0A6B9C7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8" name="Picture 10" descr="VIAGS xanh">
          <a:hlinkClick xmlns:r="http://schemas.openxmlformats.org/officeDocument/2006/relationships" r:id="rId1"/>
          <a:extLst>
            <a:ext uri="{FF2B5EF4-FFF2-40B4-BE49-F238E27FC236}">
              <a16:creationId xmlns:a16="http://schemas.microsoft.com/office/drawing/2014/main" id="{EACB52E6-650D-4919-9C11-D48C75BCB57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9" name="Picture 4" descr="VIAGS xanh">
          <a:extLst>
            <a:ext uri="{FF2B5EF4-FFF2-40B4-BE49-F238E27FC236}">
              <a16:creationId xmlns:a16="http://schemas.microsoft.com/office/drawing/2014/main" id="{59C604A6-2AEE-4BC3-90A0-367A45D9AD5F}"/>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0" name="Picture 19" descr="VIAGS xanh">
          <a:extLst>
            <a:ext uri="{FF2B5EF4-FFF2-40B4-BE49-F238E27FC236}">
              <a16:creationId xmlns:a16="http://schemas.microsoft.com/office/drawing/2014/main" id="{A608D69E-0C0F-4DFE-862B-F54D74F9D32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5650924E-E51C-4D0B-8F2F-E9BE40D999B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A8062DCC-1438-4912-873F-05218BF1AAB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CF21337F-07BC-4755-8D72-C6135341FF9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036AA3DC-1C0A-4EAB-A956-29E63AEC619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A8614CD3-DF6F-46C6-83AE-C4E079C569A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1FA2CA24-E9E5-4604-88CA-E9B5DA1F29A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4">
          <a:extLst>
            <a:ext uri="{FF2B5EF4-FFF2-40B4-BE49-F238E27FC236}">
              <a16:creationId xmlns:a16="http://schemas.microsoft.com/office/drawing/2014/main" id="{15311707-71C3-4455-AFA8-87B2A35DF43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86D183B7-E005-42E0-B503-7F764DC6D49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127B4BD7-897B-4C5B-8A35-08D30229582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29">
          <a:extLst>
            <a:ext uri="{FF2B5EF4-FFF2-40B4-BE49-F238E27FC236}">
              <a16:creationId xmlns:a16="http://schemas.microsoft.com/office/drawing/2014/main" id="{76AFA8C1-47BB-45AF-93A1-DF8A008F853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F4CE0D30-3ACE-4DB3-97C9-262E2FDEF00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3EFE35FB-AFE4-46BA-A2F9-78C19927043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D24E1882-0D49-4E7A-84C7-31B7EF028E0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713BA892-92E0-45A4-9A9E-766D3B501B2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2D8B3CE1-DAC0-4B41-9720-9D40D63D939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77FE6ED1-A2AA-41AC-833B-95E5D27B8C2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831AEB7A-F4EC-4F3C-B13F-1A36FD846A5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BA8E93F0-31D5-41E5-A966-F826CA7FB3F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CD03EC28-1063-41C7-BD73-2E3761522D1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0605461D-AB4C-43BA-A265-B55A2DADF14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099EEF10-6726-4269-87A2-67822A6A52B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089E4D90-FBB9-4C23-8BA9-BB622110EB2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2">
          <a:extLst>
            <a:ext uri="{FF2B5EF4-FFF2-40B4-BE49-F238E27FC236}">
              <a16:creationId xmlns:a16="http://schemas.microsoft.com/office/drawing/2014/main" id="{F737AE03-41D0-42C6-B102-0DE468B1DD3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43">
          <a:extLst>
            <a:ext uri="{FF2B5EF4-FFF2-40B4-BE49-F238E27FC236}">
              <a16:creationId xmlns:a16="http://schemas.microsoft.com/office/drawing/2014/main" id="{14C01D17-BFE1-4288-8263-1A45952EDE9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9.xml><?xml version="1.0" encoding="utf-8"?>
<xdr:wsDr xmlns:xdr="http://schemas.openxmlformats.org/drawingml/2006/spreadsheetDrawing" xmlns:a="http://schemas.openxmlformats.org/drawingml/2006/main">
  <xdr:twoCellAnchor>
    <xdr:from>
      <xdr:col>1</xdr:col>
      <xdr:colOff>219075</xdr:colOff>
      <xdr:row>1</xdr:row>
      <xdr:rowOff>142876</xdr:rowOff>
    </xdr:from>
    <xdr:to>
      <xdr:col>2</xdr:col>
      <xdr:colOff>1607049</xdr:colOff>
      <xdr:row>3</xdr:row>
      <xdr:rowOff>163287</xdr:rowOff>
    </xdr:to>
    <xdr:pic>
      <xdr:nvPicPr>
        <xdr:cNvPr id="2" name="Picture 1" descr="VIAGS xanh">
          <a:hlinkClick xmlns:r="http://schemas.openxmlformats.org/officeDocument/2006/relationships" r:id="rId1"/>
          <a:extLst>
            <a:ext uri="{FF2B5EF4-FFF2-40B4-BE49-F238E27FC236}">
              <a16:creationId xmlns:a16="http://schemas.microsoft.com/office/drawing/2014/main" id="{00000000-0008-0000-27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3182" y="251733"/>
          <a:ext cx="1823403" cy="4830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 name="TextBox 4">
          <a:extLst>
            <a:ext uri="{FF2B5EF4-FFF2-40B4-BE49-F238E27FC236}">
              <a16:creationId xmlns:a16="http://schemas.microsoft.com/office/drawing/2014/main" id="{00000000-0008-0000-2700-00000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7">
          <a:extLst>
            <a:ext uri="{FF2B5EF4-FFF2-40B4-BE49-F238E27FC236}">
              <a16:creationId xmlns:a16="http://schemas.microsoft.com/office/drawing/2014/main" id="{00000000-0008-0000-2700-00000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8">
          <a:extLst>
            <a:ext uri="{FF2B5EF4-FFF2-40B4-BE49-F238E27FC236}">
              <a16:creationId xmlns:a16="http://schemas.microsoft.com/office/drawing/2014/main" id="{00000000-0008-0000-2700-00000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6</xdr:col>
      <xdr:colOff>190500</xdr:colOff>
      <xdr:row>1</xdr:row>
      <xdr:rowOff>114301</xdr:rowOff>
    </xdr:from>
    <xdr:to>
      <xdr:col>7</xdr:col>
      <xdr:colOff>1491031</xdr:colOff>
      <xdr:row>4</xdr:row>
      <xdr:rowOff>57151</xdr:rowOff>
    </xdr:to>
    <xdr:pic>
      <xdr:nvPicPr>
        <xdr:cNvPr id="7" name="Picture 4" descr="VIAGS xanh">
          <a:extLst>
            <a:ext uri="{FF2B5EF4-FFF2-40B4-BE49-F238E27FC236}">
              <a16:creationId xmlns:a16="http://schemas.microsoft.com/office/drawing/2014/main" id="{C0068DB7-2AE3-4E5C-AEDA-02B516FA9D2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43675" y="219076"/>
          <a:ext cx="1700581"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3" name="TextBox 2">
          <a:extLst>
            <a:ext uri="{FF2B5EF4-FFF2-40B4-BE49-F238E27FC236}">
              <a16:creationId xmlns:a16="http://schemas.microsoft.com/office/drawing/2014/main" id="{300FAC2C-2FD6-4420-A29F-705537E8C96C}"/>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8" name="TextBox 7">
          <a:extLst>
            <a:ext uri="{FF2B5EF4-FFF2-40B4-BE49-F238E27FC236}">
              <a16:creationId xmlns:a16="http://schemas.microsoft.com/office/drawing/2014/main" id="{36123C05-68D3-4E1A-BD1C-AD8CADDBFF61}"/>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9" name="TextBox 8">
          <a:extLst>
            <a:ext uri="{FF2B5EF4-FFF2-40B4-BE49-F238E27FC236}">
              <a16:creationId xmlns:a16="http://schemas.microsoft.com/office/drawing/2014/main" id="{ABBFBBB3-B1AF-40A9-8914-FD7570C9A9B6}"/>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 name="TextBox 9">
          <a:extLst>
            <a:ext uri="{FF2B5EF4-FFF2-40B4-BE49-F238E27FC236}">
              <a16:creationId xmlns:a16="http://schemas.microsoft.com/office/drawing/2014/main" id="{7A059C0A-A5CD-44C6-958B-54C268DA1A64}"/>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 name="TextBox 10">
          <a:extLst>
            <a:ext uri="{FF2B5EF4-FFF2-40B4-BE49-F238E27FC236}">
              <a16:creationId xmlns:a16="http://schemas.microsoft.com/office/drawing/2014/main" id="{325BE5DB-C9AB-4AA7-81D1-8EED0BC3D774}"/>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 name="TextBox 11">
          <a:extLst>
            <a:ext uri="{FF2B5EF4-FFF2-40B4-BE49-F238E27FC236}">
              <a16:creationId xmlns:a16="http://schemas.microsoft.com/office/drawing/2014/main" id="{BE81CB7E-06C5-4479-A59F-65ABFFD31BB9}"/>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3" name="TextBox 12">
          <a:extLst>
            <a:ext uri="{FF2B5EF4-FFF2-40B4-BE49-F238E27FC236}">
              <a16:creationId xmlns:a16="http://schemas.microsoft.com/office/drawing/2014/main" id="{31CCAD74-5FDD-4CB8-A8E0-E27DF463A6A9}"/>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4" name="TextBox 13">
          <a:extLst>
            <a:ext uri="{FF2B5EF4-FFF2-40B4-BE49-F238E27FC236}">
              <a16:creationId xmlns:a16="http://schemas.microsoft.com/office/drawing/2014/main" id="{247EA022-543D-445E-BB52-0F764A91EA8F}"/>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5" name="TextBox 14">
          <a:extLst>
            <a:ext uri="{FF2B5EF4-FFF2-40B4-BE49-F238E27FC236}">
              <a16:creationId xmlns:a16="http://schemas.microsoft.com/office/drawing/2014/main" id="{7E918A4C-6054-42C2-BF46-CE5EC51B8405}"/>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6" name="TextBox 15">
          <a:extLst>
            <a:ext uri="{FF2B5EF4-FFF2-40B4-BE49-F238E27FC236}">
              <a16:creationId xmlns:a16="http://schemas.microsoft.com/office/drawing/2014/main" id="{E164DD84-87DE-4EF6-8E56-6B3C1ABF28D0}"/>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7" name="TextBox 16">
          <a:extLst>
            <a:ext uri="{FF2B5EF4-FFF2-40B4-BE49-F238E27FC236}">
              <a16:creationId xmlns:a16="http://schemas.microsoft.com/office/drawing/2014/main" id="{2C88882D-D3D7-4ADF-B548-A3C69141ACA0}"/>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8" name="TextBox 17">
          <a:extLst>
            <a:ext uri="{FF2B5EF4-FFF2-40B4-BE49-F238E27FC236}">
              <a16:creationId xmlns:a16="http://schemas.microsoft.com/office/drawing/2014/main" id="{C61E607C-D7F5-480D-B4C7-623A3C9974C7}"/>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9" name="TextBox 18">
          <a:extLst>
            <a:ext uri="{FF2B5EF4-FFF2-40B4-BE49-F238E27FC236}">
              <a16:creationId xmlns:a16="http://schemas.microsoft.com/office/drawing/2014/main" id="{06937426-165D-4599-BF55-B379EA64EAA6}"/>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0" name="TextBox 19">
          <a:extLst>
            <a:ext uri="{FF2B5EF4-FFF2-40B4-BE49-F238E27FC236}">
              <a16:creationId xmlns:a16="http://schemas.microsoft.com/office/drawing/2014/main" id="{7192B146-B600-4D3C-8782-0731BD4286E8}"/>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00F4BC2A-0473-478C-8C6A-D7FD034C93A9}"/>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316CDFC5-1CE1-4879-AA16-3F68001B329A}"/>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2F9C9E30-E78E-4435-99D1-B910E9D061FC}"/>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3E925812-5DBA-4FE8-97D9-15AD7419E792}"/>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316E856A-7197-4035-95EE-3B352D7847CB}"/>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DA140A36-7CE9-45A0-8147-BFEC8E555545}"/>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B6B28D9F-0199-42A9-AF4F-B4AB39BCAD0C}"/>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09892941-2469-4E41-BAA3-6A8DBE79A5CE}"/>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9" name="TextBox 28">
          <a:extLst>
            <a:ext uri="{FF2B5EF4-FFF2-40B4-BE49-F238E27FC236}">
              <a16:creationId xmlns:a16="http://schemas.microsoft.com/office/drawing/2014/main" id="{9128D043-5CD2-45B1-AD61-3B38B64E60E7}"/>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0" name="TextBox 29">
          <a:extLst>
            <a:ext uri="{FF2B5EF4-FFF2-40B4-BE49-F238E27FC236}">
              <a16:creationId xmlns:a16="http://schemas.microsoft.com/office/drawing/2014/main" id="{01BC25AC-0A26-41FE-BA6D-53B2EB736408}"/>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1" name="TextBox 30">
          <a:extLst>
            <a:ext uri="{FF2B5EF4-FFF2-40B4-BE49-F238E27FC236}">
              <a16:creationId xmlns:a16="http://schemas.microsoft.com/office/drawing/2014/main" id="{1601F12A-17F8-4609-89E2-B2A8511EB250}"/>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2" name="TextBox 31">
          <a:extLst>
            <a:ext uri="{FF2B5EF4-FFF2-40B4-BE49-F238E27FC236}">
              <a16:creationId xmlns:a16="http://schemas.microsoft.com/office/drawing/2014/main" id="{0A2E606E-0EA1-4F74-AA50-6C45E4BC7CE8}"/>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3" name="TextBox 32">
          <a:extLst>
            <a:ext uri="{FF2B5EF4-FFF2-40B4-BE49-F238E27FC236}">
              <a16:creationId xmlns:a16="http://schemas.microsoft.com/office/drawing/2014/main" id="{F9F67368-54AD-4096-A2F2-E629CA8B8B5C}"/>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4" name="TextBox 33">
          <a:extLst>
            <a:ext uri="{FF2B5EF4-FFF2-40B4-BE49-F238E27FC236}">
              <a16:creationId xmlns:a16="http://schemas.microsoft.com/office/drawing/2014/main" id="{2521DFC8-0B6F-40A8-8944-EC58DA3B4B7F}"/>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5" name="TextBox 34">
          <a:extLst>
            <a:ext uri="{FF2B5EF4-FFF2-40B4-BE49-F238E27FC236}">
              <a16:creationId xmlns:a16="http://schemas.microsoft.com/office/drawing/2014/main" id="{F36996B1-4A5A-4147-B7FA-4F6011A3A295}"/>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6" name="TextBox 35">
          <a:extLst>
            <a:ext uri="{FF2B5EF4-FFF2-40B4-BE49-F238E27FC236}">
              <a16:creationId xmlns:a16="http://schemas.microsoft.com/office/drawing/2014/main" id="{022E9064-1F35-4E26-AB74-9D10BCD6BCD4}"/>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7" name="TextBox 36">
          <a:extLst>
            <a:ext uri="{FF2B5EF4-FFF2-40B4-BE49-F238E27FC236}">
              <a16:creationId xmlns:a16="http://schemas.microsoft.com/office/drawing/2014/main" id="{599D9B34-FB1E-4FFA-A67C-40EBCA71758F}"/>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8" name="TextBox 37">
          <a:extLst>
            <a:ext uri="{FF2B5EF4-FFF2-40B4-BE49-F238E27FC236}">
              <a16:creationId xmlns:a16="http://schemas.microsoft.com/office/drawing/2014/main" id="{25E20745-A7C5-480C-82EF-667211FF9E5A}"/>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9" name="TextBox 38">
          <a:extLst>
            <a:ext uri="{FF2B5EF4-FFF2-40B4-BE49-F238E27FC236}">
              <a16:creationId xmlns:a16="http://schemas.microsoft.com/office/drawing/2014/main" id="{5567AC7D-5CC6-4818-8372-8EEFF410C13D}"/>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0" name="TextBox 39">
          <a:extLst>
            <a:ext uri="{FF2B5EF4-FFF2-40B4-BE49-F238E27FC236}">
              <a16:creationId xmlns:a16="http://schemas.microsoft.com/office/drawing/2014/main" id="{59D3525A-0F1B-4003-A3E9-B63D46D261A5}"/>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1" name="TextBox 40">
          <a:extLst>
            <a:ext uri="{FF2B5EF4-FFF2-40B4-BE49-F238E27FC236}">
              <a16:creationId xmlns:a16="http://schemas.microsoft.com/office/drawing/2014/main" id="{A00366B5-B02A-4D62-BA17-B7C3BF71806C}"/>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2" name="TextBox 41">
          <a:extLst>
            <a:ext uri="{FF2B5EF4-FFF2-40B4-BE49-F238E27FC236}">
              <a16:creationId xmlns:a16="http://schemas.microsoft.com/office/drawing/2014/main" id="{8984E5E8-CA76-494D-8573-3242F80591F3}"/>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3" name="TextBox 42">
          <a:extLst>
            <a:ext uri="{FF2B5EF4-FFF2-40B4-BE49-F238E27FC236}">
              <a16:creationId xmlns:a16="http://schemas.microsoft.com/office/drawing/2014/main" id="{C322470C-0824-483F-A45E-855F8A42D775}"/>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4" name="TextBox 43">
          <a:extLst>
            <a:ext uri="{FF2B5EF4-FFF2-40B4-BE49-F238E27FC236}">
              <a16:creationId xmlns:a16="http://schemas.microsoft.com/office/drawing/2014/main" id="{2DE8305E-9D99-40B8-8979-CD60AC8E2AF5}"/>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5" name="TextBox 44">
          <a:extLst>
            <a:ext uri="{FF2B5EF4-FFF2-40B4-BE49-F238E27FC236}">
              <a16:creationId xmlns:a16="http://schemas.microsoft.com/office/drawing/2014/main" id="{C7EB17D8-A6A1-4C79-9B36-4E7F8369F87D}"/>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6" name="TextBox 45">
          <a:extLst>
            <a:ext uri="{FF2B5EF4-FFF2-40B4-BE49-F238E27FC236}">
              <a16:creationId xmlns:a16="http://schemas.microsoft.com/office/drawing/2014/main" id="{C7EBD9C6-E9EF-4F52-BA0D-5D0D1C4573EB}"/>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7" name="TextBox 46">
          <a:extLst>
            <a:ext uri="{FF2B5EF4-FFF2-40B4-BE49-F238E27FC236}">
              <a16:creationId xmlns:a16="http://schemas.microsoft.com/office/drawing/2014/main" id="{3E95EE0C-18E0-484E-A3CE-BFC6B24D350D}"/>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twoCellAnchor>
    <xdr:from>
      <xdr:col>14</xdr:col>
      <xdr:colOff>108042</xdr:colOff>
      <xdr:row>1</xdr:row>
      <xdr:rowOff>204106</xdr:rowOff>
    </xdr:from>
    <xdr:to>
      <xdr:col>15</xdr:col>
      <xdr:colOff>1324308</xdr:colOff>
      <xdr:row>3</xdr:row>
      <xdr:rowOff>223428</xdr:rowOff>
    </xdr:to>
    <xdr:pic>
      <xdr:nvPicPr>
        <xdr:cNvPr id="48" name="Picture 47" descr="VIAGS xanh">
          <a:extLst>
            <a:ext uri="{FF2B5EF4-FFF2-40B4-BE49-F238E27FC236}">
              <a16:creationId xmlns:a16="http://schemas.microsoft.com/office/drawing/2014/main" id="{702B6D5B-38CA-4CCB-AAA7-47874E9AF03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319092" y="308881"/>
          <a:ext cx="1540116" cy="4765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07822" cy="264560"/>
    <xdr:sp macro="" textlink="">
      <xdr:nvSpPr>
        <xdr:cNvPr id="49" name="TextBox 48">
          <a:extLst>
            <a:ext uri="{FF2B5EF4-FFF2-40B4-BE49-F238E27FC236}">
              <a16:creationId xmlns:a16="http://schemas.microsoft.com/office/drawing/2014/main" id="{FB8D32A2-7C43-4BEE-930C-33962C9E8DB5}"/>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52" name="Picture 27" descr="VIAGS xanh">
          <a:extLst>
            <a:ext uri="{FF2B5EF4-FFF2-40B4-BE49-F238E27FC236}">
              <a16:creationId xmlns:a16="http://schemas.microsoft.com/office/drawing/2014/main" id="{26D8A035-1F7F-46E3-AFE6-96813BB6DB66}"/>
            </a:ext>
            <a:ext uri="{147F2762-F138-4A5C-976F-8EAC2B608ADB}">
              <a16:predDERef xmlns:a16="http://schemas.microsoft.com/office/drawing/2014/main" pred="{584B5706-0D7C-44F2-8446-BB6302F760D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3" name="TextBox 4">
          <a:extLst>
            <a:ext uri="{FF2B5EF4-FFF2-40B4-BE49-F238E27FC236}">
              <a16:creationId xmlns:a16="http://schemas.microsoft.com/office/drawing/2014/main" id="{9D01B51E-E3EE-40CA-9DCF-19FCAE66761F}"/>
            </a:ext>
            <a:ext uri="{147F2762-F138-4A5C-976F-8EAC2B608ADB}">
              <a16:predDERef xmlns:a16="http://schemas.microsoft.com/office/drawing/2014/main" pred="{26D8A035-1F7F-46E3-AFE6-96813BB6DB6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7">
          <a:extLst>
            <a:ext uri="{FF2B5EF4-FFF2-40B4-BE49-F238E27FC236}">
              <a16:creationId xmlns:a16="http://schemas.microsoft.com/office/drawing/2014/main" id="{43DCE1B5-1635-4006-B473-CD4CA713535B}"/>
            </a:ext>
            <a:ext uri="{147F2762-F138-4A5C-976F-8EAC2B608ADB}">
              <a16:predDERef xmlns:a16="http://schemas.microsoft.com/office/drawing/2014/main" pred="{9D01B51E-E3EE-40CA-9DCF-19FCAE66761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8">
          <a:extLst>
            <a:ext uri="{FF2B5EF4-FFF2-40B4-BE49-F238E27FC236}">
              <a16:creationId xmlns:a16="http://schemas.microsoft.com/office/drawing/2014/main" id="{60EB5263-9008-44AF-8640-24B244340B87}"/>
            </a:ext>
            <a:ext uri="{147F2762-F138-4A5C-976F-8EAC2B608ADB}">
              <a16:predDERef xmlns:a16="http://schemas.microsoft.com/office/drawing/2014/main" pred="{43DCE1B5-1635-4006-B473-CD4CA713535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4">
          <a:extLst>
            <a:ext uri="{FF2B5EF4-FFF2-40B4-BE49-F238E27FC236}">
              <a16:creationId xmlns:a16="http://schemas.microsoft.com/office/drawing/2014/main" id="{86ADC7D7-D675-41A5-A18F-81E9DE643A5A}"/>
            </a:ext>
            <a:ext uri="{147F2762-F138-4A5C-976F-8EAC2B608ADB}">
              <a16:predDERef xmlns:a16="http://schemas.microsoft.com/office/drawing/2014/main" pred="{60EB5263-9008-44AF-8640-24B244340B8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7">
          <a:extLst>
            <a:ext uri="{FF2B5EF4-FFF2-40B4-BE49-F238E27FC236}">
              <a16:creationId xmlns:a16="http://schemas.microsoft.com/office/drawing/2014/main" id="{48AD7D56-62A3-41AA-B7B8-10361A18E659}"/>
            </a:ext>
            <a:ext uri="{147F2762-F138-4A5C-976F-8EAC2B608ADB}">
              <a16:predDERef xmlns:a16="http://schemas.microsoft.com/office/drawing/2014/main" pred="{86ADC7D7-D675-41A5-A18F-81E9DE643A5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8">
          <a:extLst>
            <a:ext uri="{FF2B5EF4-FFF2-40B4-BE49-F238E27FC236}">
              <a16:creationId xmlns:a16="http://schemas.microsoft.com/office/drawing/2014/main" id="{26C0AA56-FFB6-4D5B-B4B9-0D990EC781C1}"/>
            </a:ext>
            <a:ext uri="{147F2762-F138-4A5C-976F-8EAC2B608ADB}">
              <a16:predDERef xmlns:a16="http://schemas.microsoft.com/office/drawing/2014/main" pred="{48AD7D56-62A3-41AA-B7B8-10361A18E65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59" name="Picture 10" descr="VIAGS xanh">
          <a:hlinkClick xmlns:r="http://schemas.openxmlformats.org/officeDocument/2006/relationships" r:id="rId1"/>
          <a:extLst>
            <a:ext uri="{FF2B5EF4-FFF2-40B4-BE49-F238E27FC236}">
              <a16:creationId xmlns:a16="http://schemas.microsoft.com/office/drawing/2014/main" id="{F53C1C09-623A-43A3-9FD3-172848B4842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60" name="Picture 4" descr="VIAGS xanh">
          <a:extLst>
            <a:ext uri="{FF2B5EF4-FFF2-40B4-BE49-F238E27FC236}">
              <a16:creationId xmlns:a16="http://schemas.microsoft.com/office/drawing/2014/main" id="{BDB88481-1AFC-4CD7-922A-64F332103E13}"/>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61" name="Picture 60" descr="VIAGS xanh">
          <a:extLst>
            <a:ext uri="{FF2B5EF4-FFF2-40B4-BE49-F238E27FC236}">
              <a16:creationId xmlns:a16="http://schemas.microsoft.com/office/drawing/2014/main" id="{A54C2C94-4372-4580-9D01-5FFCF6B8F71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62" name="TextBox 4">
          <a:extLst>
            <a:ext uri="{FF2B5EF4-FFF2-40B4-BE49-F238E27FC236}">
              <a16:creationId xmlns:a16="http://schemas.microsoft.com/office/drawing/2014/main" id="{09C2AA9C-A2E3-4063-9C66-45FCC036DAE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7">
          <a:extLst>
            <a:ext uri="{FF2B5EF4-FFF2-40B4-BE49-F238E27FC236}">
              <a16:creationId xmlns:a16="http://schemas.microsoft.com/office/drawing/2014/main" id="{A49526AD-EAFA-4B61-9DA2-49BFD282306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8">
          <a:extLst>
            <a:ext uri="{FF2B5EF4-FFF2-40B4-BE49-F238E27FC236}">
              <a16:creationId xmlns:a16="http://schemas.microsoft.com/office/drawing/2014/main" id="{DBF34747-6D7E-4EE3-9325-0917D8F329E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4">
          <a:extLst>
            <a:ext uri="{FF2B5EF4-FFF2-40B4-BE49-F238E27FC236}">
              <a16:creationId xmlns:a16="http://schemas.microsoft.com/office/drawing/2014/main" id="{5828E1E5-8317-4B98-96A9-154B1706FCB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7">
          <a:extLst>
            <a:ext uri="{FF2B5EF4-FFF2-40B4-BE49-F238E27FC236}">
              <a16:creationId xmlns:a16="http://schemas.microsoft.com/office/drawing/2014/main" id="{170D4A9D-BCD1-4443-832C-E6A9D76B880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8">
          <a:extLst>
            <a:ext uri="{FF2B5EF4-FFF2-40B4-BE49-F238E27FC236}">
              <a16:creationId xmlns:a16="http://schemas.microsoft.com/office/drawing/2014/main" id="{CF1904E3-F248-4FF6-852B-BE7B325D78A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
          <a:extLst>
            <a:ext uri="{FF2B5EF4-FFF2-40B4-BE49-F238E27FC236}">
              <a16:creationId xmlns:a16="http://schemas.microsoft.com/office/drawing/2014/main" id="{7D26A3F9-785B-42BF-9924-74EC16903F1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7">
          <a:extLst>
            <a:ext uri="{FF2B5EF4-FFF2-40B4-BE49-F238E27FC236}">
              <a16:creationId xmlns:a16="http://schemas.microsoft.com/office/drawing/2014/main" id="{79705CD2-C8A1-45A5-8390-6CA786C54BA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8">
          <a:extLst>
            <a:ext uri="{FF2B5EF4-FFF2-40B4-BE49-F238E27FC236}">
              <a16:creationId xmlns:a16="http://schemas.microsoft.com/office/drawing/2014/main" id="{EED6AF56-37FE-41BD-9B76-3C2818A2AA2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68">
          <a:extLst>
            <a:ext uri="{FF2B5EF4-FFF2-40B4-BE49-F238E27FC236}">
              <a16:creationId xmlns:a16="http://schemas.microsoft.com/office/drawing/2014/main" id="{1717BEF7-2C23-4E84-923D-345A31467BC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7">
          <a:extLst>
            <a:ext uri="{FF2B5EF4-FFF2-40B4-BE49-F238E27FC236}">
              <a16:creationId xmlns:a16="http://schemas.microsoft.com/office/drawing/2014/main" id="{F90FC1C9-6FE1-42C2-8EBF-88DA65125B5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8">
          <a:extLst>
            <a:ext uri="{FF2B5EF4-FFF2-40B4-BE49-F238E27FC236}">
              <a16:creationId xmlns:a16="http://schemas.microsoft.com/office/drawing/2014/main" id="{E484D6A3-8B16-4357-86D4-D61F1EB6350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2" name="TextBox 4">
          <a:extLst>
            <a:ext uri="{FF2B5EF4-FFF2-40B4-BE49-F238E27FC236}">
              <a16:creationId xmlns:a16="http://schemas.microsoft.com/office/drawing/2014/main" id="{4FF5643D-F30A-4DFE-890E-2C53B63F0CC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3" name="TextBox 7">
          <a:extLst>
            <a:ext uri="{FF2B5EF4-FFF2-40B4-BE49-F238E27FC236}">
              <a16:creationId xmlns:a16="http://schemas.microsoft.com/office/drawing/2014/main" id="{080CF2C9-5515-431A-8A15-B27AFF4C5A9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4" name="TextBox 8">
          <a:extLst>
            <a:ext uri="{FF2B5EF4-FFF2-40B4-BE49-F238E27FC236}">
              <a16:creationId xmlns:a16="http://schemas.microsoft.com/office/drawing/2014/main" id="{1C2426AA-073A-4A86-B714-8615CF407F2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5" name="TextBox 4">
          <a:extLst>
            <a:ext uri="{FF2B5EF4-FFF2-40B4-BE49-F238E27FC236}">
              <a16:creationId xmlns:a16="http://schemas.microsoft.com/office/drawing/2014/main" id="{9ACB7F41-CD26-4E15-8F2B-958A8D83A84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6" name="TextBox 7">
          <a:extLst>
            <a:ext uri="{FF2B5EF4-FFF2-40B4-BE49-F238E27FC236}">
              <a16:creationId xmlns:a16="http://schemas.microsoft.com/office/drawing/2014/main" id="{0934B6AC-1519-4E69-9298-A656D32C4DE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8">
          <a:extLst>
            <a:ext uri="{FF2B5EF4-FFF2-40B4-BE49-F238E27FC236}">
              <a16:creationId xmlns:a16="http://schemas.microsoft.com/office/drawing/2014/main" id="{308589FA-A584-4D87-A97A-BA460F920D7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4">
          <a:extLst>
            <a:ext uri="{FF2B5EF4-FFF2-40B4-BE49-F238E27FC236}">
              <a16:creationId xmlns:a16="http://schemas.microsoft.com/office/drawing/2014/main" id="{C4B43F3F-C01A-4E8E-B8F6-F6FF3E2D600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9" name="TextBox 7">
          <a:extLst>
            <a:ext uri="{FF2B5EF4-FFF2-40B4-BE49-F238E27FC236}">
              <a16:creationId xmlns:a16="http://schemas.microsoft.com/office/drawing/2014/main" id="{C909E683-CD99-484F-9F38-7A792CE6A1E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0" name="TextBox 8">
          <a:extLst>
            <a:ext uri="{FF2B5EF4-FFF2-40B4-BE49-F238E27FC236}">
              <a16:creationId xmlns:a16="http://schemas.microsoft.com/office/drawing/2014/main" id="{7DE0F6C1-CEF5-45EC-BF42-C79BFC96092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1" name="TextBox 80">
          <a:extLst>
            <a:ext uri="{FF2B5EF4-FFF2-40B4-BE49-F238E27FC236}">
              <a16:creationId xmlns:a16="http://schemas.microsoft.com/office/drawing/2014/main" id="{9342EA7D-5B88-4583-89E0-DB289EE514E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2" name="TextBox 81">
          <a:extLst>
            <a:ext uri="{FF2B5EF4-FFF2-40B4-BE49-F238E27FC236}">
              <a16:creationId xmlns:a16="http://schemas.microsoft.com/office/drawing/2014/main" id="{C894FFFF-B1A3-4213-8177-8E147916A96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3" name="TextBox 82">
          <a:extLst>
            <a:ext uri="{FF2B5EF4-FFF2-40B4-BE49-F238E27FC236}">
              <a16:creationId xmlns:a16="http://schemas.microsoft.com/office/drawing/2014/main" id="{6424513A-79EA-4D86-9D2E-FE447050411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0.xml><?xml version="1.0" encoding="utf-8"?>
<xdr:wsDr xmlns:xdr="http://schemas.openxmlformats.org/drawingml/2006/spreadsheetDrawing" xmlns:a="http://schemas.openxmlformats.org/drawingml/2006/main">
  <xdr:twoCellAnchor>
    <xdr:from>
      <xdr:col>1</xdr:col>
      <xdr:colOff>38100</xdr:colOff>
      <xdr:row>1</xdr:row>
      <xdr:rowOff>85725</xdr:rowOff>
    </xdr:from>
    <xdr:to>
      <xdr:col>3</xdr:col>
      <xdr:colOff>504825</xdr:colOff>
      <xdr:row>3</xdr:row>
      <xdr:rowOff>142875</xdr:rowOff>
    </xdr:to>
    <xdr:pic>
      <xdr:nvPicPr>
        <xdr:cNvPr id="24" name="Picture 1" descr="VIAGS xanh">
          <a:hlinkClick xmlns:r="http://schemas.openxmlformats.org/officeDocument/2006/relationships" r:id="rId1"/>
          <a:extLst>
            <a:ext uri="{FF2B5EF4-FFF2-40B4-BE49-F238E27FC236}">
              <a16:creationId xmlns:a16="http://schemas.microsoft.com/office/drawing/2014/main" id="{00000000-0008-0000-28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7650" y="190500"/>
          <a:ext cx="26384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7</xdr:col>
      <xdr:colOff>1491031</xdr:colOff>
      <xdr:row>4</xdr:row>
      <xdr:rowOff>57151</xdr:rowOff>
    </xdr:to>
    <xdr:pic>
      <xdr:nvPicPr>
        <xdr:cNvPr id="3" name="Picture 4" descr="VIAGS xanh">
          <a:extLst>
            <a:ext uri="{FF2B5EF4-FFF2-40B4-BE49-F238E27FC236}">
              <a16:creationId xmlns:a16="http://schemas.microsoft.com/office/drawing/2014/main" id="{00000000-0008-0000-2800-000003000000}"/>
            </a:ext>
            <a:ext uri="{147F2762-F138-4A5C-976F-8EAC2B608ADB}">
              <a16:predDERef xmlns:a16="http://schemas.microsoft.com/office/drawing/2014/main" pred="{B9249974-80A5-478F-9656-4CD3078F1D7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43675" y="219076"/>
          <a:ext cx="1700581"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2800-000004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 name="TextBox 5">
          <a:extLst>
            <a:ext uri="{FF2B5EF4-FFF2-40B4-BE49-F238E27FC236}">
              <a16:creationId xmlns:a16="http://schemas.microsoft.com/office/drawing/2014/main" id="{00000000-0008-0000-2800-000006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 name="TextBox 6">
          <a:extLst>
            <a:ext uri="{FF2B5EF4-FFF2-40B4-BE49-F238E27FC236}">
              <a16:creationId xmlns:a16="http://schemas.microsoft.com/office/drawing/2014/main" id="{00000000-0008-0000-2800-000007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8" name="TextBox 7">
          <a:extLst>
            <a:ext uri="{FF2B5EF4-FFF2-40B4-BE49-F238E27FC236}">
              <a16:creationId xmlns:a16="http://schemas.microsoft.com/office/drawing/2014/main" id="{00000000-0008-0000-2800-000008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9" name="TextBox 8">
          <a:extLst>
            <a:ext uri="{FF2B5EF4-FFF2-40B4-BE49-F238E27FC236}">
              <a16:creationId xmlns:a16="http://schemas.microsoft.com/office/drawing/2014/main" id="{00000000-0008-0000-2800-000009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 name="TextBox 9">
          <a:extLst>
            <a:ext uri="{FF2B5EF4-FFF2-40B4-BE49-F238E27FC236}">
              <a16:creationId xmlns:a16="http://schemas.microsoft.com/office/drawing/2014/main" id="{00000000-0008-0000-2800-00000A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 name="TextBox 10">
          <a:extLst>
            <a:ext uri="{FF2B5EF4-FFF2-40B4-BE49-F238E27FC236}">
              <a16:creationId xmlns:a16="http://schemas.microsoft.com/office/drawing/2014/main" id="{00000000-0008-0000-2800-00000B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 name="TextBox 11">
          <a:extLst>
            <a:ext uri="{FF2B5EF4-FFF2-40B4-BE49-F238E27FC236}">
              <a16:creationId xmlns:a16="http://schemas.microsoft.com/office/drawing/2014/main" id="{00000000-0008-0000-2800-00000C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00000000-0008-0000-2800-00000D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00000000-0008-0000-2800-00000E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00000000-0008-0000-2800-00000F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17" name="Picture 27" descr="VIAGS xanh">
          <a:extLst>
            <a:ext uri="{FF2B5EF4-FFF2-40B4-BE49-F238E27FC236}">
              <a16:creationId xmlns:a16="http://schemas.microsoft.com/office/drawing/2014/main" id="{B8A3880D-5BC8-4EEF-9EFB-0C6838120D28}"/>
            </a:ext>
            <a:ext uri="{147F2762-F138-4A5C-976F-8EAC2B608ADB}">
              <a16:predDERef xmlns:a16="http://schemas.microsoft.com/office/drawing/2014/main" pred="{CA95C8E9-6A67-4A71-ACFB-A3EC3D48C91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17285612-0D98-4389-92E6-9D68B13325CF}"/>
            </a:ext>
            <a:ext uri="{147F2762-F138-4A5C-976F-8EAC2B608ADB}">
              <a16:predDERef xmlns:a16="http://schemas.microsoft.com/office/drawing/2014/main" pred="{B8A3880D-5BC8-4EEF-9EFB-0C6838120D2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99A87C9D-D133-41BA-97C9-7C491C88E29B}"/>
            </a:ext>
            <a:ext uri="{147F2762-F138-4A5C-976F-8EAC2B608ADB}">
              <a16:predDERef xmlns:a16="http://schemas.microsoft.com/office/drawing/2014/main" pred="{17285612-0D98-4389-92E6-9D68B13325C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B6DF5992-D63F-4052-A6BD-8FD27E98654C}"/>
            </a:ext>
            <a:ext uri="{147F2762-F138-4A5C-976F-8EAC2B608ADB}">
              <a16:predDERef xmlns:a16="http://schemas.microsoft.com/office/drawing/2014/main" pred="{99A87C9D-D133-41BA-97C9-7C491C88E29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5E79FBD3-C415-4D0E-A6AF-5E1B157F6C69}"/>
            </a:ext>
            <a:ext uri="{147F2762-F138-4A5C-976F-8EAC2B608ADB}">
              <a16:predDERef xmlns:a16="http://schemas.microsoft.com/office/drawing/2014/main" pred="{B6DF5992-D63F-4052-A6BD-8FD27E98654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8C368587-1122-4F17-B56A-8914260491FC}"/>
            </a:ext>
            <a:ext uri="{147F2762-F138-4A5C-976F-8EAC2B608ADB}">
              <a16:predDERef xmlns:a16="http://schemas.microsoft.com/office/drawing/2014/main" pred="{5E79FBD3-C415-4D0E-A6AF-5E1B157F6C6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84CF5584-C71F-4424-8AA2-62BBA31E828B}"/>
            </a:ext>
            <a:ext uri="{147F2762-F138-4A5C-976F-8EAC2B608ADB}">
              <a16:predDERef xmlns:a16="http://schemas.microsoft.com/office/drawing/2014/main" pred="{8C368587-1122-4F17-B56A-8914260491F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5" name="Picture 10" descr="VIAGS xanh">
          <a:hlinkClick xmlns:r="http://schemas.openxmlformats.org/officeDocument/2006/relationships" r:id="rId1"/>
          <a:extLst>
            <a:ext uri="{FF2B5EF4-FFF2-40B4-BE49-F238E27FC236}">
              <a16:creationId xmlns:a16="http://schemas.microsoft.com/office/drawing/2014/main" id="{3606F759-95D2-4C3A-836F-AEE2D25349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26" name="Picture 4" descr="VIAGS xanh">
          <a:extLst>
            <a:ext uri="{FF2B5EF4-FFF2-40B4-BE49-F238E27FC236}">
              <a16:creationId xmlns:a16="http://schemas.microsoft.com/office/drawing/2014/main" id="{22B1DD29-528C-44D1-8262-051D425A7D55}"/>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7" name="Picture 26" descr="VIAGS xanh">
          <a:extLst>
            <a:ext uri="{FF2B5EF4-FFF2-40B4-BE49-F238E27FC236}">
              <a16:creationId xmlns:a16="http://schemas.microsoft.com/office/drawing/2014/main" id="{ED7A1762-8BB2-4CE4-99E8-B9B2A9006E1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8" name="TextBox 4">
          <a:extLst>
            <a:ext uri="{FF2B5EF4-FFF2-40B4-BE49-F238E27FC236}">
              <a16:creationId xmlns:a16="http://schemas.microsoft.com/office/drawing/2014/main" id="{3C497C72-DC01-4B96-92CC-77E8B4F2C5B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C60D5143-3834-45B2-8FF6-7E3CB20FC64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780BAADA-77F0-45A8-A386-4D9F1C7D403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81611B46-3F26-4434-84EA-A751385CE95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0A0014FE-9DA8-4474-83D0-01854AD8370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963C3BB0-EA07-456C-B1BE-A67B5286E2A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303F5A8E-C537-4446-AB1E-13647CFC46A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7">
          <a:extLst>
            <a:ext uri="{FF2B5EF4-FFF2-40B4-BE49-F238E27FC236}">
              <a16:creationId xmlns:a16="http://schemas.microsoft.com/office/drawing/2014/main" id="{608FFFFB-5B26-4A42-B547-FD6B6EFEC65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8">
          <a:extLst>
            <a:ext uri="{FF2B5EF4-FFF2-40B4-BE49-F238E27FC236}">
              <a16:creationId xmlns:a16="http://schemas.microsoft.com/office/drawing/2014/main" id="{3A51523E-C89F-4042-8069-96F60F4DBF7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33">
          <a:extLst>
            <a:ext uri="{FF2B5EF4-FFF2-40B4-BE49-F238E27FC236}">
              <a16:creationId xmlns:a16="http://schemas.microsoft.com/office/drawing/2014/main" id="{E88C7C77-D09A-447B-85F6-E6AE48132C0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939364BA-1CEE-4EAB-AE42-9E11709D88A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A60C8FE8-06C6-4000-81EC-AD7F5A8E7F5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BF33C457-7211-4E3D-B987-34AF7116CB4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B258012D-7BCE-4D73-85B9-3CC0C9A92EF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6A49D7C8-3875-4A4B-A722-B18E5EA1493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56752EE7-ADEE-43FD-9684-778899E9FE0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C31C9A9E-19CD-4B8E-9928-B20124550EF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C5966C00-D60A-443A-84AD-E1244D1B057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62271526-6B80-4E58-BDA8-7001F3EE32F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2E7AE312-7574-46BF-BC58-DAF09A758EF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85DC424B-642C-4C20-A71D-2DA0FCF666B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5">
          <a:extLst>
            <a:ext uri="{FF2B5EF4-FFF2-40B4-BE49-F238E27FC236}">
              <a16:creationId xmlns:a16="http://schemas.microsoft.com/office/drawing/2014/main" id="{E85F1A98-E35B-4197-8834-466F951325C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46">
          <a:extLst>
            <a:ext uri="{FF2B5EF4-FFF2-40B4-BE49-F238E27FC236}">
              <a16:creationId xmlns:a16="http://schemas.microsoft.com/office/drawing/2014/main" id="{EF375AD3-1391-4C0A-BED7-D8D964B6C7E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7">
          <a:extLst>
            <a:ext uri="{FF2B5EF4-FFF2-40B4-BE49-F238E27FC236}">
              <a16:creationId xmlns:a16="http://schemas.microsoft.com/office/drawing/2014/main" id="{FF825C90-A601-493D-B841-222123146FC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1.xml><?xml version="1.0" encoding="utf-8"?>
<xdr:wsDr xmlns:xdr="http://schemas.openxmlformats.org/drawingml/2006/spreadsheetDrawing" xmlns:a="http://schemas.openxmlformats.org/drawingml/2006/main">
  <xdr:twoCellAnchor>
    <xdr:from>
      <xdr:col>1</xdr:col>
      <xdr:colOff>219075</xdr:colOff>
      <xdr:row>1</xdr:row>
      <xdr:rowOff>152400</xdr:rowOff>
    </xdr:from>
    <xdr:to>
      <xdr:col>3</xdr:col>
      <xdr:colOff>514350</xdr:colOff>
      <xdr:row>3</xdr:row>
      <xdr:rowOff>180975</xdr:rowOff>
    </xdr:to>
    <xdr:pic>
      <xdr:nvPicPr>
        <xdr:cNvPr id="24" name="Picture 1" descr="VIAGS xanh">
          <a:hlinkClick xmlns:r="http://schemas.openxmlformats.org/officeDocument/2006/relationships" r:id="rId1"/>
          <a:extLst>
            <a:ext uri="{FF2B5EF4-FFF2-40B4-BE49-F238E27FC236}">
              <a16:creationId xmlns:a16="http://schemas.microsoft.com/office/drawing/2014/main" id="{00000000-0008-0000-29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8625" y="257175"/>
          <a:ext cx="24669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7</xdr:col>
      <xdr:colOff>1491031</xdr:colOff>
      <xdr:row>4</xdr:row>
      <xdr:rowOff>57151</xdr:rowOff>
    </xdr:to>
    <xdr:pic>
      <xdr:nvPicPr>
        <xdr:cNvPr id="3" name="Picture 4" descr="VIAGS xanh">
          <a:extLst>
            <a:ext uri="{FF2B5EF4-FFF2-40B4-BE49-F238E27FC236}">
              <a16:creationId xmlns:a16="http://schemas.microsoft.com/office/drawing/2014/main" id="{00000000-0008-0000-2900-000003000000}"/>
            </a:ext>
            <a:ext uri="{147F2762-F138-4A5C-976F-8EAC2B608ADB}">
              <a16:predDERef xmlns:a16="http://schemas.microsoft.com/office/drawing/2014/main" pred="{7763C982-BFB4-49F3-A402-330ACDBE076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43675" y="219076"/>
          <a:ext cx="1700581"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29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2900-00000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2900-00000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29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29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29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29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29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00000000-0008-0000-2900-00000C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00000000-0008-0000-2900-00000D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00000000-0008-0000-2900-00000E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17" name="Picture 27" descr="VIAGS xanh">
          <a:extLst>
            <a:ext uri="{FF2B5EF4-FFF2-40B4-BE49-F238E27FC236}">
              <a16:creationId xmlns:a16="http://schemas.microsoft.com/office/drawing/2014/main" id="{A852D57F-4849-463E-B328-8EB8FB8F3DC9}"/>
            </a:ext>
            <a:ext uri="{147F2762-F138-4A5C-976F-8EAC2B608ADB}">
              <a16:predDERef xmlns:a16="http://schemas.microsoft.com/office/drawing/2014/main" pred="{B451AB5F-DF96-48D9-8DAD-33B304CA57C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4AFB51E7-94B0-4ED5-8992-ADF909101899}"/>
            </a:ext>
            <a:ext uri="{147F2762-F138-4A5C-976F-8EAC2B608ADB}">
              <a16:predDERef xmlns:a16="http://schemas.microsoft.com/office/drawing/2014/main" pred="{A852D57F-4849-463E-B328-8EB8FB8F3DC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90CFED20-0863-4D99-9D40-CFAE8E9D1336}"/>
            </a:ext>
            <a:ext uri="{147F2762-F138-4A5C-976F-8EAC2B608ADB}">
              <a16:predDERef xmlns:a16="http://schemas.microsoft.com/office/drawing/2014/main" pred="{4AFB51E7-94B0-4ED5-8992-ADF90910189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B584139A-2B88-49D7-8814-E153EFA90A8E}"/>
            </a:ext>
            <a:ext uri="{147F2762-F138-4A5C-976F-8EAC2B608ADB}">
              <a16:predDERef xmlns:a16="http://schemas.microsoft.com/office/drawing/2014/main" pred="{90CFED20-0863-4D99-9D40-CFAE8E9D133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CA315F30-6113-485F-B762-9AAA86D675C1}"/>
            </a:ext>
            <a:ext uri="{147F2762-F138-4A5C-976F-8EAC2B608ADB}">
              <a16:predDERef xmlns:a16="http://schemas.microsoft.com/office/drawing/2014/main" pred="{B584139A-2B88-49D7-8814-E153EFA90A8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21A690C8-6392-44B2-9FF0-69B9DEE822C7}"/>
            </a:ext>
            <a:ext uri="{147F2762-F138-4A5C-976F-8EAC2B608ADB}">
              <a16:predDERef xmlns:a16="http://schemas.microsoft.com/office/drawing/2014/main" pred="{CA315F30-6113-485F-B762-9AAA86D675C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CE45CB08-7A3B-4591-8393-100B056BAA8F}"/>
            </a:ext>
            <a:ext uri="{147F2762-F138-4A5C-976F-8EAC2B608ADB}">
              <a16:predDERef xmlns:a16="http://schemas.microsoft.com/office/drawing/2014/main" pred="{21A690C8-6392-44B2-9FF0-69B9DEE822C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5" name="Picture 10" descr="VIAGS xanh">
          <a:hlinkClick xmlns:r="http://schemas.openxmlformats.org/officeDocument/2006/relationships" r:id="rId1"/>
          <a:extLst>
            <a:ext uri="{FF2B5EF4-FFF2-40B4-BE49-F238E27FC236}">
              <a16:creationId xmlns:a16="http://schemas.microsoft.com/office/drawing/2014/main" id="{C094F503-C39D-44EB-9DF2-B24977107E2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26" name="Picture 4" descr="VIAGS xanh">
          <a:extLst>
            <a:ext uri="{FF2B5EF4-FFF2-40B4-BE49-F238E27FC236}">
              <a16:creationId xmlns:a16="http://schemas.microsoft.com/office/drawing/2014/main" id="{295703FA-709E-4FCA-9499-D465C242DD53}"/>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7" name="Picture 26" descr="VIAGS xanh">
          <a:extLst>
            <a:ext uri="{FF2B5EF4-FFF2-40B4-BE49-F238E27FC236}">
              <a16:creationId xmlns:a16="http://schemas.microsoft.com/office/drawing/2014/main" id="{30C79D1D-2884-4F2C-A5A1-3C9FDF7CB11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8" name="TextBox 4">
          <a:extLst>
            <a:ext uri="{FF2B5EF4-FFF2-40B4-BE49-F238E27FC236}">
              <a16:creationId xmlns:a16="http://schemas.microsoft.com/office/drawing/2014/main" id="{C74DA818-CB78-48E8-872B-CA930AC3C5C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6EC5FFAA-321E-4248-93C3-B795C73EF92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A07402C4-31BB-4F1D-8C5D-286EE12B1DD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001EB83F-EE77-41B9-9EFB-FC7A1A54391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33F3E42D-A44F-40B2-8C4A-1281214D2B7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F32552F9-4CE9-4D2B-80B3-5748B096D4D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6B9195FF-3F5F-4BD5-B943-2014F3DCFF3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7">
          <a:extLst>
            <a:ext uri="{FF2B5EF4-FFF2-40B4-BE49-F238E27FC236}">
              <a16:creationId xmlns:a16="http://schemas.microsoft.com/office/drawing/2014/main" id="{3F1DF51D-87DD-421D-8744-00B6EBEBCE2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8">
          <a:extLst>
            <a:ext uri="{FF2B5EF4-FFF2-40B4-BE49-F238E27FC236}">
              <a16:creationId xmlns:a16="http://schemas.microsoft.com/office/drawing/2014/main" id="{1CFD7505-4B37-42F9-9830-69E71F407CE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33">
          <a:extLst>
            <a:ext uri="{FF2B5EF4-FFF2-40B4-BE49-F238E27FC236}">
              <a16:creationId xmlns:a16="http://schemas.microsoft.com/office/drawing/2014/main" id="{23C36544-14A8-4647-9795-31A674E7319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0840B699-4663-403C-B47E-B36C37F6D4B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0B953B23-1292-48D3-995B-38A2C66999D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774082CA-7C34-4F59-A29F-51D0B1846F3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4E078197-9692-4049-ADB3-89BC913F9AA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58EAD4C3-4CE9-41F1-A1F2-C93ED989691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D1E35F7D-D0EF-4DFF-BB4E-4424B584DE0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ABB77ED1-795A-4B99-B397-58E51CE96A5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FF52C125-D832-47B8-AF01-12E15EBFF98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35F1DFF6-10BD-4876-B71A-E0BEF5E0202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02E5CE02-A57A-4EC1-9267-E74864EAB34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BF79616C-51A2-446A-957D-FD93ECD63E0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5">
          <a:extLst>
            <a:ext uri="{FF2B5EF4-FFF2-40B4-BE49-F238E27FC236}">
              <a16:creationId xmlns:a16="http://schemas.microsoft.com/office/drawing/2014/main" id="{87E6355B-8437-45AF-B4A3-750AA7C4F20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46">
          <a:extLst>
            <a:ext uri="{FF2B5EF4-FFF2-40B4-BE49-F238E27FC236}">
              <a16:creationId xmlns:a16="http://schemas.microsoft.com/office/drawing/2014/main" id="{045FB706-EAE6-43D9-B508-6D72B32BAEA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7">
          <a:extLst>
            <a:ext uri="{FF2B5EF4-FFF2-40B4-BE49-F238E27FC236}">
              <a16:creationId xmlns:a16="http://schemas.microsoft.com/office/drawing/2014/main" id="{54421FFE-4912-4031-B44A-0CCCDF0C66C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2.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3</xdr:col>
      <xdr:colOff>514350</xdr:colOff>
      <xdr:row>3</xdr:row>
      <xdr:rowOff>161925</xdr:rowOff>
    </xdr:to>
    <xdr:pic>
      <xdr:nvPicPr>
        <xdr:cNvPr id="24" name="Picture 1" descr="VIAGS xanh">
          <a:hlinkClick xmlns:r="http://schemas.openxmlformats.org/officeDocument/2006/relationships" r:id="rId1"/>
          <a:extLst>
            <a:ext uri="{FF2B5EF4-FFF2-40B4-BE49-F238E27FC236}">
              <a16:creationId xmlns:a16="http://schemas.microsoft.com/office/drawing/2014/main" id="{00000000-0008-0000-2A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219075"/>
          <a:ext cx="25908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114300</xdr:rowOff>
    </xdr:from>
    <xdr:to>
      <xdr:col>8</xdr:col>
      <xdr:colOff>466725</xdr:colOff>
      <xdr:row>4</xdr:row>
      <xdr:rowOff>57150</xdr:rowOff>
    </xdr:to>
    <xdr:pic>
      <xdr:nvPicPr>
        <xdr:cNvPr id="25" name="Picture 4" descr="VIAGS xanh">
          <a:extLst>
            <a:ext uri="{FF2B5EF4-FFF2-40B4-BE49-F238E27FC236}">
              <a16:creationId xmlns:a16="http://schemas.microsoft.com/office/drawing/2014/main" id="{00000000-0008-0000-2A00-000003000000}"/>
            </a:ext>
            <a:ext uri="{147F2762-F138-4A5C-976F-8EAC2B608ADB}">
              <a16:predDERef xmlns:a16="http://schemas.microsoft.com/office/drawing/2014/main" pred="{00000000-0008-0000-2A00-000002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43675" y="219075"/>
          <a:ext cx="2352675"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2A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2A00-00000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2A00-00000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2A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2A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2A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2A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2A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00000000-0008-0000-2A00-00000C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00000000-0008-0000-2A00-00000D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00000000-0008-0000-2A00-00000E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17" name="Picture 27" descr="VIAGS xanh">
          <a:extLst>
            <a:ext uri="{FF2B5EF4-FFF2-40B4-BE49-F238E27FC236}">
              <a16:creationId xmlns:a16="http://schemas.microsoft.com/office/drawing/2014/main" id="{4334BFCA-CB12-48DA-8E2A-FD22A82567F5}"/>
            </a:ext>
            <a:ext uri="{147F2762-F138-4A5C-976F-8EAC2B608ADB}">
              <a16:predDERef xmlns:a16="http://schemas.microsoft.com/office/drawing/2014/main" pred="{0163DE4E-C21E-42FC-9D15-2E61C255A90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395A4EF6-0825-4E96-BB01-8169083AD90C}"/>
            </a:ext>
            <a:ext uri="{147F2762-F138-4A5C-976F-8EAC2B608ADB}">
              <a16:predDERef xmlns:a16="http://schemas.microsoft.com/office/drawing/2014/main" pred="{4334BFCA-CB12-48DA-8E2A-FD22A82567F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FE862702-B850-4EAC-904A-2EDEEBF56165}"/>
            </a:ext>
            <a:ext uri="{147F2762-F138-4A5C-976F-8EAC2B608ADB}">
              <a16:predDERef xmlns:a16="http://schemas.microsoft.com/office/drawing/2014/main" pred="{395A4EF6-0825-4E96-BB01-8169083AD90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0CD3100D-7587-42FE-BF92-3E421A0716F5}"/>
            </a:ext>
            <a:ext uri="{147F2762-F138-4A5C-976F-8EAC2B608ADB}">
              <a16:predDERef xmlns:a16="http://schemas.microsoft.com/office/drawing/2014/main" pred="{FE862702-B850-4EAC-904A-2EDEEBF5616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368A06AD-7AAC-49C2-BE44-54CD4B122827}"/>
            </a:ext>
            <a:ext uri="{147F2762-F138-4A5C-976F-8EAC2B608ADB}">
              <a16:predDERef xmlns:a16="http://schemas.microsoft.com/office/drawing/2014/main" pred="{0CD3100D-7587-42FE-BF92-3E421A0716F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73889B8D-323F-4DE1-A8A8-70694F9D6A6A}"/>
            </a:ext>
            <a:ext uri="{147F2762-F138-4A5C-976F-8EAC2B608ADB}">
              <a16:predDERef xmlns:a16="http://schemas.microsoft.com/office/drawing/2014/main" pred="{368A06AD-7AAC-49C2-BE44-54CD4B12282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0BDC145F-E853-42A7-9D88-C22110DA4654}"/>
            </a:ext>
            <a:ext uri="{147F2762-F138-4A5C-976F-8EAC2B608ADB}">
              <a16:predDERef xmlns:a16="http://schemas.microsoft.com/office/drawing/2014/main" pred="{73889B8D-323F-4DE1-A8A8-70694F9D6A6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6" name="Picture 10" descr="VIAGS xanh">
          <a:hlinkClick xmlns:r="http://schemas.openxmlformats.org/officeDocument/2006/relationships" r:id="rId1"/>
          <a:extLst>
            <a:ext uri="{FF2B5EF4-FFF2-40B4-BE49-F238E27FC236}">
              <a16:creationId xmlns:a16="http://schemas.microsoft.com/office/drawing/2014/main" id="{24A9CEE8-140E-4A75-9654-EA23B04F06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27" name="Picture 4" descr="VIAGS xanh">
          <a:extLst>
            <a:ext uri="{FF2B5EF4-FFF2-40B4-BE49-F238E27FC236}">
              <a16:creationId xmlns:a16="http://schemas.microsoft.com/office/drawing/2014/main" id="{5EBC7310-8315-439E-AB0C-ECF24ABE2434}"/>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8" name="Picture 27" descr="VIAGS xanh">
          <a:extLst>
            <a:ext uri="{FF2B5EF4-FFF2-40B4-BE49-F238E27FC236}">
              <a16:creationId xmlns:a16="http://schemas.microsoft.com/office/drawing/2014/main" id="{D24737D4-A678-4F55-BB7A-3A06AF187B1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E858C8E5-DB94-40E5-8BF0-D3F4797CECF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43AC1A13-C6ED-4789-B092-1F2946AC124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2349979F-E199-4950-BEFA-2B05877875A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4">
          <a:extLst>
            <a:ext uri="{FF2B5EF4-FFF2-40B4-BE49-F238E27FC236}">
              <a16:creationId xmlns:a16="http://schemas.microsoft.com/office/drawing/2014/main" id="{6A5E9A67-A192-4333-8465-CA71AF3A2B4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7">
          <a:extLst>
            <a:ext uri="{FF2B5EF4-FFF2-40B4-BE49-F238E27FC236}">
              <a16:creationId xmlns:a16="http://schemas.microsoft.com/office/drawing/2014/main" id="{29B2926C-1584-4D5A-9778-533198A9925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8">
          <a:extLst>
            <a:ext uri="{FF2B5EF4-FFF2-40B4-BE49-F238E27FC236}">
              <a16:creationId xmlns:a16="http://schemas.microsoft.com/office/drawing/2014/main" id="{D0636B9A-C7DC-4061-A07B-1A3683697FA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8AF2B5A8-A0E6-4256-A70C-40EF95FAB57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7">
          <a:extLst>
            <a:ext uri="{FF2B5EF4-FFF2-40B4-BE49-F238E27FC236}">
              <a16:creationId xmlns:a16="http://schemas.microsoft.com/office/drawing/2014/main" id="{85399BCB-A141-4441-B800-279E8D5BCBF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0250A4D0-F5C6-46F3-8711-EBC25B499CD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15">
          <a:extLst>
            <a:ext uri="{FF2B5EF4-FFF2-40B4-BE49-F238E27FC236}">
              <a16:creationId xmlns:a16="http://schemas.microsoft.com/office/drawing/2014/main" id="{1FACE90A-CAB5-4E4E-9C4F-7AD144D7676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43581C0D-CDEF-4207-98B1-5B54B74F8A4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F3B16B5B-E723-4B99-96AF-340E9484E6B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518CC5F6-E4AA-4088-A2F2-42B809A03AA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DCB31004-3CF8-409A-87F9-2F5A04B8A44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93415013-3950-492D-8581-A1C9529E584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757AB0F7-A5BF-4226-B6A1-137BC478A3D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1272F660-3BBB-4CA1-A8F0-D42F8166A84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D608DF13-CCE3-44C7-B9DE-D9B13622AA4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4E6B606F-FEDF-4F4A-B901-2D477B644D7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4E0D453B-D815-461A-B562-9B278B9C96C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0078D27D-2212-4FD5-8594-C9586FA0AEE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5">
          <a:extLst>
            <a:ext uri="{FF2B5EF4-FFF2-40B4-BE49-F238E27FC236}">
              <a16:creationId xmlns:a16="http://schemas.microsoft.com/office/drawing/2014/main" id="{80EC38E9-FCD8-4C96-97F7-5F4605ED7A8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46">
          <a:extLst>
            <a:ext uri="{FF2B5EF4-FFF2-40B4-BE49-F238E27FC236}">
              <a16:creationId xmlns:a16="http://schemas.microsoft.com/office/drawing/2014/main" id="{E136C145-7FEA-4D8C-B82E-C321512CC41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7">
          <a:extLst>
            <a:ext uri="{FF2B5EF4-FFF2-40B4-BE49-F238E27FC236}">
              <a16:creationId xmlns:a16="http://schemas.microsoft.com/office/drawing/2014/main" id="{CC79AC7D-16FE-4A94-9A1C-98507B7A078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3.xml><?xml version="1.0" encoding="utf-8"?>
<xdr:wsDr xmlns:xdr="http://schemas.openxmlformats.org/drawingml/2006/spreadsheetDrawing" xmlns:a="http://schemas.openxmlformats.org/drawingml/2006/main">
  <xdr:twoCellAnchor>
    <xdr:from>
      <xdr:col>1</xdr:col>
      <xdr:colOff>85725</xdr:colOff>
      <xdr:row>1</xdr:row>
      <xdr:rowOff>95250</xdr:rowOff>
    </xdr:from>
    <xdr:to>
      <xdr:col>3</xdr:col>
      <xdr:colOff>495300</xdr:colOff>
      <xdr:row>3</xdr:row>
      <xdr:rowOff>152400</xdr:rowOff>
    </xdr:to>
    <xdr:pic>
      <xdr:nvPicPr>
        <xdr:cNvPr id="24" name="Picture 1" descr="VIAGS xanh">
          <a:hlinkClick xmlns:r="http://schemas.openxmlformats.org/officeDocument/2006/relationships" r:id="rId1"/>
          <a:extLst>
            <a:ext uri="{FF2B5EF4-FFF2-40B4-BE49-F238E27FC236}">
              <a16:creationId xmlns:a16="http://schemas.microsoft.com/office/drawing/2014/main" id="{00000000-0008-0000-2B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95275" y="200025"/>
          <a:ext cx="258127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7</xdr:col>
      <xdr:colOff>1491031</xdr:colOff>
      <xdr:row>4</xdr:row>
      <xdr:rowOff>57151</xdr:rowOff>
    </xdr:to>
    <xdr:pic>
      <xdr:nvPicPr>
        <xdr:cNvPr id="3" name="Picture 4" descr="VIAGS xanh">
          <a:extLst>
            <a:ext uri="{FF2B5EF4-FFF2-40B4-BE49-F238E27FC236}">
              <a16:creationId xmlns:a16="http://schemas.microsoft.com/office/drawing/2014/main" id="{00000000-0008-0000-2B00-000003000000}"/>
            </a:ext>
            <a:ext uri="{147F2762-F138-4A5C-976F-8EAC2B608ADB}">
              <a16:predDERef xmlns:a16="http://schemas.microsoft.com/office/drawing/2014/main" pred="{7DF50C4E-0025-4BDF-9E91-73D172DA76D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43675" y="219076"/>
          <a:ext cx="1700581"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2B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2B00-00000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2B00-00000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2B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2B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2B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2B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2B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00000000-0008-0000-2B00-00000C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00000000-0008-0000-2B00-00000D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00000000-0008-0000-2B00-00000E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17" name="Picture 27" descr="VIAGS xanh">
          <a:extLst>
            <a:ext uri="{FF2B5EF4-FFF2-40B4-BE49-F238E27FC236}">
              <a16:creationId xmlns:a16="http://schemas.microsoft.com/office/drawing/2014/main" id="{169505AA-065E-41A6-A7E5-081A2C929246}"/>
            </a:ext>
            <a:ext uri="{147F2762-F138-4A5C-976F-8EAC2B608ADB}">
              <a16:predDERef xmlns:a16="http://schemas.microsoft.com/office/drawing/2014/main" pred="{1AF24D7F-606A-48A4-9489-25BFB6D80D4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47F51DB8-8DC7-435F-9D05-C58E8410C3F7}"/>
            </a:ext>
            <a:ext uri="{147F2762-F138-4A5C-976F-8EAC2B608ADB}">
              <a16:predDERef xmlns:a16="http://schemas.microsoft.com/office/drawing/2014/main" pred="{169505AA-065E-41A6-A7E5-081A2C92924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62B73D04-4AA8-4D2D-848F-809547BB0679}"/>
            </a:ext>
            <a:ext uri="{147F2762-F138-4A5C-976F-8EAC2B608ADB}">
              <a16:predDERef xmlns:a16="http://schemas.microsoft.com/office/drawing/2014/main" pred="{47F51DB8-8DC7-435F-9D05-C58E8410C3F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153750EA-D6C9-4FE3-93BE-1EEA0BFD0F0B}"/>
            </a:ext>
            <a:ext uri="{147F2762-F138-4A5C-976F-8EAC2B608ADB}">
              <a16:predDERef xmlns:a16="http://schemas.microsoft.com/office/drawing/2014/main" pred="{62B73D04-4AA8-4D2D-848F-809547BB067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CE092D38-23B8-4698-AD40-12A30322EAF6}"/>
            </a:ext>
            <a:ext uri="{147F2762-F138-4A5C-976F-8EAC2B608ADB}">
              <a16:predDERef xmlns:a16="http://schemas.microsoft.com/office/drawing/2014/main" pred="{153750EA-D6C9-4FE3-93BE-1EEA0BFD0F0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597DAEE6-8E76-40F0-95DC-66FC4B0590A5}"/>
            </a:ext>
            <a:ext uri="{147F2762-F138-4A5C-976F-8EAC2B608ADB}">
              <a16:predDERef xmlns:a16="http://schemas.microsoft.com/office/drawing/2014/main" pred="{CE092D38-23B8-4698-AD40-12A30322EAF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6311C10C-C175-4B04-A154-A3318A656BFC}"/>
            </a:ext>
            <a:ext uri="{147F2762-F138-4A5C-976F-8EAC2B608ADB}">
              <a16:predDERef xmlns:a16="http://schemas.microsoft.com/office/drawing/2014/main" pred="{597DAEE6-8E76-40F0-95DC-66FC4B0590A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5" name="Picture 10" descr="VIAGS xanh">
          <a:hlinkClick xmlns:r="http://schemas.openxmlformats.org/officeDocument/2006/relationships" r:id="rId1"/>
          <a:extLst>
            <a:ext uri="{FF2B5EF4-FFF2-40B4-BE49-F238E27FC236}">
              <a16:creationId xmlns:a16="http://schemas.microsoft.com/office/drawing/2014/main" id="{66283FAF-F2A2-44A2-996F-7353698C67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26" name="Picture 4" descr="VIAGS xanh">
          <a:extLst>
            <a:ext uri="{FF2B5EF4-FFF2-40B4-BE49-F238E27FC236}">
              <a16:creationId xmlns:a16="http://schemas.microsoft.com/office/drawing/2014/main" id="{B415E283-CBB7-42BB-A5B0-3DC611FF9AC7}"/>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7" name="Picture 26" descr="VIAGS xanh">
          <a:extLst>
            <a:ext uri="{FF2B5EF4-FFF2-40B4-BE49-F238E27FC236}">
              <a16:creationId xmlns:a16="http://schemas.microsoft.com/office/drawing/2014/main" id="{114B9E74-1FFF-4794-9B28-38739468D66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8" name="TextBox 4">
          <a:extLst>
            <a:ext uri="{FF2B5EF4-FFF2-40B4-BE49-F238E27FC236}">
              <a16:creationId xmlns:a16="http://schemas.microsoft.com/office/drawing/2014/main" id="{F1814563-6872-46C3-81CF-DFCCFBD7731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6C9D857C-FEF3-43DA-8D00-E2CE75F5AD3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E9C43A89-393D-40B6-A434-72D9312DE8F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A552BE16-D36B-4EB1-BD41-6D9BB58F28E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C7C3CECA-F559-41A7-B7D6-BFC1E9A5CBD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5B2BE26A-5B98-4E54-8BA8-40BDFE5C21A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A455ECEB-63D7-483D-9D86-14507271C34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7">
          <a:extLst>
            <a:ext uri="{FF2B5EF4-FFF2-40B4-BE49-F238E27FC236}">
              <a16:creationId xmlns:a16="http://schemas.microsoft.com/office/drawing/2014/main" id="{0B5536C4-C991-4E78-9B0E-A85FCD7FC29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8">
          <a:extLst>
            <a:ext uri="{FF2B5EF4-FFF2-40B4-BE49-F238E27FC236}">
              <a16:creationId xmlns:a16="http://schemas.microsoft.com/office/drawing/2014/main" id="{63435E0F-56E4-4B50-AB53-31C3C2DC7B8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33">
          <a:extLst>
            <a:ext uri="{FF2B5EF4-FFF2-40B4-BE49-F238E27FC236}">
              <a16:creationId xmlns:a16="http://schemas.microsoft.com/office/drawing/2014/main" id="{86A6717F-3D3C-46F4-A692-EBAF214D7AF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00E3C798-F28F-436C-8959-E48F6DAF45A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B9BA60A5-2ED3-4F13-AB1D-4DEE3C486B8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91D27936-359E-4F54-B00A-2801B931CAC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E48E244E-7535-4C51-A9FD-55E6237A02B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3400C92B-0758-4D78-8EA4-108FD26C12D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FCACD5EF-CD8F-49F1-8538-FDB64187A9B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EA2F6C56-C862-4506-AD91-5F2C97EF8C1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1B2A912D-8CB8-474B-9A16-6815B18894B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B33C308B-DA32-4FD6-B428-A02A092E587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0DC59688-120D-4FB7-B483-8267049775E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21B66239-E185-46AA-9338-F4C166B6C77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5">
          <a:extLst>
            <a:ext uri="{FF2B5EF4-FFF2-40B4-BE49-F238E27FC236}">
              <a16:creationId xmlns:a16="http://schemas.microsoft.com/office/drawing/2014/main" id="{DE9EFB2D-7216-4912-94FF-F630BAA8DCB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46">
          <a:extLst>
            <a:ext uri="{FF2B5EF4-FFF2-40B4-BE49-F238E27FC236}">
              <a16:creationId xmlns:a16="http://schemas.microsoft.com/office/drawing/2014/main" id="{3A8C35A1-59F3-4757-86B7-8CCBEE5672B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7">
          <a:extLst>
            <a:ext uri="{FF2B5EF4-FFF2-40B4-BE49-F238E27FC236}">
              <a16:creationId xmlns:a16="http://schemas.microsoft.com/office/drawing/2014/main" id="{E4E76E1B-AD40-4C87-8A5B-18639044550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4.xml><?xml version="1.0" encoding="utf-8"?>
<xdr:wsDr xmlns:xdr="http://schemas.openxmlformats.org/drawingml/2006/spreadsheetDrawing" xmlns:a="http://schemas.openxmlformats.org/drawingml/2006/main">
  <xdr:twoCellAnchor>
    <xdr:from>
      <xdr:col>1</xdr:col>
      <xdr:colOff>85725</xdr:colOff>
      <xdr:row>1</xdr:row>
      <xdr:rowOff>95250</xdr:rowOff>
    </xdr:from>
    <xdr:to>
      <xdr:col>3</xdr:col>
      <xdr:colOff>352425</xdr:colOff>
      <xdr:row>3</xdr:row>
      <xdr:rowOff>152400</xdr:rowOff>
    </xdr:to>
    <xdr:pic>
      <xdr:nvPicPr>
        <xdr:cNvPr id="2" name="Picture 1" descr="VIAGS xanh">
          <a:hlinkClick xmlns:r="http://schemas.openxmlformats.org/officeDocument/2006/relationships" r:id="rId1"/>
          <a:extLst>
            <a:ext uri="{FF2B5EF4-FFF2-40B4-BE49-F238E27FC236}">
              <a16:creationId xmlns:a16="http://schemas.microsoft.com/office/drawing/2014/main" id="{00000000-0008-0000-2C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95275" y="200025"/>
          <a:ext cx="2438400"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7</xdr:col>
      <xdr:colOff>1491031</xdr:colOff>
      <xdr:row>4</xdr:row>
      <xdr:rowOff>57151</xdr:rowOff>
    </xdr:to>
    <xdr:pic>
      <xdr:nvPicPr>
        <xdr:cNvPr id="3" name="Picture 4" descr="VIAGS xanh">
          <a:extLst>
            <a:ext uri="{FF2B5EF4-FFF2-40B4-BE49-F238E27FC236}">
              <a16:creationId xmlns:a16="http://schemas.microsoft.com/office/drawing/2014/main" id="{00000000-0008-0000-2C00-000003000000}"/>
            </a:ext>
            <a:ext uri="{147F2762-F138-4A5C-976F-8EAC2B608ADB}">
              <a16:predDERef xmlns:a16="http://schemas.microsoft.com/office/drawing/2014/main" pred="{B2A98ED5-73C7-4ECF-A5E3-EA6FE6ED2FE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43675" y="219076"/>
          <a:ext cx="1700581"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2C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2C00-00000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2C00-00000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2C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2C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2C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2C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2C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00000000-0008-0000-2C00-00000C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00000000-0008-0000-2C00-00000D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00000000-0008-0000-2C00-00000E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15" name="TextBox 14">
          <a:extLst>
            <a:ext uri="{FF2B5EF4-FFF2-40B4-BE49-F238E27FC236}">
              <a16:creationId xmlns:a16="http://schemas.microsoft.com/office/drawing/2014/main" id="{00000000-0008-0000-2C00-00000F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6" name="TextBox 15">
          <a:extLst>
            <a:ext uri="{FF2B5EF4-FFF2-40B4-BE49-F238E27FC236}">
              <a16:creationId xmlns:a16="http://schemas.microsoft.com/office/drawing/2014/main" id="{00000000-0008-0000-2C00-000010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7" name="TextBox 16">
          <a:extLst>
            <a:ext uri="{FF2B5EF4-FFF2-40B4-BE49-F238E27FC236}">
              <a16:creationId xmlns:a16="http://schemas.microsoft.com/office/drawing/2014/main" id="{00000000-0008-0000-2C00-000011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8" name="TextBox 17">
          <a:extLst>
            <a:ext uri="{FF2B5EF4-FFF2-40B4-BE49-F238E27FC236}">
              <a16:creationId xmlns:a16="http://schemas.microsoft.com/office/drawing/2014/main" id="{00000000-0008-0000-2C00-000012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9" name="TextBox 18">
          <a:extLst>
            <a:ext uri="{FF2B5EF4-FFF2-40B4-BE49-F238E27FC236}">
              <a16:creationId xmlns:a16="http://schemas.microsoft.com/office/drawing/2014/main" id="{00000000-0008-0000-2C00-000013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0" name="TextBox 19">
          <a:extLst>
            <a:ext uri="{FF2B5EF4-FFF2-40B4-BE49-F238E27FC236}">
              <a16:creationId xmlns:a16="http://schemas.microsoft.com/office/drawing/2014/main" id="{00000000-0008-0000-2C00-000014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00000000-0008-0000-2C00-00001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00000000-0008-0000-2C00-000016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3" name="TextBox 4">
          <a:extLst>
            <a:ext uri="{FF2B5EF4-FFF2-40B4-BE49-F238E27FC236}">
              <a16:creationId xmlns:a16="http://schemas.microsoft.com/office/drawing/2014/main" id="{00000000-0008-0000-2C00-000017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7">
          <a:extLst>
            <a:ext uri="{FF2B5EF4-FFF2-40B4-BE49-F238E27FC236}">
              <a16:creationId xmlns:a16="http://schemas.microsoft.com/office/drawing/2014/main" id="{00000000-0008-0000-2C00-00001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8">
          <a:extLst>
            <a:ext uri="{FF2B5EF4-FFF2-40B4-BE49-F238E27FC236}">
              <a16:creationId xmlns:a16="http://schemas.microsoft.com/office/drawing/2014/main" id="{00000000-0008-0000-2C00-00001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28" name="Picture 27" descr="VIAGS xanh">
          <a:extLst>
            <a:ext uri="{FF2B5EF4-FFF2-40B4-BE49-F238E27FC236}">
              <a16:creationId xmlns:a16="http://schemas.microsoft.com/office/drawing/2014/main" id="{F61CFF95-730C-47EA-80E6-96447F803304}"/>
            </a:ext>
            <a:ext uri="{147F2762-F138-4A5C-976F-8EAC2B608ADB}">
              <a16:predDERef xmlns:a16="http://schemas.microsoft.com/office/drawing/2014/main" pred="{E5C5D8CF-1A01-43BE-BB5A-2F66B84E455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5A4EDB1E-AA0D-49A5-BD76-786D868A9560}"/>
            </a:ext>
            <a:ext uri="{147F2762-F138-4A5C-976F-8EAC2B608ADB}">
              <a16:predDERef xmlns:a16="http://schemas.microsoft.com/office/drawing/2014/main" pred="{F61CFF95-730C-47EA-80E6-96447F80330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EF923093-CCB0-4ECD-BC9A-4EA0E785524A}"/>
            </a:ext>
            <a:ext uri="{147F2762-F138-4A5C-976F-8EAC2B608ADB}">
              <a16:predDERef xmlns:a16="http://schemas.microsoft.com/office/drawing/2014/main" pred="{5A4EDB1E-AA0D-49A5-BD76-786D868A956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ED27586D-2806-4D94-966F-08BBBE3282B0}"/>
            </a:ext>
            <a:ext uri="{147F2762-F138-4A5C-976F-8EAC2B608ADB}">
              <a16:predDERef xmlns:a16="http://schemas.microsoft.com/office/drawing/2014/main" pred="{EF923093-CCB0-4ECD-BC9A-4EA0E785524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4">
          <a:extLst>
            <a:ext uri="{FF2B5EF4-FFF2-40B4-BE49-F238E27FC236}">
              <a16:creationId xmlns:a16="http://schemas.microsoft.com/office/drawing/2014/main" id="{CB8FA485-3C2C-47E1-A938-AFA0C8CF9849}"/>
            </a:ext>
            <a:ext uri="{147F2762-F138-4A5C-976F-8EAC2B608ADB}">
              <a16:predDERef xmlns:a16="http://schemas.microsoft.com/office/drawing/2014/main" pred="{ED27586D-2806-4D94-966F-08BBBE3282B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7">
          <a:extLst>
            <a:ext uri="{FF2B5EF4-FFF2-40B4-BE49-F238E27FC236}">
              <a16:creationId xmlns:a16="http://schemas.microsoft.com/office/drawing/2014/main" id="{C6C257A3-9397-472D-A46B-9E47BB5E5CB2}"/>
            </a:ext>
            <a:ext uri="{147F2762-F138-4A5C-976F-8EAC2B608ADB}">
              <a16:predDERef xmlns:a16="http://schemas.microsoft.com/office/drawing/2014/main" pred="{CB8FA485-3C2C-47E1-A938-AFA0C8CF984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8">
          <a:extLst>
            <a:ext uri="{FF2B5EF4-FFF2-40B4-BE49-F238E27FC236}">
              <a16:creationId xmlns:a16="http://schemas.microsoft.com/office/drawing/2014/main" id="{824F126E-8946-4B03-8B77-85852688DDF1}"/>
            </a:ext>
            <a:ext uri="{147F2762-F138-4A5C-976F-8EAC2B608ADB}">
              <a16:predDERef xmlns:a16="http://schemas.microsoft.com/office/drawing/2014/main" pred="{C6C257A3-9397-472D-A46B-9E47BB5E5CB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6" name="Picture 10" descr="VIAGS xanh">
          <a:hlinkClick xmlns:r="http://schemas.openxmlformats.org/officeDocument/2006/relationships" r:id="rId1"/>
          <a:extLst>
            <a:ext uri="{FF2B5EF4-FFF2-40B4-BE49-F238E27FC236}">
              <a16:creationId xmlns:a16="http://schemas.microsoft.com/office/drawing/2014/main" id="{5EEF0932-D461-4F4A-8A8E-D4DF6B31736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27" name="Picture 4" descr="VIAGS xanh">
          <a:extLst>
            <a:ext uri="{FF2B5EF4-FFF2-40B4-BE49-F238E27FC236}">
              <a16:creationId xmlns:a16="http://schemas.microsoft.com/office/drawing/2014/main" id="{A7241118-83AE-4E92-B0B9-AD5A66B9C23E}"/>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35" name="Picture 34" descr="VIAGS xanh">
          <a:extLst>
            <a:ext uri="{FF2B5EF4-FFF2-40B4-BE49-F238E27FC236}">
              <a16:creationId xmlns:a16="http://schemas.microsoft.com/office/drawing/2014/main" id="{C09C9367-6CD5-479A-84C0-DEE743D4E7C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D06DC0C6-F8D9-454D-B664-1AD8CD0B112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07084B00-2E9F-408F-BADD-F63A82C17C6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DBFF0A06-AB0C-40FC-8FBE-770763D49AD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788CD0C6-EDE2-4DAA-823D-D9D64C1D199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A719FF4A-7AE9-45A4-8130-53637CE5D2C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5DA75B36-E345-4728-B977-CBF57C85B2D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9BE26C0A-ED9F-491E-BD6C-3580651530C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49BC2A69-39F2-44FD-8A7D-3FA93B84F08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E2681280-FD26-4A8E-924B-78F3AB914A2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4">
          <a:extLst>
            <a:ext uri="{FF2B5EF4-FFF2-40B4-BE49-F238E27FC236}">
              <a16:creationId xmlns:a16="http://schemas.microsoft.com/office/drawing/2014/main" id="{939EB125-CBFD-48D4-9822-44A16172042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024952F4-8FD4-421B-9D51-62B69CB2B16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F4E33B8D-21FB-40B0-A921-41D4DCB8394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0DD3D38F-0D1E-4B93-909D-A49128E3E12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C352B842-1905-41D1-A17F-7A0724FA418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FF1CD404-580B-4AF4-B451-9EB44A4C2C8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BDBF9925-C261-4580-BB16-1AD1FB03042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31DD3589-EF31-4068-86B2-B84E2C36736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66E347F0-75C8-446F-8DDC-0B49C2FB891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4">
          <a:extLst>
            <a:ext uri="{FF2B5EF4-FFF2-40B4-BE49-F238E27FC236}">
              <a16:creationId xmlns:a16="http://schemas.microsoft.com/office/drawing/2014/main" id="{4FACB1C8-6F78-4A9C-892F-72D23CE3FAE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AED1627C-885F-40D6-854B-503D99A1C4E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E551C64C-416A-4C28-BF88-9A4127D06A6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56">
          <a:extLst>
            <a:ext uri="{FF2B5EF4-FFF2-40B4-BE49-F238E27FC236}">
              <a16:creationId xmlns:a16="http://schemas.microsoft.com/office/drawing/2014/main" id="{EAD95581-1FEB-4BEB-8431-B79D7227BEB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57">
          <a:extLst>
            <a:ext uri="{FF2B5EF4-FFF2-40B4-BE49-F238E27FC236}">
              <a16:creationId xmlns:a16="http://schemas.microsoft.com/office/drawing/2014/main" id="{4F489A37-4E97-4E97-B831-3CC999A9494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58">
          <a:extLst>
            <a:ext uri="{FF2B5EF4-FFF2-40B4-BE49-F238E27FC236}">
              <a16:creationId xmlns:a16="http://schemas.microsoft.com/office/drawing/2014/main" id="{A0516739-255A-4100-8519-9FF6D6F763C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5.xml><?xml version="1.0" encoding="utf-8"?>
<xdr:wsDr xmlns:xdr="http://schemas.openxmlformats.org/drawingml/2006/spreadsheetDrawing" xmlns:a="http://schemas.openxmlformats.org/drawingml/2006/main">
  <xdr:twoCellAnchor>
    <xdr:from>
      <xdr:col>1</xdr:col>
      <xdr:colOff>95250</xdr:colOff>
      <xdr:row>1</xdr:row>
      <xdr:rowOff>142875</xdr:rowOff>
    </xdr:from>
    <xdr:to>
      <xdr:col>3</xdr:col>
      <xdr:colOff>447675</xdr:colOff>
      <xdr:row>3</xdr:row>
      <xdr:rowOff>190500</xdr:rowOff>
    </xdr:to>
    <xdr:pic>
      <xdr:nvPicPr>
        <xdr:cNvPr id="2" name="Picture 1" descr="VIAGS xanh">
          <a:hlinkClick xmlns:r="http://schemas.openxmlformats.org/officeDocument/2006/relationships" r:id="rId1"/>
          <a:extLst>
            <a:ext uri="{FF2B5EF4-FFF2-40B4-BE49-F238E27FC236}">
              <a16:creationId xmlns:a16="http://schemas.microsoft.com/office/drawing/2014/main" id="{00000000-0008-0000-2D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247650"/>
          <a:ext cx="2524125"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7</xdr:col>
      <xdr:colOff>1491031</xdr:colOff>
      <xdr:row>4</xdr:row>
      <xdr:rowOff>57151</xdr:rowOff>
    </xdr:to>
    <xdr:pic>
      <xdr:nvPicPr>
        <xdr:cNvPr id="3" name="Picture 4" descr="VIAGS xanh">
          <a:extLst>
            <a:ext uri="{FF2B5EF4-FFF2-40B4-BE49-F238E27FC236}">
              <a16:creationId xmlns:a16="http://schemas.microsoft.com/office/drawing/2014/main" id="{00000000-0008-0000-2D00-000003000000}"/>
            </a:ext>
            <a:ext uri="{147F2762-F138-4A5C-976F-8EAC2B608ADB}">
              <a16:predDERef xmlns:a16="http://schemas.microsoft.com/office/drawing/2014/main" pred="{9CE369A0-F412-4BFA-AA79-9484A9CDA56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43675" y="219076"/>
          <a:ext cx="1700581"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2D00-000004000000}"/>
            </a:ext>
          </a:extLst>
        </xdr:cNvPr>
        <xdr:cNvSpPr txBox="1"/>
      </xdr:nvSpPr>
      <xdr:spPr>
        <a:xfrm>
          <a:off x="127349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2D00-000005000000}"/>
            </a:ext>
          </a:extLst>
        </xdr:cNvPr>
        <xdr:cNvSpPr txBox="1"/>
      </xdr:nvSpPr>
      <xdr:spPr>
        <a:xfrm>
          <a:off x="127349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2D00-000006000000}"/>
            </a:ext>
          </a:extLst>
        </xdr:cNvPr>
        <xdr:cNvSpPr txBox="1"/>
      </xdr:nvSpPr>
      <xdr:spPr>
        <a:xfrm>
          <a:off x="127349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2D00-000007000000}"/>
            </a:ext>
          </a:extLst>
        </xdr:cNvPr>
        <xdr:cNvSpPr txBox="1"/>
      </xdr:nvSpPr>
      <xdr:spPr>
        <a:xfrm>
          <a:off x="127349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2D00-000008000000}"/>
            </a:ext>
          </a:extLst>
        </xdr:cNvPr>
        <xdr:cNvSpPr txBox="1"/>
      </xdr:nvSpPr>
      <xdr:spPr>
        <a:xfrm>
          <a:off x="127349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2D00-000009000000}"/>
            </a:ext>
          </a:extLst>
        </xdr:cNvPr>
        <xdr:cNvSpPr txBox="1"/>
      </xdr:nvSpPr>
      <xdr:spPr>
        <a:xfrm>
          <a:off x="127349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2D00-00000A000000}"/>
            </a:ext>
          </a:extLst>
        </xdr:cNvPr>
        <xdr:cNvSpPr txBox="1"/>
      </xdr:nvSpPr>
      <xdr:spPr>
        <a:xfrm>
          <a:off x="127349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2D00-00000B000000}"/>
            </a:ext>
          </a:extLst>
        </xdr:cNvPr>
        <xdr:cNvSpPr txBox="1"/>
      </xdr:nvSpPr>
      <xdr:spPr>
        <a:xfrm>
          <a:off x="127349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00000000-0008-0000-2D00-00000C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00000000-0008-0000-2D00-00000D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00000000-0008-0000-2D00-00000E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15" name="TextBox 14">
          <a:extLst>
            <a:ext uri="{FF2B5EF4-FFF2-40B4-BE49-F238E27FC236}">
              <a16:creationId xmlns:a16="http://schemas.microsoft.com/office/drawing/2014/main" id="{00000000-0008-0000-2D00-00000F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6" name="TextBox 15">
          <a:extLst>
            <a:ext uri="{FF2B5EF4-FFF2-40B4-BE49-F238E27FC236}">
              <a16:creationId xmlns:a16="http://schemas.microsoft.com/office/drawing/2014/main" id="{00000000-0008-0000-2D00-000010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7" name="TextBox 16">
          <a:extLst>
            <a:ext uri="{FF2B5EF4-FFF2-40B4-BE49-F238E27FC236}">
              <a16:creationId xmlns:a16="http://schemas.microsoft.com/office/drawing/2014/main" id="{00000000-0008-0000-2D00-000011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8" name="TextBox 17">
          <a:extLst>
            <a:ext uri="{FF2B5EF4-FFF2-40B4-BE49-F238E27FC236}">
              <a16:creationId xmlns:a16="http://schemas.microsoft.com/office/drawing/2014/main" id="{00000000-0008-0000-2D00-000012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9" name="TextBox 18">
          <a:extLst>
            <a:ext uri="{FF2B5EF4-FFF2-40B4-BE49-F238E27FC236}">
              <a16:creationId xmlns:a16="http://schemas.microsoft.com/office/drawing/2014/main" id="{00000000-0008-0000-2D00-000013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0" name="TextBox 19">
          <a:extLst>
            <a:ext uri="{FF2B5EF4-FFF2-40B4-BE49-F238E27FC236}">
              <a16:creationId xmlns:a16="http://schemas.microsoft.com/office/drawing/2014/main" id="{00000000-0008-0000-2D00-000014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00000000-0008-0000-2D00-00001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00000000-0008-0000-2D00-000016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3" name="TextBox 4">
          <a:extLst>
            <a:ext uri="{FF2B5EF4-FFF2-40B4-BE49-F238E27FC236}">
              <a16:creationId xmlns:a16="http://schemas.microsoft.com/office/drawing/2014/main" id="{00000000-0008-0000-2D00-000017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7">
          <a:extLst>
            <a:ext uri="{FF2B5EF4-FFF2-40B4-BE49-F238E27FC236}">
              <a16:creationId xmlns:a16="http://schemas.microsoft.com/office/drawing/2014/main" id="{00000000-0008-0000-2D00-00001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8">
          <a:extLst>
            <a:ext uri="{FF2B5EF4-FFF2-40B4-BE49-F238E27FC236}">
              <a16:creationId xmlns:a16="http://schemas.microsoft.com/office/drawing/2014/main" id="{00000000-0008-0000-2D00-00001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28" name="Picture 27" descr="VIAGS xanh">
          <a:extLst>
            <a:ext uri="{FF2B5EF4-FFF2-40B4-BE49-F238E27FC236}">
              <a16:creationId xmlns:a16="http://schemas.microsoft.com/office/drawing/2014/main" id="{B8A54DBD-0C7C-4C47-A89B-97FCC1F64BB3}"/>
            </a:ext>
            <a:ext uri="{147F2762-F138-4A5C-976F-8EAC2B608ADB}">
              <a16:predDERef xmlns:a16="http://schemas.microsoft.com/office/drawing/2014/main" pred="{EEC7932E-0C23-41FC-A4A6-BF3F794F3D5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36CF2F9C-A706-4804-BD39-EEB86F447A83}"/>
            </a:ext>
            <a:ext uri="{147F2762-F138-4A5C-976F-8EAC2B608ADB}">
              <a16:predDERef xmlns:a16="http://schemas.microsoft.com/office/drawing/2014/main" pred="{B8A54DBD-0C7C-4C47-A89B-97FCC1F64BB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AC5445E0-4010-404A-A30F-EB359BF1C487}"/>
            </a:ext>
            <a:ext uri="{147F2762-F138-4A5C-976F-8EAC2B608ADB}">
              <a16:predDERef xmlns:a16="http://schemas.microsoft.com/office/drawing/2014/main" pred="{36CF2F9C-A706-4804-BD39-EEB86F447A8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D95867BB-0E74-46D0-9FDE-8C17C07E3A09}"/>
            </a:ext>
            <a:ext uri="{147F2762-F138-4A5C-976F-8EAC2B608ADB}">
              <a16:predDERef xmlns:a16="http://schemas.microsoft.com/office/drawing/2014/main" pred="{AC5445E0-4010-404A-A30F-EB359BF1C48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4">
          <a:extLst>
            <a:ext uri="{FF2B5EF4-FFF2-40B4-BE49-F238E27FC236}">
              <a16:creationId xmlns:a16="http://schemas.microsoft.com/office/drawing/2014/main" id="{B7496729-5C2E-47AE-936F-84F57416CC44}"/>
            </a:ext>
            <a:ext uri="{147F2762-F138-4A5C-976F-8EAC2B608ADB}">
              <a16:predDERef xmlns:a16="http://schemas.microsoft.com/office/drawing/2014/main" pred="{D95867BB-0E74-46D0-9FDE-8C17C07E3A0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7">
          <a:extLst>
            <a:ext uri="{FF2B5EF4-FFF2-40B4-BE49-F238E27FC236}">
              <a16:creationId xmlns:a16="http://schemas.microsoft.com/office/drawing/2014/main" id="{AFCD22C5-DEB9-40F7-84BD-7D41D5D983DC}"/>
            </a:ext>
            <a:ext uri="{147F2762-F138-4A5C-976F-8EAC2B608ADB}">
              <a16:predDERef xmlns:a16="http://schemas.microsoft.com/office/drawing/2014/main" pred="{B7496729-5C2E-47AE-936F-84F57416CC4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8">
          <a:extLst>
            <a:ext uri="{FF2B5EF4-FFF2-40B4-BE49-F238E27FC236}">
              <a16:creationId xmlns:a16="http://schemas.microsoft.com/office/drawing/2014/main" id="{BDE761B0-E79B-46F8-9CE9-A9B77476A818}"/>
            </a:ext>
            <a:ext uri="{147F2762-F138-4A5C-976F-8EAC2B608ADB}">
              <a16:predDERef xmlns:a16="http://schemas.microsoft.com/office/drawing/2014/main" pred="{AFCD22C5-DEB9-40F7-84BD-7D41D5D983D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6" name="Picture 10" descr="VIAGS xanh">
          <a:hlinkClick xmlns:r="http://schemas.openxmlformats.org/officeDocument/2006/relationships" r:id="rId1"/>
          <a:extLst>
            <a:ext uri="{FF2B5EF4-FFF2-40B4-BE49-F238E27FC236}">
              <a16:creationId xmlns:a16="http://schemas.microsoft.com/office/drawing/2014/main" id="{D82F35B0-907E-45A3-8F89-8C5404A88D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27" name="Picture 4" descr="VIAGS xanh">
          <a:extLst>
            <a:ext uri="{FF2B5EF4-FFF2-40B4-BE49-F238E27FC236}">
              <a16:creationId xmlns:a16="http://schemas.microsoft.com/office/drawing/2014/main" id="{A770E64D-3348-4BC5-ADC2-C1A209778BFF}"/>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35" name="Picture 34" descr="VIAGS xanh">
          <a:extLst>
            <a:ext uri="{FF2B5EF4-FFF2-40B4-BE49-F238E27FC236}">
              <a16:creationId xmlns:a16="http://schemas.microsoft.com/office/drawing/2014/main" id="{C690CC89-6128-4DBE-A9E1-C753C062219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5E3F4760-B93D-4206-AB3D-BA4CD98E67D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97D48598-9617-41A5-BAC4-BBE32CADA87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0AD54A7D-944E-404F-BB85-D439783252C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CD78FB73-26E5-41AA-B7AE-916360E91C9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3EE44FA7-E864-4263-9162-11335CE3A98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D03ABDA2-2E95-4F10-9DB0-86B21C39126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48927FD8-D24A-4672-BB84-213D16F4EA5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4C03C7CE-70C5-4352-B029-9C5204408FF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4C1734C5-0213-4F10-9234-FD010832B89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4">
          <a:extLst>
            <a:ext uri="{FF2B5EF4-FFF2-40B4-BE49-F238E27FC236}">
              <a16:creationId xmlns:a16="http://schemas.microsoft.com/office/drawing/2014/main" id="{1A6BE011-9E60-4441-A114-F501F7F3029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0AB2E1FA-75CA-4BD8-AD6A-4D191E9C28A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4F004B08-FE7D-4EBD-91FE-E62BF329ECD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65655023-D9CD-4E11-A040-CB5FB5709D6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4051D705-63F1-4A03-8835-F6665979550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70589B12-8F94-4947-97D7-B8D9145A45E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62048949-4337-4E89-AA04-B2E2A07412D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71911E97-C20D-42D0-A2F7-52C91A053CE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1DE346F1-D7C1-46D7-BFFB-96019994F6E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4">
          <a:extLst>
            <a:ext uri="{FF2B5EF4-FFF2-40B4-BE49-F238E27FC236}">
              <a16:creationId xmlns:a16="http://schemas.microsoft.com/office/drawing/2014/main" id="{6FC20B73-DD45-415C-91F8-75EF5CB0B9A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7F87C636-0CCC-4D35-A87C-3753623424D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970040AE-590D-4EEA-BB9C-CCD014CE386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56">
          <a:extLst>
            <a:ext uri="{FF2B5EF4-FFF2-40B4-BE49-F238E27FC236}">
              <a16:creationId xmlns:a16="http://schemas.microsoft.com/office/drawing/2014/main" id="{E020521D-D986-40CA-B803-5103E2E2ADA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57">
          <a:extLst>
            <a:ext uri="{FF2B5EF4-FFF2-40B4-BE49-F238E27FC236}">
              <a16:creationId xmlns:a16="http://schemas.microsoft.com/office/drawing/2014/main" id="{A4C4393B-BEFD-4B65-8A70-A5090FEE969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58">
          <a:extLst>
            <a:ext uri="{FF2B5EF4-FFF2-40B4-BE49-F238E27FC236}">
              <a16:creationId xmlns:a16="http://schemas.microsoft.com/office/drawing/2014/main" id="{BE824A38-5094-4131-8CB9-FF5F785E409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6.xml><?xml version="1.0" encoding="utf-8"?>
<xdr:wsDr xmlns:xdr="http://schemas.openxmlformats.org/drawingml/2006/spreadsheetDrawing" xmlns:a="http://schemas.openxmlformats.org/drawingml/2006/main">
  <xdr:twoCellAnchor>
    <xdr:from>
      <xdr:col>1</xdr:col>
      <xdr:colOff>219075</xdr:colOff>
      <xdr:row>1</xdr:row>
      <xdr:rowOff>114300</xdr:rowOff>
    </xdr:from>
    <xdr:to>
      <xdr:col>3</xdr:col>
      <xdr:colOff>533400</xdr:colOff>
      <xdr:row>4</xdr:row>
      <xdr:rowOff>66675</xdr:rowOff>
    </xdr:to>
    <xdr:pic>
      <xdr:nvPicPr>
        <xdr:cNvPr id="2" name="Picture 1" descr="VIAGS xanh">
          <a:hlinkClick xmlns:r="http://schemas.openxmlformats.org/officeDocument/2006/relationships" r:id="rId1"/>
          <a:extLst>
            <a:ext uri="{FF2B5EF4-FFF2-40B4-BE49-F238E27FC236}">
              <a16:creationId xmlns:a16="http://schemas.microsoft.com/office/drawing/2014/main" id="{00000000-0008-0000-2E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8625" y="219075"/>
          <a:ext cx="24860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7</xdr:col>
      <xdr:colOff>1491031</xdr:colOff>
      <xdr:row>4</xdr:row>
      <xdr:rowOff>57151</xdr:rowOff>
    </xdr:to>
    <xdr:pic>
      <xdr:nvPicPr>
        <xdr:cNvPr id="3" name="Picture 4" descr="VIAGS xanh">
          <a:extLst>
            <a:ext uri="{FF2B5EF4-FFF2-40B4-BE49-F238E27FC236}">
              <a16:creationId xmlns:a16="http://schemas.microsoft.com/office/drawing/2014/main" id="{00000000-0008-0000-2E00-000003000000}"/>
            </a:ext>
            <a:ext uri="{147F2762-F138-4A5C-976F-8EAC2B608ADB}">
              <a16:predDERef xmlns:a16="http://schemas.microsoft.com/office/drawing/2014/main" pred="{AE6AF020-CDA4-4666-A0EF-C10FF155EE1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43675" y="219076"/>
          <a:ext cx="1700581"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2E00-00000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2E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2E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2E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2E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2E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00000000-0008-0000-2E00-00000C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00000000-0008-0000-2E00-00000D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4" name="TextBox 4">
          <a:extLst>
            <a:ext uri="{FF2B5EF4-FFF2-40B4-BE49-F238E27FC236}">
              <a16:creationId xmlns:a16="http://schemas.microsoft.com/office/drawing/2014/main" id="{00000000-0008-0000-2E00-00000E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7">
          <a:extLst>
            <a:ext uri="{FF2B5EF4-FFF2-40B4-BE49-F238E27FC236}">
              <a16:creationId xmlns:a16="http://schemas.microsoft.com/office/drawing/2014/main" id="{00000000-0008-0000-2E00-00000F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8">
          <a:extLst>
            <a:ext uri="{FF2B5EF4-FFF2-40B4-BE49-F238E27FC236}">
              <a16:creationId xmlns:a16="http://schemas.microsoft.com/office/drawing/2014/main" id="{00000000-0008-0000-2E00-000010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19" name="TextBox 18">
          <a:extLst>
            <a:ext uri="{FF2B5EF4-FFF2-40B4-BE49-F238E27FC236}">
              <a16:creationId xmlns:a16="http://schemas.microsoft.com/office/drawing/2014/main" id="{00000000-0008-0000-2E00-000013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0" name="TextBox 19">
          <a:extLst>
            <a:ext uri="{FF2B5EF4-FFF2-40B4-BE49-F238E27FC236}">
              <a16:creationId xmlns:a16="http://schemas.microsoft.com/office/drawing/2014/main" id="{00000000-0008-0000-2E00-000014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00000000-0008-0000-2E00-00001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00000000-0008-0000-2E00-000016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00000000-0008-0000-2E00-000017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00000000-0008-0000-2E00-000018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00000000-0008-0000-2E00-000019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00000000-0008-0000-2E00-00001A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7" name="TextBox 4">
          <a:extLst>
            <a:ext uri="{FF2B5EF4-FFF2-40B4-BE49-F238E27FC236}">
              <a16:creationId xmlns:a16="http://schemas.microsoft.com/office/drawing/2014/main" id="{00000000-0008-0000-2E00-00001B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00000000-0008-0000-2E00-00001C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00000000-0008-0000-2E00-00001D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0" name="TextBox 29">
          <a:extLst>
            <a:ext uri="{FF2B5EF4-FFF2-40B4-BE49-F238E27FC236}">
              <a16:creationId xmlns:a16="http://schemas.microsoft.com/office/drawing/2014/main" id="{00000000-0008-0000-2E00-00001E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1" name="TextBox 30">
          <a:extLst>
            <a:ext uri="{FF2B5EF4-FFF2-40B4-BE49-F238E27FC236}">
              <a16:creationId xmlns:a16="http://schemas.microsoft.com/office/drawing/2014/main" id="{00000000-0008-0000-2E00-00001F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00000000-0008-0000-2E00-000020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00000000-0008-0000-2E00-000021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00000000-0008-0000-2E00-000022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00000000-0008-0000-2E00-000023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00000000-0008-0000-2E00-00002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00000000-0008-0000-2E00-00002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38" name="TextBox 4">
          <a:extLst>
            <a:ext uri="{FF2B5EF4-FFF2-40B4-BE49-F238E27FC236}">
              <a16:creationId xmlns:a16="http://schemas.microsoft.com/office/drawing/2014/main" id="{00000000-0008-0000-2E00-00002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7">
          <a:extLst>
            <a:ext uri="{FF2B5EF4-FFF2-40B4-BE49-F238E27FC236}">
              <a16:creationId xmlns:a16="http://schemas.microsoft.com/office/drawing/2014/main" id="{00000000-0008-0000-2E00-000027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8">
          <a:extLst>
            <a:ext uri="{FF2B5EF4-FFF2-40B4-BE49-F238E27FC236}">
              <a16:creationId xmlns:a16="http://schemas.microsoft.com/office/drawing/2014/main" id="{00000000-0008-0000-2E00-000028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17" name="Picture 27" descr="VIAGS xanh">
          <a:extLst>
            <a:ext uri="{FF2B5EF4-FFF2-40B4-BE49-F238E27FC236}">
              <a16:creationId xmlns:a16="http://schemas.microsoft.com/office/drawing/2014/main" id="{CD0037A4-E528-4C3C-B631-3D03F07D8406}"/>
            </a:ext>
            <a:ext uri="{147F2762-F138-4A5C-976F-8EAC2B608ADB}">
              <a16:predDERef xmlns:a16="http://schemas.microsoft.com/office/drawing/2014/main" pred="{72E1F083-0B84-4235-A49D-B29DDC55EFE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0CB50C2E-3392-4542-8B87-E522B4BEF64E}"/>
            </a:ext>
            <a:ext uri="{147F2762-F138-4A5C-976F-8EAC2B608ADB}">
              <a16:predDERef xmlns:a16="http://schemas.microsoft.com/office/drawing/2014/main" pred="{CD0037A4-E528-4C3C-B631-3D03F07D840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387C99A2-15B4-4BD8-BEDD-6FDA2F0BC5B3}"/>
            </a:ext>
            <a:ext uri="{147F2762-F138-4A5C-976F-8EAC2B608ADB}">
              <a16:predDERef xmlns:a16="http://schemas.microsoft.com/office/drawing/2014/main" pred="{0CB50C2E-3392-4542-8B87-E522B4BEF64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1BA171F9-B6A9-4FC1-86D1-63C871F814D7}"/>
            </a:ext>
            <a:ext uri="{147F2762-F138-4A5C-976F-8EAC2B608ADB}">
              <a16:predDERef xmlns:a16="http://schemas.microsoft.com/office/drawing/2014/main" pred="{387C99A2-15B4-4BD8-BEDD-6FDA2F0BC5B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7BDA92A7-CA01-4033-8613-68A422FA26AA}"/>
            </a:ext>
            <a:ext uri="{147F2762-F138-4A5C-976F-8EAC2B608ADB}">
              <a16:predDERef xmlns:a16="http://schemas.microsoft.com/office/drawing/2014/main" pred="{1BA171F9-B6A9-4FC1-86D1-63C871F814D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979A022D-CA7A-4872-BA1C-623696D70A7D}"/>
            </a:ext>
            <a:ext uri="{147F2762-F138-4A5C-976F-8EAC2B608ADB}">
              <a16:predDERef xmlns:a16="http://schemas.microsoft.com/office/drawing/2014/main" pred="{7BDA92A7-CA01-4033-8613-68A422FA26A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F5BCED83-1F54-45A1-B300-1A9E4925E59F}"/>
            </a:ext>
            <a:ext uri="{147F2762-F138-4A5C-976F-8EAC2B608ADB}">
              <a16:predDERef xmlns:a16="http://schemas.microsoft.com/office/drawing/2014/main" pred="{979A022D-CA7A-4872-BA1C-623696D70A7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 name="Picture 10" descr="VIAGS xanh">
          <a:hlinkClick xmlns:r="http://schemas.openxmlformats.org/officeDocument/2006/relationships" r:id="rId1"/>
          <a:extLst>
            <a:ext uri="{FF2B5EF4-FFF2-40B4-BE49-F238E27FC236}">
              <a16:creationId xmlns:a16="http://schemas.microsoft.com/office/drawing/2014/main" id="{89CDC31A-60A1-4224-AF94-C9E158B91E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5" name="Picture 4" descr="VIAGS xanh">
          <a:extLst>
            <a:ext uri="{FF2B5EF4-FFF2-40B4-BE49-F238E27FC236}">
              <a16:creationId xmlns:a16="http://schemas.microsoft.com/office/drawing/2014/main" id="{05E3773B-2B84-4BD4-A7EC-F9764D020E1C}"/>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46" name="Picture 45" descr="VIAGS xanh">
          <a:extLst>
            <a:ext uri="{FF2B5EF4-FFF2-40B4-BE49-F238E27FC236}">
              <a16:creationId xmlns:a16="http://schemas.microsoft.com/office/drawing/2014/main" id="{C1887A13-B2F3-46E9-A734-92E465EC57B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7" name="TextBox 4">
          <a:extLst>
            <a:ext uri="{FF2B5EF4-FFF2-40B4-BE49-F238E27FC236}">
              <a16:creationId xmlns:a16="http://schemas.microsoft.com/office/drawing/2014/main" id="{D6F6A97E-970B-44CC-9078-78858671873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7">
          <a:extLst>
            <a:ext uri="{FF2B5EF4-FFF2-40B4-BE49-F238E27FC236}">
              <a16:creationId xmlns:a16="http://schemas.microsoft.com/office/drawing/2014/main" id="{A996E6CA-6D78-4532-B60E-D41388644C4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8">
          <a:extLst>
            <a:ext uri="{FF2B5EF4-FFF2-40B4-BE49-F238E27FC236}">
              <a16:creationId xmlns:a16="http://schemas.microsoft.com/office/drawing/2014/main" id="{02930A30-8EFF-4C63-902B-5DB0F1D695D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
          <a:extLst>
            <a:ext uri="{FF2B5EF4-FFF2-40B4-BE49-F238E27FC236}">
              <a16:creationId xmlns:a16="http://schemas.microsoft.com/office/drawing/2014/main" id="{9B63880B-8ADE-4AAB-9674-4A722F466E9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7">
          <a:extLst>
            <a:ext uri="{FF2B5EF4-FFF2-40B4-BE49-F238E27FC236}">
              <a16:creationId xmlns:a16="http://schemas.microsoft.com/office/drawing/2014/main" id="{6EA8E11D-2DA0-4BCA-B925-5860384FD73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8">
          <a:extLst>
            <a:ext uri="{FF2B5EF4-FFF2-40B4-BE49-F238E27FC236}">
              <a16:creationId xmlns:a16="http://schemas.microsoft.com/office/drawing/2014/main" id="{B284F0D1-7DE3-4F17-9059-357834F6691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4">
          <a:extLst>
            <a:ext uri="{FF2B5EF4-FFF2-40B4-BE49-F238E27FC236}">
              <a16:creationId xmlns:a16="http://schemas.microsoft.com/office/drawing/2014/main" id="{D0CAE10A-9E8E-42B3-BBD7-323EF55111E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7">
          <a:extLst>
            <a:ext uri="{FF2B5EF4-FFF2-40B4-BE49-F238E27FC236}">
              <a16:creationId xmlns:a16="http://schemas.microsoft.com/office/drawing/2014/main" id="{F5AFE595-CB37-4709-A6D9-96A097F31F9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8">
          <a:extLst>
            <a:ext uri="{FF2B5EF4-FFF2-40B4-BE49-F238E27FC236}">
              <a16:creationId xmlns:a16="http://schemas.microsoft.com/office/drawing/2014/main" id="{45C45F0E-9A14-46B1-9F1D-5A4B6286153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55">
          <a:extLst>
            <a:ext uri="{FF2B5EF4-FFF2-40B4-BE49-F238E27FC236}">
              <a16:creationId xmlns:a16="http://schemas.microsoft.com/office/drawing/2014/main" id="{2E5B29D4-831E-45F3-98E7-F378DF6ABFC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7">
          <a:extLst>
            <a:ext uri="{FF2B5EF4-FFF2-40B4-BE49-F238E27FC236}">
              <a16:creationId xmlns:a16="http://schemas.microsoft.com/office/drawing/2014/main" id="{96F5F104-1233-4336-BC7D-7E5E4AB46CD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8">
          <a:extLst>
            <a:ext uri="{FF2B5EF4-FFF2-40B4-BE49-F238E27FC236}">
              <a16:creationId xmlns:a16="http://schemas.microsoft.com/office/drawing/2014/main" id="{08D5BF10-7320-439D-B40F-109EDDDE5A5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4">
          <a:extLst>
            <a:ext uri="{FF2B5EF4-FFF2-40B4-BE49-F238E27FC236}">
              <a16:creationId xmlns:a16="http://schemas.microsoft.com/office/drawing/2014/main" id="{EC919367-18D5-4C05-9AA6-1957CAF0A74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7">
          <a:extLst>
            <a:ext uri="{FF2B5EF4-FFF2-40B4-BE49-F238E27FC236}">
              <a16:creationId xmlns:a16="http://schemas.microsoft.com/office/drawing/2014/main" id="{04A6EE02-0463-4567-AEC0-BAD9B0C011C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8">
          <a:extLst>
            <a:ext uri="{FF2B5EF4-FFF2-40B4-BE49-F238E27FC236}">
              <a16:creationId xmlns:a16="http://schemas.microsoft.com/office/drawing/2014/main" id="{301A7FF2-EC43-4CCC-8BCF-9DB1B00044B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4">
          <a:extLst>
            <a:ext uri="{FF2B5EF4-FFF2-40B4-BE49-F238E27FC236}">
              <a16:creationId xmlns:a16="http://schemas.microsoft.com/office/drawing/2014/main" id="{75A2A6BE-DFD8-40ED-A33E-E67AA604BCA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7">
          <a:extLst>
            <a:ext uri="{FF2B5EF4-FFF2-40B4-BE49-F238E27FC236}">
              <a16:creationId xmlns:a16="http://schemas.microsoft.com/office/drawing/2014/main" id="{2A7FF6C0-DAB4-4B84-A255-D5DBB088C98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8">
          <a:extLst>
            <a:ext uri="{FF2B5EF4-FFF2-40B4-BE49-F238E27FC236}">
              <a16:creationId xmlns:a16="http://schemas.microsoft.com/office/drawing/2014/main" id="{7C741667-74A7-4B4E-A4EB-21994172C90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4">
          <a:extLst>
            <a:ext uri="{FF2B5EF4-FFF2-40B4-BE49-F238E27FC236}">
              <a16:creationId xmlns:a16="http://schemas.microsoft.com/office/drawing/2014/main" id="{93484F85-3CB9-4E6C-812F-A55D555480D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7">
          <a:extLst>
            <a:ext uri="{FF2B5EF4-FFF2-40B4-BE49-F238E27FC236}">
              <a16:creationId xmlns:a16="http://schemas.microsoft.com/office/drawing/2014/main" id="{BB84E546-29C0-4633-962B-183CEED8285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8">
          <a:extLst>
            <a:ext uri="{FF2B5EF4-FFF2-40B4-BE49-F238E27FC236}">
              <a16:creationId xmlns:a16="http://schemas.microsoft.com/office/drawing/2014/main" id="{E15024F9-B2B1-4A2B-B92D-EEB0D336603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69F1168A-7F5F-418F-BF16-D5A36234459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68">
          <a:extLst>
            <a:ext uri="{FF2B5EF4-FFF2-40B4-BE49-F238E27FC236}">
              <a16:creationId xmlns:a16="http://schemas.microsoft.com/office/drawing/2014/main" id="{ADAF8105-77E3-4A90-B5A9-28F79103445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69">
          <a:extLst>
            <a:ext uri="{FF2B5EF4-FFF2-40B4-BE49-F238E27FC236}">
              <a16:creationId xmlns:a16="http://schemas.microsoft.com/office/drawing/2014/main" id="{489A0E39-8CAF-46E4-9710-FF3349B8D7E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7.xml><?xml version="1.0" encoding="utf-8"?>
<xdr:wsDr xmlns:xdr="http://schemas.openxmlformats.org/drawingml/2006/spreadsheetDrawing" xmlns:a="http://schemas.openxmlformats.org/drawingml/2006/main">
  <xdr:twoCellAnchor>
    <xdr:from>
      <xdr:col>1</xdr:col>
      <xdr:colOff>219076</xdr:colOff>
      <xdr:row>1</xdr:row>
      <xdr:rowOff>113181</xdr:rowOff>
    </xdr:from>
    <xdr:to>
      <xdr:col>2</xdr:col>
      <xdr:colOff>1568824</xdr:colOff>
      <xdr:row>4</xdr:row>
      <xdr:rowOff>67236</xdr:rowOff>
    </xdr:to>
    <xdr:pic>
      <xdr:nvPicPr>
        <xdr:cNvPr id="6" name="Picture 5" descr="VIAGS xanh">
          <a:hlinkClick xmlns:r="http://schemas.openxmlformats.org/officeDocument/2006/relationships" r:id="rId1"/>
          <a:extLst>
            <a:ext uri="{FF2B5EF4-FFF2-40B4-BE49-F238E27FC236}">
              <a16:creationId xmlns:a16="http://schemas.microsoft.com/office/drawing/2014/main" id="{00000000-0008-0000-2F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8626" y="217956"/>
          <a:ext cx="1787898" cy="639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7</xdr:col>
      <xdr:colOff>1491031</xdr:colOff>
      <xdr:row>4</xdr:row>
      <xdr:rowOff>57151</xdr:rowOff>
    </xdr:to>
    <xdr:pic>
      <xdr:nvPicPr>
        <xdr:cNvPr id="7" name="Picture 4" descr="VIAGS xanh">
          <a:extLst>
            <a:ext uri="{FF2B5EF4-FFF2-40B4-BE49-F238E27FC236}">
              <a16:creationId xmlns:a16="http://schemas.microsoft.com/office/drawing/2014/main" id="{00000000-0008-0000-2F00-000007000000}"/>
            </a:ext>
            <a:ext uri="{147F2762-F138-4A5C-976F-8EAC2B608ADB}">
              <a16:predDERef xmlns:a16="http://schemas.microsoft.com/office/drawing/2014/main" pred="{AE6AF020-CDA4-4666-A0EF-C10FF155EE1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43675" y="219076"/>
          <a:ext cx="1700581"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2F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2F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2F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2F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00000000-0008-0000-2F00-00000C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00000000-0008-0000-2F00-00000D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00000000-0008-0000-2F00-00000E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00000000-0008-0000-2F00-00000F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6" name="TextBox 4">
          <a:extLst>
            <a:ext uri="{FF2B5EF4-FFF2-40B4-BE49-F238E27FC236}">
              <a16:creationId xmlns:a16="http://schemas.microsoft.com/office/drawing/2014/main" id="{00000000-0008-0000-2F00-000010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7">
          <a:extLst>
            <a:ext uri="{FF2B5EF4-FFF2-40B4-BE49-F238E27FC236}">
              <a16:creationId xmlns:a16="http://schemas.microsoft.com/office/drawing/2014/main" id="{00000000-0008-0000-2F00-000011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8">
          <a:extLst>
            <a:ext uri="{FF2B5EF4-FFF2-40B4-BE49-F238E27FC236}">
              <a16:creationId xmlns:a16="http://schemas.microsoft.com/office/drawing/2014/main" id="{00000000-0008-0000-2F00-000012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19" name="TextBox 18">
          <a:extLst>
            <a:ext uri="{FF2B5EF4-FFF2-40B4-BE49-F238E27FC236}">
              <a16:creationId xmlns:a16="http://schemas.microsoft.com/office/drawing/2014/main" id="{00000000-0008-0000-2F00-000013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0" name="TextBox 19">
          <a:extLst>
            <a:ext uri="{FF2B5EF4-FFF2-40B4-BE49-F238E27FC236}">
              <a16:creationId xmlns:a16="http://schemas.microsoft.com/office/drawing/2014/main" id="{00000000-0008-0000-2F00-000014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00000000-0008-0000-2F00-00001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00000000-0008-0000-2F00-000016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00000000-0008-0000-2F00-000017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00000000-0008-0000-2F00-000018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00000000-0008-0000-2F00-000019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00000000-0008-0000-2F00-00001A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7" name="TextBox 4">
          <a:extLst>
            <a:ext uri="{FF2B5EF4-FFF2-40B4-BE49-F238E27FC236}">
              <a16:creationId xmlns:a16="http://schemas.microsoft.com/office/drawing/2014/main" id="{00000000-0008-0000-2F00-00001B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00000000-0008-0000-2F00-00001C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00000000-0008-0000-2F00-00001D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0" name="TextBox 29">
          <a:extLst>
            <a:ext uri="{FF2B5EF4-FFF2-40B4-BE49-F238E27FC236}">
              <a16:creationId xmlns:a16="http://schemas.microsoft.com/office/drawing/2014/main" id="{00000000-0008-0000-2F00-00001E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1" name="TextBox 30">
          <a:extLst>
            <a:ext uri="{FF2B5EF4-FFF2-40B4-BE49-F238E27FC236}">
              <a16:creationId xmlns:a16="http://schemas.microsoft.com/office/drawing/2014/main" id="{00000000-0008-0000-2F00-00001F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00000000-0008-0000-2F00-000020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00000000-0008-0000-2F00-000021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00000000-0008-0000-2F00-000022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00000000-0008-0000-2F00-000023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00000000-0008-0000-2F00-00002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00000000-0008-0000-2F00-00002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38" name="TextBox 4">
          <a:extLst>
            <a:ext uri="{FF2B5EF4-FFF2-40B4-BE49-F238E27FC236}">
              <a16:creationId xmlns:a16="http://schemas.microsoft.com/office/drawing/2014/main" id="{00000000-0008-0000-2F00-00002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7">
          <a:extLst>
            <a:ext uri="{FF2B5EF4-FFF2-40B4-BE49-F238E27FC236}">
              <a16:creationId xmlns:a16="http://schemas.microsoft.com/office/drawing/2014/main" id="{00000000-0008-0000-2F00-000027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8">
          <a:extLst>
            <a:ext uri="{FF2B5EF4-FFF2-40B4-BE49-F238E27FC236}">
              <a16:creationId xmlns:a16="http://schemas.microsoft.com/office/drawing/2014/main" id="{00000000-0008-0000-2F00-000028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4" name="Picture 27" descr="VIAGS xanh">
          <a:extLst>
            <a:ext uri="{FF2B5EF4-FFF2-40B4-BE49-F238E27FC236}">
              <a16:creationId xmlns:a16="http://schemas.microsoft.com/office/drawing/2014/main" id="{1A1FAB10-3DDA-438E-903F-4D6C44A431E0}"/>
            </a:ext>
            <a:ext uri="{147F2762-F138-4A5C-976F-8EAC2B608ADB}">
              <a16:predDERef xmlns:a16="http://schemas.microsoft.com/office/drawing/2014/main" pred="{59AE9CB8-3441-4699-850F-AB41044E3A4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4F814260-A965-4B0E-8B35-E44D6C369E4B}"/>
            </a:ext>
            <a:ext uri="{147F2762-F138-4A5C-976F-8EAC2B608ADB}">
              <a16:predDERef xmlns:a16="http://schemas.microsoft.com/office/drawing/2014/main" pred="{1A1FAB10-3DDA-438E-903F-4D6C44A431E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9463B91F-4B3A-4C4E-8867-371B68A38C83}"/>
            </a:ext>
            <a:ext uri="{147F2762-F138-4A5C-976F-8EAC2B608ADB}">
              <a16:predDERef xmlns:a16="http://schemas.microsoft.com/office/drawing/2014/main" pred="{4F814260-A965-4B0E-8B35-E44D6C369E4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1E80FF78-C8DB-40B1-9579-241BE6B8A9E5}"/>
            </a:ext>
            <a:ext uri="{147F2762-F138-4A5C-976F-8EAC2B608ADB}">
              <a16:predDERef xmlns:a16="http://schemas.microsoft.com/office/drawing/2014/main" pred="{9463B91F-4B3A-4C4E-8867-371B68A38C8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262C3EA9-5138-4A47-B699-151E7C4E50C3}"/>
            </a:ext>
            <a:ext uri="{147F2762-F138-4A5C-976F-8EAC2B608ADB}">
              <a16:predDERef xmlns:a16="http://schemas.microsoft.com/office/drawing/2014/main" pred="{1E80FF78-C8DB-40B1-9579-241BE6B8A9E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3479185B-6E22-4D26-A12F-65F941CC2F82}"/>
            </a:ext>
            <a:ext uri="{147F2762-F138-4A5C-976F-8EAC2B608ADB}">
              <a16:predDERef xmlns:a16="http://schemas.microsoft.com/office/drawing/2014/main" pred="{262C3EA9-5138-4A47-B699-151E7C4E50C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376B9A76-6040-42B9-A8B6-E5EA66B048A4}"/>
            </a:ext>
            <a:ext uri="{147F2762-F138-4A5C-976F-8EAC2B608ADB}">
              <a16:predDERef xmlns:a16="http://schemas.microsoft.com/office/drawing/2014/main" pred="{3479185B-6E22-4D26-A12F-65F941CC2F8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8AB62111-B8B5-4C02-A039-8218794B52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3" name="Picture 4" descr="VIAGS xanh">
          <a:extLst>
            <a:ext uri="{FF2B5EF4-FFF2-40B4-BE49-F238E27FC236}">
              <a16:creationId xmlns:a16="http://schemas.microsoft.com/office/drawing/2014/main" id="{3DA8BE31-A994-467A-801E-6AA8E462645C}"/>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46" name="Picture 45" descr="VIAGS xanh">
          <a:extLst>
            <a:ext uri="{FF2B5EF4-FFF2-40B4-BE49-F238E27FC236}">
              <a16:creationId xmlns:a16="http://schemas.microsoft.com/office/drawing/2014/main" id="{B26E37C9-9EEC-49BE-AA39-3A704727779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7" name="TextBox 4">
          <a:extLst>
            <a:ext uri="{FF2B5EF4-FFF2-40B4-BE49-F238E27FC236}">
              <a16:creationId xmlns:a16="http://schemas.microsoft.com/office/drawing/2014/main" id="{C613B1AE-5A5E-46DC-A340-99EC954527E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7">
          <a:extLst>
            <a:ext uri="{FF2B5EF4-FFF2-40B4-BE49-F238E27FC236}">
              <a16:creationId xmlns:a16="http://schemas.microsoft.com/office/drawing/2014/main" id="{810DBA13-D2DD-4699-BC6E-4E74BB69890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8">
          <a:extLst>
            <a:ext uri="{FF2B5EF4-FFF2-40B4-BE49-F238E27FC236}">
              <a16:creationId xmlns:a16="http://schemas.microsoft.com/office/drawing/2014/main" id="{3FF40546-A1AE-4399-BADC-21BF2F2B6D1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
          <a:extLst>
            <a:ext uri="{FF2B5EF4-FFF2-40B4-BE49-F238E27FC236}">
              <a16:creationId xmlns:a16="http://schemas.microsoft.com/office/drawing/2014/main" id="{0E7D0EE5-2C4E-4F6A-B743-14964BB602C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7">
          <a:extLst>
            <a:ext uri="{FF2B5EF4-FFF2-40B4-BE49-F238E27FC236}">
              <a16:creationId xmlns:a16="http://schemas.microsoft.com/office/drawing/2014/main" id="{5B767C92-B4BB-4BF3-9EAF-6D888479A24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8">
          <a:extLst>
            <a:ext uri="{FF2B5EF4-FFF2-40B4-BE49-F238E27FC236}">
              <a16:creationId xmlns:a16="http://schemas.microsoft.com/office/drawing/2014/main" id="{1B464EEA-346E-422B-9B37-4DC7D6DC31C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4">
          <a:extLst>
            <a:ext uri="{FF2B5EF4-FFF2-40B4-BE49-F238E27FC236}">
              <a16:creationId xmlns:a16="http://schemas.microsoft.com/office/drawing/2014/main" id="{96289F2B-8BD8-46EF-8DA1-69B79DAB249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7">
          <a:extLst>
            <a:ext uri="{FF2B5EF4-FFF2-40B4-BE49-F238E27FC236}">
              <a16:creationId xmlns:a16="http://schemas.microsoft.com/office/drawing/2014/main" id="{65EBFB5A-DA35-4771-9D40-B3BA2423F2E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8">
          <a:extLst>
            <a:ext uri="{FF2B5EF4-FFF2-40B4-BE49-F238E27FC236}">
              <a16:creationId xmlns:a16="http://schemas.microsoft.com/office/drawing/2014/main" id="{45E0EA3D-2636-43A2-9899-E1B9772CC57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55">
          <a:extLst>
            <a:ext uri="{FF2B5EF4-FFF2-40B4-BE49-F238E27FC236}">
              <a16:creationId xmlns:a16="http://schemas.microsoft.com/office/drawing/2014/main" id="{C49324D8-E2EC-4B4C-9741-B5EC4AACB76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7">
          <a:extLst>
            <a:ext uri="{FF2B5EF4-FFF2-40B4-BE49-F238E27FC236}">
              <a16:creationId xmlns:a16="http://schemas.microsoft.com/office/drawing/2014/main" id="{ED879295-D1E4-4210-9084-D2955DABFF8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8">
          <a:extLst>
            <a:ext uri="{FF2B5EF4-FFF2-40B4-BE49-F238E27FC236}">
              <a16:creationId xmlns:a16="http://schemas.microsoft.com/office/drawing/2014/main" id="{6D22C15D-7867-4A52-B571-813CD85E451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4">
          <a:extLst>
            <a:ext uri="{FF2B5EF4-FFF2-40B4-BE49-F238E27FC236}">
              <a16:creationId xmlns:a16="http://schemas.microsoft.com/office/drawing/2014/main" id="{BF8226B6-3697-4031-AAEB-40B6C32B4E2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7">
          <a:extLst>
            <a:ext uri="{FF2B5EF4-FFF2-40B4-BE49-F238E27FC236}">
              <a16:creationId xmlns:a16="http://schemas.microsoft.com/office/drawing/2014/main" id="{200733D2-656F-4195-8EB4-D6D7258791E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8">
          <a:extLst>
            <a:ext uri="{FF2B5EF4-FFF2-40B4-BE49-F238E27FC236}">
              <a16:creationId xmlns:a16="http://schemas.microsoft.com/office/drawing/2014/main" id="{C05E7B72-B001-48C0-A1D2-A93ABADE803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4">
          <a:extLst>
            <a:ext uri="{FF2B5EF4-FFF2-40B4-BE49-F238E27FC236}">
              <a16:creationId xmlns:a16="http://schemas.microsoft.com/office/drawing/2014/main" id="{8843A1FB-C902-45DC-B898-38BB90DF757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7">
          <a:extLst>
            <a:ext uri="{FF2B5EF4-FFF2-40B4-BE49-F238E27FC236}">
              <a16:creationId xmlns:a16="http://schemas.microsoft.com/office/drawing/2014/main" id="{CB3F81C1-5E7D-498F-9F45-A458F529C8D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8">
          <a:extLst>
            <a:ext uri="{FF2B5EF4-FFF2-40B4-BE49-F238E27FC236}">
              <a16:creationId xmlns:a16="http://schemas.microsoft.com/office/drawing/2014/main" id="{D97942A7-58C0-44E6-B3BC-4B081DC9B2C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4">
          <a:extLst>
            <a:ext uri="{FF2B5EF4-FFF2-40B4-BE49-F238E27FC236}">
              <a16:creationId xmlns:a16="http://schemas.microsoft.com/office/drawing/2014/main" id="{86BF0E89-DA21-4991-BEBD-8B599833B3E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7">
          <a:extLst>
            <a:ext uri="{FF2B5EF4-FFF2-40B4-BE49-F238E27FC236}">
              <a16:creationId xmlns:a16="http://schemas.microsoft.com/office/drawing/2014/main" id="{6E448505-5A4E-446C-B80B-40D31CB4113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8">
          <a:extLst>
            <a:ext uri="{FF2B5EF4-FFF2-40B4-BE49-F238E27FC236}">
              <a16:creationId xmlns:a16="http://schemas.microsoft.com/office/drawing/2014/main" id="{3ECA728F-7853-4F75-B506-3ADC997E6AC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7E7897FD-5A29-4818-9601-1795D28A717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68">
          <a:extLst>
            <a:ext uri="{FF2B5EF4-FFF2-40B4-BE49-F238E27FC236}">
              <a16:creationId xmlns:a16="http://schemas.microsoft.com/office/drawing/2014/main" id="{22BC9668-4138-47E0-B42C-1E4776876F5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69">
          <a:extLst>
            <a:ext uri="{FF2B5EF4-FFF2-40B4-BE49-F238E27FC236}">
              <a16:creationId xmlns:a16="http://schemas.microsoft.com/office/drawing/2014/main" id="{14B8094F-2091-4743-88EC-172EA3B3BE9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8.xml><?xml version="1.0" encoding="utf-8"?>
<xdr:wsDr xmlns:xdr="http://schemas.openxmlformats.org/drawingml/2006/spreadsheetDrawing" xmlns:a="http://schemas.openxmlformats.org/drawingml/2006/main">
  <xdr:twoCellAnchor>
    <xdr:from>
      <xdr:col>1</xdr:col>
      <xdr:colOff>85726</xdr:colOff>
      <xdr:row>1</xdr:row>
      <xdr:rowOff>95250</xdr:rowOff>
    </xdr:from>
    <xdr:to>
      <xdr:col>3</xdr:col>
      <xdr:colOff>657226</xdr:colOff>
      <xdr:row>4</xdr:row>
      <xdr:rowOff>133349</xdr:rowOff>
    </xdr:to>
    <xdr:pic>
      <xdr:nvPicPr>
        <xdr:cNvPr id="2" name="Picture 1" descr="VIAGS xanh">
          <a:hlinkClick xmlns:r="http://schemas.openxmlformats.org/officeDocument/2006/relationships" r:id="rId1"/>
          <a:extLst>
            <a:ext uri="{FF2B5EF4-FFF2-40B4-BE49-F238E27FC236}">
              <a16:creationId xmlns:a16="http://schemas.microsoft.com/office/drawing/2014/main" id="{00000000-0008-0000-30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5276" y="200025"/>
          <a:ext cx="2743200" cy="723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114300</xdr:rowOff>
    </xdr:from>
    <xdr:to>
      <xdr:col>8</xdr:col>
      <xdr:colOff>514350</xdr:colOff>
      <xdr:row>4</xdr:row>
      <xdr:rowOff>57150</xdr:rowOff>
    </xdr:to>
    <xdr:pic>
      <xdr:nvPicPr>
        <xdr:cNvPr id="3" name="Picture 4" descr="VIAGS xanh">
          <a:extLst>
            <a:ext uri="{FF2B5EF4-FFF2-40B4-BE49-F238E27FC236}">
              <a16:creationId xmlns:a16="http://schemas.microsoft.com/office/drawing/2014/main" id="{00000000-0008-0000-3000-000003000000}"/>
            </a:ext>
            <a:ext uri="{147F2762-F138-4A5C-976F-8EAC2B608ADB}">
              <a16:predDERef xmlns:a16="http://schemas.microsoft.com/office/drawing/2014/main" pred="{00000000-0008-0000-3000-000002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43675" y="219075"/>
          <a:ext cx="24003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30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3000-00000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3000-00000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30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30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30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30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30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00000000-0008-0000-3000-00000C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00000000-0008-0000-3000-00000D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00000000-0008-0000-3000-00000E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15" name="TextBox 14">
          <a:extLst>
            <a:ext uri="{FF2B5EF4-FFF2-40B4-BE49-F238E27FC236}">
              <a16:creationId xmlns:a16="http://schemas.microsoft.com/office/drawing/2014/main" id="{00000000-0008-0000-3000-00000F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6" name="TextBox 15">
          <a:extLst>
            <a:ext uri="{FF2B5EF4-FFF2-40B4-BE49-F238E27FC236}">
              <a16:creationId xmlns:a16="http://schemas.microsoft.com/office/drawing/2014/main" id="{00000000-0008-0000-3000-000010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7" name="TextBox 16">
          <a:extLst>
            <a:ext uri="{FF2B5EF4-FFF2-40B4-BE49-F238E27FC236}">
              <a16:creationId xmlns:a16="http://schemas.microsoft.com/office/drawing/2014/main" id="{00000000-0008-0000-3000-000011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8" name="TextBox 17">
          <a:extLst>
            <a:ext uri="{FF2B5EF4-FFF2-40B4-BE49-F238E27FC236}">
              <a16:creationId xmlns:a16="http://schemas.microsoft.com/office/drawing/2014/main" id="{00000000-0008-0000-3000-000012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9" name="TextBox 18">
          <a:extLst>
            <a:ext uri="{FF2B5EF4-FFF2-40B4-BE49-F238E27FC236}">
              <a16:creationId xmlns:a16="http://schemas.microsoft.com/office/drawing/2014/main" id="{00000000-0008-0000-3000-000013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0" name="TextBox 19">
          <a:extLst>
            <a:ext uri="{FF2B5EF4-FFF2-40B4-BE49-F238E27FC236}">
              <a16:creationId xmlns:a16="http://schemas.microsoft.com/office/drawing/2014/main" id="{00000000-0008-0000-3000-000014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00000000-0008-0000-3000-00001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00000000-0008-0000-3000-000016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3" name="TextBox 4">
          <a:extLst>
            <a:ext uri="{FF2B5EF4-FFF2-40B4-BE49-F238E27FC236}">
              <a16:creationId xmlns:a16="http://schemas.microsoft.com/office/drawing/2014/main" id="{00000000-0008-0000-3000-000017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7">
          <a:extLst>
            <a:ext uri="{FF2B5EF4-FFF2-40B4-BE49-F238E27FC236}">
              <a16:creationId xmlns:a16="http://schemas.microsoft.com/office/drawing/2014/main" id="{00000000-0008-0000-3000-00001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8">
          <a:extLst>
            <a:ext uri="{FF2B5EF4-FFF2-40B4-BE49-F238E27FC236}">
              <a16:creationId xmlns:a16="http://schemas.microsoft.com/office/drawing/2014/main" id="{00000000-0008-0000-3000-00001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6" name="TextBox 25">
          <a:extLst>
            <a:ext uri="{FF2B5EF4-FFF2-40B4-BE49-F238E27FC236}">
              <a16:creationId xmlns:a16="http://schemas.microsoft.com/office/drawing/2014/main" id="{00000000-0008-0000-3000-00001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7" name="TextBox 26">
          <a:extLst>
            <a:ext uri="{FF2B5EF4-FFF2-40B4-BE49-F238E27FC236}">
              <a16:creationId xmlns:a16="http://schemas.microsoft.com/office/drawing/2014/main" id="{00000000-0008-0000-3000-00001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8" name="TextBox 27">
          <a:extLst>
            <a:ext uri="{FF2B5EF4-FFF2-40B4-BE49-F238E27FC236}">
              <a16:creationId xmlns:a16="http://schemas.microsoft.com/office/drawing/2014/main" id="{00000000-0008-0000-3000-00001C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9" name="TextBox 28">
          <a:extLst>
            <a:ext uri="{FF2B5EF4-FFF2-40B4-BE49-F238E27FC236}">
              <a16:creationId xmlns:a16="http://schemas.microsoft.com/office/drawing/2014/main" id="{00000000-0008-0000-3000-00001D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0" name="TextBox 29">
          <a:extLst>
            <a:ext uri="{FF2B5EF4-FFF2-40B4-BE49-F238E27FC236}">
              <a16:creationId xmlns:a16="http://schemas.microsoft.com/office/drawing/2014/main" id="{00000000-0008-0000-3000-00001E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1" name="TextBox 30">
          <a:extLst>
            <a:ext uri="{FF2B5EF4-FFF2-40B4-BE49-F238E27FC236}">
              <a16:creationId xmlns:a16="http://schemas.microsoft.com/office/drawing/2014/main" id="{00000000-0008-0000-3000-00001F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00000000-0008-0000-3000-000020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00000000-0008-0000-3000-000021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00000000-0008-0000-3000-000022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00000000-0008-0000-3000-000023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00000000-0008-0000-3000-000024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39" name="Picture 27" descr="VIAGS xanh">
          <a:extLst>
            <a:ext uri="{FF2B5EF4-FFF2-40B4-BE49-F238E27FC236}">
              <a16:creationId xmlns:a16="http://schemas.microsoft.com/office/drawing/2014/main" id="{AE1FD1A4-EFA5-447A-B610-87668536C70D}"/>
            </a:ext>
            <a:ext uri="{147F2762-F138-4A5C-976F-8EAC2B608ADB}">
              <a16:predDERef xmlns:a16="http://schemas.microsoft.com/office/drawing/2014/main" pred="{61C33094-E894-45AF-BEA4-185B2EF386F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26FCD483-4B8B-4932-8878-C0329F6369D9}"/>
            </a:ext>
            <a:ext uri="{147F2762-F138-4A5C-976F-8EAC2B608ADB}">
              <a16:predDERef xmlns:a16="http://schemas.microsoft.com/office/drawing/2014/main" pred="{AE1FD1A4-EFA5-447A-B610-87668536C70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CF1B9709-B000-416E-B70F-4CF42E98DB16}"/>
            </a:ext>
            <a:ext uri="{147F2762-F138-4A5C-976F-8EAC2B608ADB}">
              <a16:predDERef xmlns:a16="http://schemas.microsoft.com/office/drawing/2014/main" pred="{26FCD483-4B8B-4932-8878-C0329F6369D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57E56E46-F587-4AC6-A0E2-7A707C244444}"/>
            </a:ext>
            <a:ext uri="{147F2762-F138-4A5C-976F-8EAC2B608ADB}">
              <a16:predDERef xmlns:a16="http://schemas.microsoft.com/office/drawing/2014/main" pred="{CF1B9709-B000-416E-B70F-4CF42E98DB1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1F77FF05-BE32-4183-B78A-33DA26E832E5}"/>
            </a:ext>
            <a:ext uri="{147F2762-F138-4A5C-976F-8EAC2B608ADB}">
              <a16:predDERef xmlns:a16="http://schemas.microsoft.com/office/drawing/2014/main" pred="{57E56E46-F587-4AC6-A0E2-7A707C24444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8A517E00-355E-4FAA-AF39-07BB44ACEDC2}"/>
            </a:ext>
            <a:ext uri="{147F2762-F138-4A5C-976F-8EAC2B608ADB}">
              <a16:predDERef xmlns:a16="http://schemas.microsoft.com/office/drawing/2014/main" pred="{1F77FF05-BE32-4183-B78A-33DA26E832E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B9DEBCF4-4E52-4188-98FB-32DE89C5E0F3}"/>
            </a:ext>
            <a:ext uri="{147F2762-F138-4A5C-976F-8EAC2B608ADB}">
              <a16:predDERef xmlns:a16="http://schemas.microsoft.com/office/drawing/2014/main" pred="{8A517E00-355E-4FAA-AF39-07BB44ACEDC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37" name="Picture 10" descr="VIAGS xanh">
          <a:hlinkClick xmlns:r="http://schemas.openxmlformats.org/officeDocument/2006/relationships" r:id="rId1"/>
          <a:extLst>
            <a:ext uri="{FF2B5EF4-FFF2-40B4-BE49-F238E27FC236}">
              <a16:creationId xmlns:a16="http://schemas.microsoft.com/office/drawing/2014/main" id="{3EC3A0EE-02B5-4E31-BF32-1AD84D2648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38" name="Picture 4" descr="VIAGS xanh">
          <a:extLst>
            <a:ext uri="{FF2B5EF4-FFF2-40B4-BE49-F238E27FC236}">
              <a16:creationId xmlns:a16="http://schemas.microsoft.com/office/drawing/2014/main" id="{9BF4685E-FBB8-454D-AAA2-F227090A94A1}"/>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46" name="Picture 45" descr="VIAGS xanh">
          <a:extLst>
            <a:ext uri="{FF2B5EF4-FFF2-40B4-BE49-F238E27FC236}">
              <a16:creationId xmlns:a16="http://schemas.microsoft.com/office/drawing/2014/main" id="{55DEB346-BA85-4293-8343-0E2EA398694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7" name="TextBox 4">
          <a:extLst>
            <a:ext uri="{FF2B5EF4-FFF2-40B4-BE49-F238E27FC236}">
              <a16:creationId xmlns:a16="http://schemas.microsoft.com/office/drawing/2014/main" id="{49C15D8E-CFDA-4FFD-BD00-D22613BE244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7">
          <a:extLst>
            <a:ext uri="{FF2B5EF4-FFF2-40B4-BE49-F238E27FC236}">
              <a16:creationId xmlns:a16="http://schemas.microsoft.com/office/drawing/2014/main" id="{0135636B-5C35-486D-8ECB-3D386AEF600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8">
          <a:extLst>
            <a:ext uri="{FF2B5EF4-FFF2-40B4-BE49-F238E27FC236}">
              <a16:creationId xmlns:a16="http://schemas.microsoft.com/office/drawing/2014/main" id="{44AC13AE-D1B5-4399-AFC4-6F1F7FC7008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
          <a:extLst>
            <a:ext uri="{FF2B5EF4-FFF2-40B4-BE49-F238E27FC236}">
              <a16:creationId xmlns:a16="http://schemas.microsoft.com/office/drawing/2014/main" id="{ED7CA62F-C54B-425E-AC8C-D37F2F26E63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7">
          <a:extLst>
            <a:ext uri="{FF2B5EF4-FFF2-40B4-BE49-F238E27FC236}">
              <a16:creationId xmlns:a16="http://schemas.microsoft.com/office/drawing/2014/main" id="{AC510876-165D-4AD3-8E03-F2DBB4A9B07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8">
          <a:extLst>
            <a:ext uri="{FF2B5EF4-FFF2-40B4-BE49-F238E27FC236}">
              <a16:creationId xmlns:a16="http://schemas.microsoft.com/office/drawing/2014/main" id="{DF1A86D1-5787-42A6-AC67-E67A249BDA0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4">
          <a:extLst>
            <a:ext uri="{FF2B5EF4-FFF2-40B4-BE49-F238E27FC236}">
              <a16:creationId xmlns:a16="http://schemas.microsoft.com/office/drawing/2014/main" id="{7605A526-0BF2-4E44-A31A-0518D946841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7">
          <a:extLst>
            <a:ext uri="{FF2B5EF4-FFF2-40B4-BE49-F238E27FC236}">
              <a16:creationId xmlns:a16="http://schemas.microsoft.com/office/drawing/2014/main" id="{9174B7CA-2E19-46F5-A64D-4B205C501CF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8">
          <a:extLst>
            <a:ext uri="{FF2B5EF4-FFF2-40B4-BE49-F238E27FC236}">
              <a16:creationId xmlns:a16="http://schemas.microsoft.com/office/drawing/2014/main" id="{95C64EE2-406D-44FA-84AD-D13D3F501E6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55">
          <a:extLst>
            <a:ext uri="{FF2B5EF4-FFF2-40B4-BE49-F238E27FC236}">
              <a16:creationId xmlns:a16="http://schemas.microsoft.com/office/drawing/2014/main" id="{B4BF48BD-A778-4CF7-966C-09D00984508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7">
          <a:extLst>
            <a:ext uri="{FF2B5EF4-FFF2-40B4-BE49-F238E27FC236}">
              <a16:creationId xmlns:a16="http://schemas.microsoft.com/office/drawing/2014/main" id="{25770DB4-ABC9-4D92-9F07-EA9D521A8DB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8">
          <a:extLst>
            <a:ext uri="{FF2B5EF4-FFF2-40B4-BE49-F238E27FC236}">
              <a16:creationId xmlns:a16="http://schemas.microsoft.com/office/drawing/2014/main" id="{6195E8D2-EB70-444C-A2FE-CCB9BE591A9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4">
          <a:extLst>
            <a:ext uri="{FF2B5EF4-FFF2-40B4-BE49-F238E27FC236}">
              <a16:creationId xmlns:a16="http://schemas.microsoft.com/office/drawing/2014/main" id="{7820F9A8-3126-4333-BDD6-9E6EDA462E3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7">
          <a:extLst>
            <a:ext uri="{FF2B5EF4-FFF2-40B4-BE49-F238E27FC236}">
              <a16:creationId xmlns:a16="http://schemas.microsoft.com/office/drawing/2014/main" id="{9F1E70DB-386D-4007-A430-8655301F40B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8">
          <a:extLst>
            <a:ext uri="{FF2B5EF4-FFF2-40B4-BE49-F238E27FC236}">
              <a16:creationId xmlns:a16="http://schemas.microsoft.com/office/drawing/2014/main" id="{83592DF9-0079-4716-BBA2-C0A2A8400EB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4">
          <a:extLst>
            <a:ext uri="{FF2B5EF4-FFF2-40B4-BE49-F238E27FC236}">
              <a16:creationId xmlns:a16="http://schemas.microsoft.com/office/drawing/2014/main" id="{005F5561-78A5-4B94-80A2-8A44BA740AD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7">
          <a:extLst>
            <a:ext uri="{FF2B5EF4-FFF2-40B4-BE49-F238E27FC236}">
              <a16:creationId xmlns:a16="http://schemas.microsoft.com/office/drawing/2014/main" id="{617879F0-3634-4255-B6D6-A3FB34E688D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8">
          <a:extLst>
            <a:ext uri="{FF2B5EF4-FFF2-40B4-BE49-F238E27FC236}">
              <a16:creationId xmlns:a16="http://schemas.microsoft.com/office/drawing/2014/main" id="{3BC3D730-3258-4766-90D0-07BB5E5F6BA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4">
          <a:extLst>
            <a:ext uri="{FF2B5EF4-FFF2-40B4-BE49-F238E27FC236}">
              <a16:creationId xmlns:a16="http://schemas.microsoft.com/office/drawing/2014/main" id="{784B20FA-BABF-4C1F-8072-A7644AA17B0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7">
          <a:extLst>
            <a:ext uri="{FF2B5EF4-FFF2-40B4-BE49-F238E27FC236}">
              <a16:creationId xmlns:a16="http://schemas.microsoft.com/office/drawing/2014/main" id="{123BD1EF-CB7E-4373-B0EB-D25259D7891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8">
          <a:extLst>
            <a:ext uri="{FF2B5EF4-FFF2-40B4-BE49-F238E27FC236}">
              <a16:creationId xmlns:a16="http://schemas.microsoft.com/office/drawing/2014/main" id="{2A547DF1-2904-43AD-AFA2-6A3FDC7AC5F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327FE349-C210-4FFB-BCC7-EF868B42B5B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68">
          <a:extLst>
            <a:ext uri="{FF2B5EF4-FFF2-40B4-BE49-F238E27FC236}">
              <a16:creationId xmlns:a16="http://schemas.microsoft.com/office/drawing/2014/main" id="{64022D20-0C6A-4FDF-9A85-D36102BC875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69">
          <a:extLst>
            <a:ext uri="{FF2B5EF4-FFF2-40B4-BE49-F238E27FC236}">
              <a16:creationId xmlns:a16="http://schemas.microsoft.com/office/drawing/2014/main" id="{3EC3B3BE-94F1-4F27-8A7F-6DE9A2DFE1B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9.xml><?xml version="1.0" encoding="utf-8"?>
<xdr:wsDr xmlns:xdr="http://schemas.openxmlformats.org/drawingml/2006/spreadsheetDrawing" xmlns:a="http://schemas.openxmlformats.org/drawingml/2006/main">
  <xdr:twoCellAnchor>
    <xdr:from>
      <xdr:col>1</xdr:col>
      <xdr:colOff>19050</xdr:colOff>
      <xdr:row>1</xdr:row>
      <xdr:rowOff>85725</xdr:rowOff>
    </xdr:from>
    <xdr:to>
      <xdr:col>3</xdr:col>
      <xdr:colOff>685800</xdr:colOff>
      <xdr:row>4</xdr:row>
      <xdr:rowOff>123825</xdr:rowOff>
    </xdr:to>
    <xdr:pic>
      <xdr:nvPicPr>
        <xdr:cNvPr id="2" name="Picture 1" descr="VIAGS xanh">
          <a:hlinkClick xmlns:r="http://schemas.openxmlformats.org/officeDocument/2006/relationships" r:id="rId1"/>
          <a:extLst>
            <a:ext uri="{FF2B5EF4-FFF2-40B4-BE49-F238E27FC236}">
              <a16:creationId xmlns:a16="http://schemas.microsoft.com/office/drawing/2014/main" id="{00000000-0008-0000-31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190500"/>
          <a:ext cx="283845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7</xdr:col>
      <xdr:colOff>1491031</xdr:colOff>
      <xdr:row>4</xdr:row>
      <xdr:rowOff>57151</xdr:rowOff>
    </xdr:to>
    <xdr:pic>
      <xdr:nvPicPr>
        <xdr:cNvPr id="3" name="Picture 4" descr="VIAGS xanh">
          <a:extLst>
            <a:ext uri="{FF2B5EF4-FFF2-40B4-BE49-F238E27FC236}">
              <a16:creationId xmlns:a16="http://schemas.microsoft.com/office/drawing/2014/main" id="{00000000-0008-0000-3100-000003000000}"/>
            </a:ext>
            <a:ext uri="{147F2762-F138-4A5C-976F-8EAC2B608ADB}">
              <a16:predDERef xmlns:a16="http://schemas.microsoft.com/office/drawing/2014/main" pred="{B0B25292-BCC9-4243-A79B-E4D3B424B40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43675" y="219076"/>
          <a:ext cx="1700581"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3100-000004000000}"/>
            </a:ext>
          </a:extLst>
        </xdr:cNvPr>
        <xdr:cNvSpPr txBox="1"/>
      </xdr:nvSpPr>
      <xdr:spPr>
        <a:xfrm>
          <a:off x="127825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twoCellAnchor>
    <xdr:from>
      <xdr:col>14</xdr:col>
      <xdr:colOff>135255</xdr:colOff>
      <xdr:row>1</xdr:row>
      <xdr:rowOff>173355</xdr:rowOff>
    </xdr:from>
    <xdr:to>
      <xdr:col>15</xdr:col>
      <xdr:colOff>1493520</xdr:colOff>
      <xdr:row>4</xdr:row>
      <xdr:rowOff>5715</xdr:rowOff>
    </xdr:to>
    <xdr:pic>
      <xdr:nvPicPr>
        <xdr:cNvPr id="5" name="Picture 4" descr="VIAGS xanh">
          <a:extLst>
            <a:ext uri="{FF2B5EF4-FFF2-40B4-BE49-F238E27FC236}">
              <a16:creationId xmlns:a16="http://schemas.microsoft.com/office/drawing/2014/main" id="{00000000-0008-0000-31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917805" y="278130"/>
          <a:ext cx="1701165" cy="518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07822" cy="264560"/>
    <xdr:sp macro="" textlink="">
      <xdr:nvSpPr>
        <xdr:cNvPr id="6" name="TextBox 5">
          <a:extLst>
            <a:ext uri="{FF2B5EF4-FFF2-40B4-BE49-F238E27FC236}">
              <a16:creationId xmlns:a16="http://schemas.microsoft.com/office/drawing/2014/main" id="{00000000-0008-0000-3100-000006000000}"/>
            </a:ext>
          </a:extLst>
        </xdr:cNvPr>
        <xdr:cNvSpPr txBox="1"/>
      </xdr:nvSpPr>
      <xdr:spPr>
        <a:xfrm>
          <a:off x="127825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 name="TextBox 6">
          <a:extLst>
            <a:ext uri="{FF2B5EF4-FFF2-40B4-BE49-F238E27FC236}">
              <a16:creationId xmlns:a16="http://schemas.microsoft.com/office/drawing/2014/main" id="{00000000-0008-0000-3100-000007000000}"/>
            </a:ext>
          </a:extLst>
        </xdr:cNvPr>
        <xdr:cNvSpPr txBox="1"/>
      </xdr:nvSpPr>
      <xdr:spPr>
        <a:xfrm>
          <a:off x="127825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8" name="TextBox 7">
          <a:extLst>
            <a:ext uri="{FF2B5EF4-FFF2-40B4-BE49-F238E27FC236}">
              <a16:creationId xmlns:a16="http://schemas.microsoft.com/office/drawing/2014/main" id="{00000000-0008-0000-3100-000008000000}"/>
            </a:ext>
          </a:extLst>
        </xdr:cNvPr>
        <xdr:cNvSpPr txBox="1"/>
      </xdr:nvSpPr>
      <xdr:spPr>
        <a:xfrm>
          <a:off x="127825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9" name="TextBox 8">
          <a:extLst>
            <a:ext uri="{FF2B5EF4-FFF2-40B4-BE49-F238E27FC236}">
              <a16:creationId xmlns:a16="http://schemas.microsoft.com/office/drawing/2014/main" id="{00000000-0008-0000-3100-000009000000}"/>
            </a:ext>
          </a:extLst>
        </xdr:cNvPr>
        <xdr:cNvSpPr txBox="1"/>
      </xdr:nvSpPr>
      <xdr:spPr>
        <a:xfrm>
          <a:off x="127825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 name="TextBox 9">
          <a:extLst>
            <a:ext uri="{FF2B5EF4-FFF2-40B4-BE49-F238E27FC236}">
              <a16:creationId xmlns:a16="http://schemas.microsoft.com/office/drawing/2014/main" id="{00000000-0008-0000-3100-00000A000000}"/>
            </a:ext>
          </a:extLst>
        </xdr:cNvPr>
        <xdr:cNvSpPr txBox="1"/>
      </xdr:nvSpPr>
      <xdr:spPr>
        <a:xfrm>
          <a:off x="127825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 name="TextBox 10">
          <a:extLst>
            <a:ext uri="{FF2B5EF4-FFF2-40B4-BE49-F238E27FC236}">
              <a16:creationId xmlns:a16="http://schemas.microsoft.com/office/drawing/2014/main" id="{00000000-0008-0000-3100-00000B000000}"/>
            </a:ext>
          </a:extLst>
        </xdr:cNvPr>
        <xdr:cNvSpPr txBox="1"/>
      </xdr:nvSpPr>
      <xdr:spPr>
        <a:xfrm>
          <a:off x="127825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 name="TextBox 11">
          <a:extLst>
            <a:ext uri="{FF2B5EF4-FFF2-40B4-BE49-F238E27FC236}">
              <a16:creationId xmlns:a16="http://schemas.microsoft.com/office/drawing/2014/main" id="{00000000-0008-0000-3100-00000C000000}"/>
            </a:ext>
          </a:extLst>
        </xdr:cNvPr>
        <xdr:cNvSpPr txBox="1"/>
      </xdr:nvSpPr>
      <xdr:spPr>
        <a:xfrm>
          <a:off x="127825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3" name="TextBox 12">
          <a:extLst>
            <a:ext uri="{FF2B5EF4-FFF2-40B4-BE49-F238E27FC236}">
              <a16:creationId xmlns:a16="http://schemas.microsoft.com/office/drawing/2014/main" id="{00000000-0008-0000-3100-00000D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4" name="TextBox 13">
          <a:extLst>
            <a:ext uri="{FF2B5EF4-FFF2-40B4-BE49-F238E27FC236}">
              <a16:creationId xmlns:a16="http://schemas.microsoft.com/office/drawing/2014/main" id="{00000000-0008-0000-3100-00000E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5" name="TextBox 14">
          <a:extLst>
            <a:ext uri="{FF2B5EF4-FFF2-40B4-BE49-F238E27FC236}">
              <a16:creationId xmlns:a16="http://schemas.microsoft.com/office/drawing/2014/main" id="{00000000-0008-0000-3100-00000F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6" name="TextBox 15">
          <a:extLst>
            <a:ext uri="{FF2B5EF4-FFF2-40B4-BE49-F238E27FC236}">
              <a16:creationId xmlns:a16="http://schemas.microsoft.com/office/drawing/2014/main" id="{00000000-0008-0000-3100-000010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7" name="TextBox 16">
          <a:extLst>
            <a:ext uri="{FF2B5EF4-FFF2-40B4-BE49-F238E27FC236}">
              <a16:creationId xmlns:a16="http://schemas.microsoft.com/office/drawing/2014/main" id="{00000000-0008-0000-3100-000011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8" name="TextBox 17">
          <a:extLst>
            <a:ext uri="{FF2B5EF4-FFF2-40B4-BE49-F238E27FC236}">
              <a16:creationId xmlns:a16="http://schemas.microsoft.com/office/drawing/2014/main" id="{00000000-0008-0000-3100-000012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9" name="TextBox 18">
          <a:extLst>
            <a:ext uri="{FF2B5EF4-FFF2-40B4-BE49-F238E27FC236}">
              <a16:creationId xmlns:a16="http://schemas.microsoft.com/office/drawing/2014/main" id="{00000000-0008-0000-3100-000013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0" name="TextBox 19">
          <a:extLst>
            <a:ext uri="{FF2B5EF4-FFF2-40B4-BE49-F238E27FC236}">
              <a16:creationId xmlns:a16="http://schemas.microsoft.com/office/drawing/2014/main" id="{00000000-0008-0000-3100-000014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00000000-0008-0000-3100-00001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00000000-0008-0000-3100-00001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00000000-0008-0000-3100-00001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4" name="TextBox 23">
          <a:extLst>
            <a:ext uri="{FF2B5EF4-FFF2-40B4-BE49-F238E27FC236}">
              <a16:creationId xmlns:a16="http://schemas.microsoft.com/office/drawing/2014/main" id="{00000000-0008-0000-3100-00001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5" name="TextBox 24">
          <a:extLst>
            <a:ext uri="{FF2B5EF4-FFF2-40B4-BE49-F238E27FC236}">
              <a16:creationId xmlns:a16="http://schemas.microsoft.com/office/drawing/2014/main" id="{00000000-0008-0000-3100-00001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6" name="TextBox 25">
          <a:extLst>
            <a:ext uri="{FF2B5EF4-FFF2-40B4-BE49-F238E27FC236}">
              <a16:creationId xmlns:a16="http://schemas.microsoft.com/office/drawing/2014/main" id="{00000000-0008-0000-3100-00001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7" name="TextBox 26">
          <a:extLst>
            <a:ext uri="{FF2B5EF4-FFF2-40B4-BE49-F238E27FC236}">
              <a16:creationId xmlns:a16="http://schemas.microsoft.com/office/drawing/2014/main" id="{00000000-0008-0000-3100-00001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8" name="TextBox 27">
          <a:extLst>
            <a:ext uri="{FF2B5EF4-FFF2-40B4-BE49-F238E27FC236}">
              <a16:creationId xmlns:a16="http://schemas.microsoft.com/office/drawing/2014/main" id="{00000000-0008-0000-3100-00001C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9" name="TextBox 28">
          <a:extLst>
            <a:ext uri="{FF2B5EF4-FFF2-40B4-BE49-F238E27FC236}">
              <a16:creationId xmlns:a16="http://schemas.microsoft.com/office/drawing/2014/main" id="{00000000-0008-0000-3100-00001D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0" name="TextBox 29">
          <a:extLst>
            <a:ext uri="{FF2B5EF4-FFF2-40B4-BE49-F238E27FC236}">
              <a16:creationId xmlns:a16="http://schemas.microsoft.com/office/drawing/2014/main" id="{00000000-0008-0000-3100-00001E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1" name="TextBox 30">
          <a:extLst>
            <a:ext uri="{FF2B5EF4-FFF2-40B4-BE49-F238E27FC236}">
              <a16:creationId xmlns:a16="http://schemas.microsoft.com/office/drawing/2014/main" id="{00000000-0008-0000-3100-00001F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32" name="TextBox 4">
          <a:extLst>
            <a:ext uri="{FF2B5EF4-FFF2-40B4-BE49-F238E27FC236}">
              <a16:creationId xmlns:a16="http://schemas.microsoft.com/office/drawing/2014/main" id="{00000000-0008-0000-3100-000020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7">
          <a:extLst>
            <a:ext uri="{FF2B5EF4-FFF2-40B4-BE49-F238E27FC236}">
              <a16:creationId xmlns:a16="http://schemas.microsoft.com/office/drawing/2014/main" id="{00000000-0008-0000-3100-000021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8">
          <a:extLst>
            <a:ext uri="{FF2B5EF4-FFF2-40B4-BE49-F238E27FC236}">
              <a16:creationId xmlns:a16="http://schemas.microsoft.com/office/drawing/2014/main" id="{00000000-0008-0000-3100-000022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5" name="TextBox 34">
          <a:extLst>
            <a:ext uri="{FF2B5EF4-FFF2-40B4-BE49-F238E27FC236}">
              <a16:creationId xmlns:a16="http://schemas.microsoft.com/office/drawing/2014/main" id="{00000000-0008-0000-3100-000023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6" name="TextBox 35">
          <a:extLst>
            <a:ext uri="{FF2B5EF4-FFF2-40B4-BE49-F238E27FC236}">
              <a16:creationId xmlns:a16="http://schemas.microsoft.com/office/drawing/2014/main" id="{00000000-0008-0000-3100-000024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7" name="TextBox 36">
          <a:extLst>
            <a:ext uri="{FF2B5EF4-FFF2-40B4-BE49-F238E27FC236}">
              <a16:creationId xmlns:a16="http://schemas.microsoft.com/office/drawing/2014/main" id="{00000000-0008-0000-3100-00002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8" name="TextBox 37">
          <a:extLst>
            <a:ext uri="{FF2B5EF4-FFF2-40B4-BE49-F238E27FC236}">
              <a16:creationId xmlns:a16="http://schemas.microsoft.com/office/drawing/2014/main" id="{00000000-0008-0000-3100-000026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9" name="TextBox 38">
          <a:extLst>
            <a:ext uri="{FF2B5EF4-FFF2-40B4-BE49-F238E27FC236}">
              <a16:creationId xmlns:a16="http://schemas.microsoft.com/office/drawing/2014/main" id="{00000000-0008-0000-3100-000027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0" name="TextBox 39">
          <a:extLst>
            <a:ext uri="{FF2B5EF4-FFF2-40B4-BE49-F238E27FC236}">
              <a16:creationId xmlns:a16="http://schemas.microsoft.com/office/drawing/2014/main" id="{00000000-0008-0000-3100-000028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1" name="TextBox 40">
          <a:extLst>
            <a:ext uri="{FF2B5EF4-FFF2-40B4-BE49-F238E27FC236}">
              <a16:creationId xmlns:a16="http://schemas.microsoft.com/office/drawing/2014/main" id="{00000000-0008-0000-3100-000029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2" name="TextBox 41">
          <a:extLst>
            <a:ext uri="{FF2B5EF4-FFF2-40B4-BE49-F238E27FC236}">
              <a16:creationId xmlns:a16="http://schemas.microsoft.com/office/drawing/2014/main" id="{00000000-0008-0000-3100-00002A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00000000-0008-0000-3100-00002B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00000000-0008-0000-3100-00002C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00000000-0008-0000-3100-00002D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48" name="Picture 27" descr="VIAGS xanh">
          <a:extLst>
            <a:ext uri="{FF2B5EF4-FFF2-40B4-BE49-F238E27FC236}">
              <a16:creationId xmlns:a16="http://schemas.microsoft.com/office/drawing/2014/main" id="{D843DB48-2B03-49EF-AA76-8C3C8E03E9F5}"/>
            </a:ext>
            <a:ext uri="{147F2762-F138-4A5C-976F-8EAC2B608ADB}">
              <a16:predDERef xmlns:a16="http://schemas.microsoft.com/office/drawing/2014/main" pred="{27DA5A15-CD8D-49AA-915E-D21A16F072A9}"/>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9" name="TextBox 4">
          <a:extLst>
            <a:ext uri="{FF2B5EF4-FFF2-40B4-BE49-F238E27FC236}">
              <a16:creationId xmlns:a16="http://schemas.microsoft.com/office/drawing/2014/main" id="{8018EF41-B66E-4B08-B5D0-F8731CF0ED5F}"/>
            </a:ext>
            <a:ext uri="{147F2762-F138-4A5C-976F-8EAC2B608ADB}">
              <a16:predDERef xmlns:a16="http://schemas.microsoft.com/office/drawing/2014/main" pred="{D843DB48-2B03-49EF-AA76-8C3C8E03E9F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7">
          <a:extLst>
            <a:ext uri="{FF2B5EF4-FFF2-40B4-BE49-F238E27FC236}">
              <a16:creationId xmlns:a16="http://schemas.microsoft.com/office/drawing/2014/main" id="{5AA53870-4CF8-40A2-A332-F3DFD8AA2FE8}"/>
            </a:ext>
            <a:ext uri="{147F2762-F138-4A5C-976F-8EAC2B608ADB}">
              <a16:predDERef xmlns:a16="http://schemas.microsoft.com/office/drawing/2014/main" pred="{8018EF41-B66E-4B08-B5D0-F8731CF0ED5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8">
          <a:extLst>
            <a:ext uri="{FF2B5EF4-FFF2-40B4-BE49-F238E27FC236}">
              <a16:creationId xmlns:a16="http://schemas.microsoft.com/office/drawing/2014/main" id="{116BFF69-7A18-4A7A-B8D0-0E8E3A09E5A8}"/>
            </a:ext>
            <a:ext uri="{147F2762-F138-4A5C-976F-8EAC2B608ADB}">
              <a16:predDERef xmlns:a16="http://schemas.microsoft.com/office/drawing/2014/main" pred="{5AA53870-4CF8-40A2-A332-F3DFD8AA2FE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4">
          <a:extLst>
            <a:ext uri="{FF2B5EF4-FFF2-40B4-BE49-F238E27FC236}">
              <a16:creationId xmlns:a16="http://schemas.microsoft.com/office/drawing/2014/main" id="{C0148298-0A5B-4067-AC85-F7258EAC824F}"/>
            </a:ext>
            <a:ext uri="{147F2762-F138-4A5C-976F-8EAC2B608ADB}">
              <a16:predDERef xmlns:a16="http://schemas.microsoft.com/office/drawing/2014/main" pred="{116BFF69-7A18-4A7A-B8D0-0E8E3A09E5A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7">
          <a:extLst>
            <a:ext uri="{FF2B5EF4-FFF2-40B4-BE49-F238E27FC236}">
              <a16:creationId xmlns:a16="http://schemas.microsoft.com/office/drawing/2014/main" id="{75D21B26-B5F5-49DE-89C6-65F0FD586598}"/>
            </a:ext>
            <a:ext uri="{147F2762-F138-4A5C-976F-8EAC2B608ADB}">
              <a16:predDERef xmlns:a16="http://schemas.microsoft.com/office/drawing/2014/main" pred="{C0148298-0A5B-4067-AC85-F7258EAC824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8">
          <a:extLst>
            <a:ext uri="{FF2B5EF4-FFF2-40B4-BE49-F238E27FC236}">
              <a16:creationId xmlns:a16="http://schemas.microsoft.com/office/drawing/2014/main" id="{3C16CEF6-DEF9-4019-8FFD-70BE975853EF}"/>
            </a:ext>
            <a:ext uri="{147F2762-F138-4A5C-976F-8EAC2B608ADB}">
              <a16:predDERef xmlns:a16="http://schemas.microsoft.com/office/drawing/2014/main" pred="{75D21B26-B5F5-49DE-89C6-65F0FD58659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6" name="Picture 10" descr="VIAGS xanh">
          <a:hlinkClick xmlns:r="http://schemas.openxmlformats.org/officeDocument/2006/relationships" r:id="rId1"/>
          <a:extLst>
            <a:ext uri="{FF2B5EF4-FFF2-40B4-BE49-F238E27FC236}">
              <a16:creationId xmlns:a16="http://schemas.microsoft.com/office/drawing/2014/main" id="{E40F50F6-BE02-4BA5-AED5-EB2DBA1C4A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7" name="Picture 4" descr="VIAGS xanh">
          <a:extLst>
            <a:ext uri="{FF2B5EF4-FFF2-40B4-BE49-F238E27FC236}">
              <a16:creationId xmlns:a16="http://schemas.microsoft.com/office/drawing/2014/main" id="{27DDD7D1-0400-4B87-B760-44858B52A24F}"/>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55" name="Picture 54" descr="VIAGS xanh">
          <a:extLst>
            <a:ext uri="{FF2B5EF4-FFF2-40B4-BE49-F238E27FC236}">
              <a16:creationId xmlns:a16="http://schemas.microsoft.com/office/drawing/2014/main" id="{A4E283A9-49BC-4673-806D-F86CA64C68E5}"/>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6" name="TextBox 4">
          <a:extLst>
            <a:ext uri="{FF2B5EF4-FFF2-40B4-BE49-F238E27FC236}">
              <a16:creationId xmlns:a16="http://schemas.microsoft.com/office/drawing/2014/main" id="{3B7CC361-5ED2-45EA-ADEC-0FEB0B8B8AE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7">
          <a:extLst>
            <a:ext uri="{FF2B5EF4-FFF2-40B4-BE49-F238E27FC236}">
              <a16:creationId xmlns:a16="http://schemas.microsoft.com/office/drawing/2014/main" id="{B2A7C350-09BD-4FFE-B422-9F131505564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8">
          <a:extLst>
            <a:ext uri="{FF2B5EF4-FFF2-40B4-BE49-F238E27FC236}">
              <a16:creationId xmlns:a16="http://schemas.microsoft.com/office/drawing/2014/main" id="{CA8AF685-1128-4DEE-97E3-EAF152F746B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4">
          <a:extLst>
            <a:ext uri="{FF2B5EF4-FFF2-40B4-BE49-F238E27FC236}">
              <a16:creationId xmlns:a16="http://schemas.microsoft.com/office/drawing/2014/main" id="{0DDE13ED-4964-48B5-8613-C85BBF40846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7">
          <a:extLst>
            <a:ext uri="{FF2B5EF4-FFF2-40B4-BE49-F238E27FC236}">
              <a16:creationId xmlns:a16="http://schemas.microsoft.com/office/drawing/2014/main" id="{B4015216-F688-4776-9000-62B8D75B3E7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8">
          <a:extLst>
            <a:ext uri="{FF2B5EF4-FFF2-40B4-BE49-F238E27FC236}">
              <a16:creationId xmlns:a16="http://schemas.microsoft.com/office/drawing/2014/main" id="{C7D5F313-EAC2-4B36-BB42-2466112B40E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4">
          <a:extLst>
            <a:ext uri="{FF2B5EF4-FFF2-40B4-BE49-F238E27FC236}">
              <a16:creationId xmlns:a16="http://schemas.microsoft.com/office/drawing/2014/main" id="{63F1E869-B6CD-4322-9A1E-43ED260FB6E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7">
          <a:extLst>
            <a:ext uri="{FF2B5EF4-FFF2-40B4-BE49-F238E27FC236}">
              <a16:creationId xmlns:a16="http://schemas.microsoft.com/office/drawing/2014/main" id="{67C770AB-BD0A-4C84-A6C2-7A4AFA6FAFF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8">
          <a:extLst>
            <a:ext uri="{FF2B5EF4-FFF2-40B4-BE49-F238E27FC236}">
              <a16:creationId xmlns:a16="http://schemas.microsoft.com/office/drawing/2014/main" id="{2164D255-98BF-478B-B7F3-BAE19BA6C75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64">
          <a:extLst>
            <a:ext uri="{FF2B5EF4-FFF2-40B4-BE49-F238E27FC236}">
              <a16:creationId xmlns:a16="http://schemas.microsoft.com/office/drawing/2014/main" id="{6F01F36B-2642-41F8-A249-B5C671F1D3E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7">
          <a:extLst>
            <a:ext uri="{FF2B5EF4-FFF2-40B4-BE49-F238E27FC236}">
              <a16:creationId xmlns:a16="http://schemas.microsoft.com/office/drawing/2014/main" id="{4B616D4B-46A4-42B2-8863-4381E285705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8">
          <a:extLst>
            <a:ext uri="{FF2B5EF4-FFF2-40B4-BE49-F238E27FC236}">
              <a16:creationId xmlns:a16="http://schemas.microsoft.com/office/drawing/2014/main" id="{E1BB52D7-03C5-48BB-A0CE-AFC1661B8E5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4">
          <a:extLst>
            <a:ext uri="{FF2B5EF4-FFF2-40B4-BE49-F238E27FC236}">
              <a16:creationId xmlns:a16="http://schemas.microsoft.com/office/drawing/2014/main" id="{71D98102-5C55-49CF-B54C-1C06DA79441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7">
          <a:extLst>
            <a:ext uri="{FF2B5EF4-FFF2-40B4-BE49-F238E27FC236}">
              <a16:creationId xmlns:a16="http://schemas.microsoft.com/office/drawing/2014/main" id="{4EABD029-646F-4907-9482-B6273DD306A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8">
          <a:extLst>
            <a:ext uri="{FF2B5EF4-FFF2-40B4-BE49-F238E27FC236}">
              <a16:creationId xmlns:a16="http://schemas.microsoft.com/office/drawing/2014/main" id="{5F294DE3-95E7-4635-BDE1-A5828A82E7C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4">
          <a:extLst>
            <a:ext uri="{FF2B5EF4-FFF2-40B4-BE49-F238E27FC236}">
              <a16:creationId xmlns:a16="http://schemas.microsoft.com/office/drawing/2014/main" id="{FC9406CA-9F47-4B81-8806-9501D349EAD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2" name="TextBox 7">
          <a:extLst>
            <a:ext uri="{FF2B5EF4-FFF2-40B4-BE49-F238E27FC236}">
              <a16:creationId xmlns:a16="http://schemas.microsoft.com/office/drawing/2014/main" id="{9C59CA7F-11D5-44B8-AC47-952C00A857C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3" name="TextBox 8">
          <a:extLst>
            <a:ext uri="{FF2B5EF4-FFF2-40B4-BE49-F238E27FC236}">
              <a16:creationId xmlns:a16="http://schemas.microsoft.com/office/drawing/2014/main" id="{7A392DF2-6AF7-4197-9C39-5B4CA20082E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4" name="TextBox 4">
          <a:extLst>
            <a:ext uri="{FF2B5EF4-FFF2-40B4-BE49-F238E27FC236}">
              <a16:creationId xmlns:a16="http://schemas.microsoft.com/office/drawing/2014/main" id="{8E630E70-009A-4030-ACCF-BC08E9257B6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5" name="TextBox 7">
          <a:extLst>
            <a:ext uri="{FF2B5EF4-FFF2-40B4-BE49-F238E27FC236}">
              <a16:creationId xmlns:a16="http://schemas.microsoft.com/office/drawing/2014/main" id="{741A6CAB-27DB-483F-A981-B5445FAE14E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6" name="TextBox 8">
          <a:extLst>
            <a:ext uri="{FF2B5EF4-FFF2-40B4-BE49-F238E27FC236}">
              <a16:creationId xmlns:a16="http://schemas.microsoft.com/office/drawing/2014/main" id="{CA0CBB74-0207-4C2C-8FC9-BC3703C00ED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76">
          <a:extLst>
            <a:ext uri="{FF2B5EF4-FFF2-40B4-BE49-F238E27FC236}">
              <a16:creationId xmlns:a16="http://schemas.microsoft.com/office/drawing/2014/main" id="{1641CA9D-D474-4B53-AE21-1B2D1DF48C1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77">
          <a:extLst>
            <a:ext uri="{FF2B5EF4-FFF2-40B4-BE49-F238E27FC236}">
              <a16:creationId xmlns:a16="http://schemas.microsoft.com/office/drawing/2014/main" id="{057C2D85-BE52-4FED-A49E-CC559B4F688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9" name="TextBox 78">
          <a:extLst>
            <a:ext uri="{FF2B5EF4-FFF2-40B4-BE49-F238E27FC236}">
              <a16:creationId xmlns:a16="http://schemas.microsoft.com/office/drawing/2014/main" id="{77AA7FA1-630E-4194-8D03-A60EB46442C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50.xml><?xml version="1.0" encoding="utf-8"?>
<xdr:wsDr xmlns:xdr="http://schemas.openxmlformats.org/drawingml/2006/spreadsheetDrawing" xmlns:a="http://schemas.openxmlformats.org/drawingml/2006/main">
  <xdr:twoCellAnchor>
    <xdr:from>
      <xdr:col>1</xdr:col>
      <xdr:colOff>57151</xdr:colOff>
      <xdr:row>1</xdr:row>
      <xdr:rowOff>95250</xdr:rowOff>
    </xdr:from>
    <xdr:to>
      <xdr:col>3</xdr:col>
      <xdr:colOff>628651</xdr:colOff>
      <xdr:row>4</xdr:row>
      <xdr:rowOff>133349</xdr:rowOff>
    </xdr:to>
    <xdr:pic>
      <xdr:nvPicPr>
        <xdr:cNvPr id="2" name="Picture 1" descr="VIAGS xanh">
          <a:hlinkClick xmlns:r="http://schemas.openxmlformats.org/officeDocument/2006/relationships" r:id="rId1"/>
          <a:extLst>
            <a:ext uri="{FF2B5EF4-FFF2-40B4-BE49-F238E27FC236}">
              <a16:creationId xmlns:a16="http://schemas.microsoft.com/office/drawing/2014/main" id="{00000000-0008-0000-32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701" y="200025"/>
          <a:ext cx="2743200" cy="723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114300</xdr:rowOff>
    </xdr:from>
    <xdr:to>
      <xdr:col>8</xdr:col>
      <xdr:colOff>485775</xdr:colOff>
      <xdr:row>4</xdr:row>
      <xdr:rowOff>57150</xdr:rowOff>
    </xdr:to>
    <xdr:pic>
      <xdr:nvPicPr>
        <xdr:cNvPr id="3" name="Picture 4" descr="VIAGS xanh">
          <a:extLst>
            <a:ext uri="{FF2B5EF4-FFF2-40B4-BE49-F238E27FC236}">
              <a16:creationId xmlns:a16="http://schemas.microsoft.com/office/drawing/2014/main" id="{00000000-0008-0000-3200-000003000000}"/>
            </a:ext>
            <a:ext uri="{147F2762-F138-4A5C-976F-8EAC2B608ADB}">
              <a16:predDERef xmlns:a16="http://schemas.microsoft.com/office/drawing/2014/main" pred="{00000000-0008-0000-3200-000002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43675" y="219075"/>
          <a:ext cx="2371725"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3200-000004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3200-000005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3200-000006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3200-000007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3200-000008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3200-000009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3200-00000A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3200-00000B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00000000-0008-0000-3200-00000C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00000000-0008-0000-3200-00000D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00000000-0008-0000-3200-00000E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00000000-0008-0000-3200-00000F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00000000-0008-0000-3200-000010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00000000-0008-0000-3200-000011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8" name="TextBox 17">
          <a:extLst>
            <a:ext uri="{FF2B5EF4-FFF2-40B4-BE49-F238E27FC236}">
              <a16:creationId xmlns:a16="http://schemas.microsoft.com/office/drawing/2014/main" id="{00000000-0008-0000-3200-000012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9" name="TextBox 18">
          <a:extLst>
            <a:ext uri="{FF2B5EF4-FFF2-40B4-BE49-F238E27FC236}">
              <a16:creationId xmlns:a16="http://schemas.microsoft.com/office/drawing/2014/main" id="{00000000-0008-0000-3200-000013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0" name="TextBox 4">
          <a:extLst>
            <a:ext uri="{FF2B5EF4-FFF2-40B4-BE49-F238E27FC236}">
              <a16:creationId xmlns:a16="http://schemas.microsoft.com/office/drawing/2014/main" id="{00000000-0008-0000-3200-00001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7">
          <a:extLst>
            <a:ext uri="{FF2B5EF4-FFF2-40B4-BE49-F238E27FC236}">
              <a16:creationId xmlns:a16="http://schemas.microsoft.com/office/drawing/2014/main" id="{00000000-0008-0000-3200-00001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8">
          <a:extLst>
            <a:ext uri="{FF2B5EF4-FFF2-40B4-BE49-F238E27FC236}">
              <a16:creationId xmlns:a16="http://schemas.microsoft.com/office/drawing/2014/main" id="{00000000-0008-0000-3200-00001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00000000-0008-0000-3200-000017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00000000-0008-0000-3200-000018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00000000-0008-0000-3200-000019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00000000-0008-0000-3200-00001A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00000000-0008-0000-3200-00001B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00000000-0008-0000-3200-00001C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9" name="TextBox 28">
          <a:extLst>
            <a:ext uri="{FF2B5EF4-FFF2-40B4-BE49-F238E27FC236}">
              <a16:creationId xmlns:a16="http://schemas.microsoft.com/office/drawing/2014/main" id="{00000000-0008-0000-3200-00001D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0" name="TextBox 29">
          <a:extLst>
            <a:ext uri="{FF2B5EF4-FFF2-40B4-BE49-F238E27FC236}">
              <a16:creationId xmlns:a16="http://schemas.microsoft.com/office/drawing/2014/main" id="{00000000-0008-0000-3200-00001E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00000000-0008-0000-3200-00001F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00000000-0008-0000-3200-000020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00000000-0008-0000-3200-000021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00000000-0008-0000-3200-000022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00000000-0008-0000-3200-000023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00000000-0008-0000-3200-000024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00000000-0008-0000-3200-000025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00000000-0008-0000-3200-000026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00000000-0008-0000-3200-000027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0" name="TextBox 39">
          <a:extLst>
            <a:ext uri="{FF2B5EF4-FFF2-40B4-BE49-F238E27FC236}">
              <a16:creationId xmlns:a16="http://schemas.microsoft.com/office/drawing/2014/main" id="{00000000-0008-0000-3200-000028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1" name="TextBox 40">
          <a:extLst>
            <a:ext uri="{FF2B5EF4-FFF2-40B4-BE49-F238E27FC236}">
              <a16:creationId xmlns:a16="http://schemas.microsoft.com/office/drawing/2014/main" id="{00000000-0008-0000-3200-000029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00000000-0008-0000-3200-00002A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00000000-0008-0000-3200-00002B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00000000-0008-0000-3200-00002C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47" name="Picture 27" descr="VIAGS xanh">
          <a:extLst>
            <a:ext uri="{FF2B5EF4-FFF2-40B4-BE49-F238E27FC236}">
              <a16:creationId xmlns:a16="http://schemas.microsoft.com/office/drawing/2014/main" id="{3BAA1CDE-0A9F-42DA-AB60-A27117F9D543}"/>
            </a:ext>
            <a:ext uri="{147F2762-F138-4A5C-976F-8EAC2B608ADB}">
              <a16:predDERef xmlns:a16="http://schemas.microsoft.com/office/drawing/2014/main" pred="{3BEF88DA-8F35-4568-83DC-2418681BD21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386D3529-C795-4B42-A9BD-0EDD2DA15C17}"/>
            </a:ext>
            <a:ext uri="{147F2762-F138-4A5C-976F-8EAC2B608ADB}">
              <a16:predDERef xmlns:a16="http://schemas.microsoft.com/office/drawing/2014/main" pred="{3BAA1CDE-0A9F-42DA-AB60-A27117F9D54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54EFCEA9-138A-4E39-BC1B-E54D2B3487FC}"/>
            </a:ext>
            <a:ext uri="{147F2762-F138-4A5C-976F-8EAC2B608ADB}">
              <a16:predDERef xmlns:a16="http://schemas.microsoft.com/office/drawing/2014/main" pred="{386D3529-C795-4B42-A9BD-0EDD2DA15C1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93D8C73A-0C6A-4789-B0E5-BC5FA3A462C4}"/>
            </a:ext>
            <a:ext uri="{147F2762-F138-4A5C-976F-8EAC2B608ADB}">
              <a16:predDERef xmlns:a16="http://schemas.microsoft.com/office/drawing/2014/main" pred="{54EFCEA9-138A-4E39-BC1B-E54D2B3487F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E30D9160-82E6-408C-9FA3-9DA0EB774866}"/>
            </a:ext>
            <a:ext uri="{147F2762-F138-4A5C-976F-8EAC2B608ADB}">
              <a16:predDERef xmlns:a16="http://schemas.microsoft.com/office/drawing/2014/main" pred="{93D8C73A-0C6A-4789-B0E5-BC5FA3A462C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116EE19C-1238-447C-873D-0899A7D9BD62}"/>
            </a:ext>
            <a:ext uri="{147F2762-F138-4A5C-976F-8EAC2B608ADB}">
              <a16:predDERef xmlns:a16="http://schemas.microsoft.com/office/drawing/2014/main" pred="{E30D9160-82E6-408C-9FA3-9DA0EB77486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68F961F9-F657-4143-8516-8679F2F44798}"/>
            </a:ext>
            <a:ext uri="{147F2762-F138-4A5C-976F-8EAC2B608ADB}">
              <a16:predDERef xmlns:a16="http://schemas.microsoft.com/office/drawing/2014/main" pred="{116EE19C-1238-447C-873D-0899A7D9BD6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5" name="Picture 10" descr="VIAGS xanh">
          <a:hlinkClick xmlns:r="http://schemas.openxmlformats.org/officeDocument/2006/relationships" r:id="rId1"/>
          <a:extLst>
            <a:ext uri="{FF2B5EF4-FFF2-40B4-BE49-F238E27FC236}">
              <a16:creationId xmlns:a16="http://schemas.microsoft.com/office/drawing/2014/main" id="{D325EE6A-FC86-4625-ACF2-2A185EA185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6" name="Picture 4" descr="VIAGS xanh">
          <a:extLst>
            <a:ext uri="{FF2B5EF4-FFF2-40B4-BE49-F238E27FC236}">
              <a16:creationId xmlns:a16="http://schemas.microsoft.com/office/drawing/2014/main" id="{BF8F92E5-D8BA-4E8D-AE33-7B15E9369685}"/>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54" name="Picture 53" descr="VIAGS xanh">
          <a:extLst>
            <a:ext uri="{FF2B5EF4-FFF2-40B4-BE49-F238E27FC236}">
              <a16:creationId xmlns:a16="http://schemas.microsoft.com/office/drawing/2014/main" id="{8C89FB94-DE20-473D-AEDB-717654DF263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5" name="TextBox 4">
          <a:extLst>
            <a:ext uri="{FF2B5EF4-FFF2-40B4-BE49-F238E27FC236}">
              <a16:creationId xmlns:a16="http://schemas.microsoft.com/office/drawing/2014/main" id="{76607DEF-037C-45F7-ABF8-8FFAAD05791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7">
          <a:extLst>
            <a:ext uri="{FF2B5EF4-FFF2-40B4-BE49-F238E27FC236}">
              <a16:creationId xmlns:a16="http://schemas.microsoft.com/office/drawing/2014/main" id="{678D9B5D-F752-4E0E-A870-71B215DFCEF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8">
          <a:extLst>
            <a:ext uri="{FF2B5EF4-FFF2-40B4-BE49-F238E27FC236}">
              <a16:creationId xmlns:a16="http://schemas.microsoft.com/office/drawing/2014/main" id="{F14D1A73-7264-45C8-8EF2-8C50C961F79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4">
          <a:extLst>
            <a:ext uri="{FF2B5EF4-FFF2-40B4-BE49-F238E27FC236}">
              <a16:creationId xmlns:a16="http://schemas.microsoft.com/office/drawing/2014/main" id="{47ABBA48-C36D-42D8-BF3F-4369426952A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7">
          <a:extLst>
            <a:ext uri="{FF2B5EF4-FFF2-40B4-BE49-F238E27FC236}">
              <a16:creationId xmlns:a16="http://schemas.microsoft.com/office/drawing/2014/main" id="{5E0EF5BC-79D5-4B0A-9474-AC3F0253144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8">
          <a:extLst>
            <a:ext uri="{FF2B5EF4-FFF2-40B4-BE49-F238E27FC236}">
              <a16:creationId xmlns:a16="http://schemas.microsoft.com/office/drawing/2014/main" id="{BBF4913B-D33D-42D1-9AF1-C4C4191B12B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4">
          <a:extLst>
            <a:ext uri="{FF2B5EF4-FFF2-40B4-BE49-F238E27FC236}">
              <a16:creationId xmlns:a16="http://schemas.microsoft.com/office/drawing/2014/main" id="{42AF51AF-AFCB-488E-BE72-DE56E792C39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7">
          <a:extLst>
            <a:ext uri="{FF2B5EF4-FFF2-40B4-BE49-F238E27FC236}">
              <a16:creationId xmlns:a16="http://schemas.microsoft.com/office/drawing/2014/main" id="{905C6FE9-288F-45D1-AC7C-00CB1535528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8">
          <a:extLst>
            <a:ext uri="{FF2B5EF4-FFF2-40B4-BE49-F238E27FC236}">
              <a16:creationId xmlns:a16="http://schemas.microsoft.com/office/drawing/2014/main" id="{3753354C-03DD-497A-805D-790E6FFFC42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63">
          <a:extLst>
            <a:ext uri="{FF2B5EF4-FFF2-40B4-BE49-F238E27FC236}">
              <a16:creationId xmlns:a16="http://schemas.microsoft.com/office/drawing/2014/main" id="{BF23E62E-0E4C-4926-BB60-C1FA3200828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7">
          <a:extLst>
            <a:ext uri="{FF2B5EF4-FFF2-40B4-BE49-F238E27FC236}">
              <a16:creationId xmlns:a16="http://schemas.microsoft.com/office/drawing/2014/main" id="{594D2A44-25AC-485D-A375-46F2D5A07A1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8">
          <a:extLst>
            <a:ext uri="{FF2B5EF4-FFF2-40B4-BE49-F238E27FC236}">
              <a16:creationId xmlns:a16="http://schemas.microsoft.com/office/drawing/2014/main" id="{C906791D-B5AF-43CD-B36C-E6BE86619D6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4">
          <a:extLst>
            <a:ext uri="{FF2B5EF4-FFF2-40B4-BE49-F238E27FC236}">
              <a16:creationId xmlns:a16="http://schemas.microsoft.com/office/drawing/2014/main" id="{EE8C8572-1084-4BA1-8BA4-24D7E919010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7">
          <a:extLst>
            <a:ext uri="{FF2B5EF4-FFF2-40B4-BE49-F238E27FC236}">
              <a16:creationId xmlns:a16="http://schemas.microsoft.com/office/drawing/2014/main" id="{876B5581-1827-49C5-AA38-70207D995FA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8">
          <a:extLst>
            <a:ext uri="{FF2B5EF4-FFF2-40B4-BE49-F238E27FC236}">
              <a16:creationId xmlns:a16="http://schemas.microsoft.com/office/drawing/2014/main" id="{E29F473D-B919-4180-9AD6-9FDE3D8D6C7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4">
          <a:extLst>
            <a:ext uri="{FF2B5EF4-FFF2-40B4-BE49-F238E27FC236}">
              <a16:creationId xmlns:a16="http://schemas.microsoft.com/office/drawing/2014/main" id="{C7D4F531-2FAA-476C-AA60-D196CB65145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7">
          <a:extLst>
            <a:ext uri="{FF2B5EF4-FFF2-40B4-BE49-F238E27FC236}">
              <a16:creationId xmlns:a16="http://schemas.microsoft.com/office/drawing/2014/main" id="{AADE2899-6029-4CE0-B59C-E8D2DFF2E9C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2" name="TextBox 8">
          <a:extLst>
            <a:ext uri="{FF2B5EF4-FFF2-40B4-BE49-F238E27FC236}">
              <a16:creationId xmlns:a16="http://schemas.microsoft.com/office/drawing/2014/main" id="{0B7F952F-1107-47BD-B9B2-75D250AD1B0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3" name="TextBox 4">
          <a:extLst>
            <a:ext uri="{FF2B5EF4-FFF2-40B4-BE49-F238E27FC236}">
              <a16:creationId xmlns:a16="http://schemas.microsoft.com/office/drawing/2014/main" id="{586490AC-1541-41B7-8BE5-8FB9C931F9D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4" name="TextBox 7">
          <a:extLst>
            <a:ext uri="{FF2B5EF4-FFF2-40B4-BE49-F238E27FC236}">
              <a16:creationId xmlns:a16="http://schemas.microsoft.com/office/drawing/2014/main" id="{4B97A513-009C-47E8-A583-49F9CA0D762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5" name="TextBox 8">
          <a:extLst>
            <a:ext uri="{FF2B5EF4-FFF2-40B4-BE49-F238E27FC236}">
              <a16:creationId xmlns:a16="http://schemas.microsoft.com/office/drawing/2014/main" id="{507B5AAB-5937-4A02-BE5E-404342FB533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6" name="TextBox 75">
          <a:extLst>
            <a:ext uri="{FF2B5EF4-FFF2-40B4-BE49-F238E27FC236}">
              <a16:creationId xmlns:a16="http://schemas.microsoft.com/office/drawing/2014/main" id="{34C0FF16-8EF1-43B9-8893-9D225EF9801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76">
          <a:extLst>
            <a:ext uri="{FF2B5EF4-FFF2-40B4-BE49-F238E27FC236}">
              <a16:creationId xmlns:a16="http://schemas.microsoft.com/office/drawing/2014/main" id="{8BFDE8BB-213F-4890-A3E2-1D42EF9BA7A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77">
          <a:extLst>
            <a:ext uri="{FF2B5EF4-FFF2-40B4-BE49-F238E27FC236}">
              <a16:creationId xmlns:a16="http://schemas.microsoft.com/office/drawing/2014/main" id="{4400D11C-82F4-4FBF-9797-ED37B6558F7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51.xml><?xml version="1.0" encoding="utf-8"?>
<xdr:wsDr xmlns:xdr="http://schemas.openxmlformats.org/drawingml/2006/spreadsheetDrawing" xmlns:a="http://schemas.openxmlformats.org/drawingml/2006/main">
  <xdr:twoCellAnchor>
    <xdr:from>
      <xdr:col>1</xdr:col>
      <xdr:colOff>219076</xdr:colOff>
      <xdr:row>1</xdr:row>
      <xdr:rowOff>57150</xdr:rowOff>
    </xdr:from>
    <xdr:to>
      <xdr:col>3</xdr:col>
      <xdr:colOff>1190626</xdr:colOff>
      <xdr:row>4</xdr:row>
      <xdr:rowOff>95249</xdr:rowOff>
    </xdr:to>
    <xdr:pic>
      <xdr:nvPicPr>
        <xdr:cNvPr id="2" name="Picture 1" descr="VIAGS xanh">
          <a:hlinkClick xmlns:r="http://schemas.openxmlformats.org/officeDocument/2006/relationships" r:id="rId1"/>
          <a:extLst>
            <a:ext uri="{FF2B5EF4-FFF2-40B4-BE49-F238E27FC236}">
              <a16:creationId xmlns:a16="http://schemas.microsoft.com/office/drawing/2014/main" id="{00000000-0008-0000-33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8626" y="161925"/>
          <a:ext cx="2743200" cy="723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7</xdr:col>
      <xdr:colOff>1491031</xdr:colOff>
      <xdr:row>4</xdr:row>
      <xdr:rowOff>57151</xdr:rowOff>
    </xdr:to>
    <xdr:pic>
      <xdr:nvPicPr>
        <xdr:cNvPr id="3" name="Picture 4" descr="VIAGS xanh">
          <a:extLst>
            <a:ext uri="{FF2B5EF4-FFF2-40B4-BE49-F238E27FC236}">
              <a16:creationId xmlns:a16="http://schemas.microsoft.com/office/drawing/2014/main" id="{00000000-0008-0000-3300-000003000000}"/>
            </a:ext>
            <a:ext uri="{147F2762-F138-4A5C-976F-8EAC2B608ADB}">
              <a16:predDERef xmlns:a16="http://schemas.microsoft.com/office/drawing/2014/main" pred="{AF750457-496D-478C-8D6A-87752D5BEAD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43675" y="219076"/>
          <a:ext cx="1700581"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33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3300-00000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3300-00000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33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33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33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33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33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00000000-0008-0000-3300-00000C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00000000-0008-0000-3300-00000D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00000000-0008-0000-3300-00000E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00000000-0008-0000-3300-00000F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00000000-0008-0000-3300-000010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00000000-0008-0000-3300-000011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8" name="TextBox 17">
          <a:extLst>
            <a:ext uri="{FF2B5EF4-FFF2-40B4-BE49-F238E27FC236}">
              <a16:creationId xmlns:a16="http://schemas.microsoft.com/office/drawing/2014/main" id="{00000000-0008-0000-3300-000012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9" name="TextBox 18">
          <a:extLst>
            <a:ext uri="{FF2B5EF4-FFF2-40B4-BE49-F238E27FC236}">
              <a16:creationId xmlns:a16="http://schemas.microsoft.com/office/drawing/2014/main" id="{00000000-0008-0000-3300-000013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0" name="TextBox 4">
          <a:extLst>
            <a:ext uri="{FF2B5EF4-FFF2-40B4-BE49-F238E27FC236}">
              <a16:creationId xmlns:a16="http://schemas.microsoft.com/office/drawing/2014/main" id="{00000000-0008-0000-3300-00001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7">
          <a:extLst>
            <a:ext uri="{FF2B5EF4-FFF2-40B4-BE49-F238E27FC236}">
              <a16:creationId xmlns:a16="http://schemas.microsoft.com/office/drawing/2014/main" id="{00000000-0008-0000-3300-00001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8">
          <a:extLst>
            <a:ext uri="{FF2B5EF4-FFF2-40B4-BE49-F238E27FC236}">
              <a16:creationId xmlns:a16="http://schemas.microsoft.com/office/drawing/2014/main" id="{00000000-0008-0000-3300-00001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00000000-0008-0000-3300-000017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00000000-0008-0000-3300-000018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00000000-0008-0000-3300-000019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00000000-0008-0000-3300-00001A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00000000-0008-0000-3300-00001B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00000000-0008-0000-3300-00001C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9" name="TextBox 28">
          <a:extLst>
            <a:ext uri="{FF2B5EF4-FFF2-40B4-BE49-F238E27FC236}">
              <a16:creationId xmlns:a16="http://schemas.microsoft.com/office/drawing/2014/main" id="{00000000-0008-0000-3300-00001D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0" name="TextBox 29">
          <a:extLst>
            <a:ext uri="{FF2B5EF4-FFF2-40B4-BE49-F238E27FC236}">
              <a16:creationId xmlns:a16="http://schemas.microsoft.com/office/drawing/2014/main" id="{00000000-0008-0000-3300-00001E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00000000-0008-0000-3300-00001F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00000000-0008-0000-3300-000020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00000000-0008-0000-3300-000021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00000000-0008-0000-3300-000022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00000000-0008-0000-3300-000023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00000000-0008-0000-3300-00002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00000000-0008-0000-3300-00002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00000000-0008-0000-3300-00002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00000000-0008-0000-3300-00002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0" name="TextBox 39">
          <a:extLst>
            <a:ext uri="{FF2B5EF4-FFF2-40B4-BE49-F238E27FC236}">
              <a16:creationId xmlns:a16="http://schemas.microsoft.com/office/drawing/2014/main" id="{00000000-0008-0000-3300-00002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1" name="TextBox 40">
          <a:extLst>
            <a:ext uri="{FF2B5EF4-FFF2-40B4-BE49-F238E27FC236}">
              <a16:creationId xmlns:a16="http://schemas.microsoft.com/office/drawing/2014/main" id="{00000000-0008-0000-3300-00002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00000000-0008-0000-3300-00002A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00000000-0008-0000-3300-00002B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00000000-0008-0000-3300-00002C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5" name="Picture 10" descr="VIAGS xanh">
          <a:hlinkClick xmlns:r="http://schemas.openxmlformats.org/officeDocument/2006/relationships" r:id="rId1"/>
          <a:extLst>
            <a:ext uri="{FF2B5EF4-FFF2-40B4-BE49-F238E27FC236}">
              <a16:creationId xmlns:a16="http://schemas.microsoft.com/office/drawing/2014/main" id="{5B32A427-C95A-48C8-A857-D1FC59A611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6" name="Picture 4" descr="VIAGS xanh">
          <a:extLst>
            <a:ext uri="{FF2B5EF4-FFF2-40B4-BE49-F238E27FC236}">
              <a16:creationId xmlns:a16="http://schemas.microsoft.com/office/drawing/2014/main" id="{1ED9299A-1125-407A-BF71-A9F6AD2B2605}"/>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47" name="Picture 46" descr="VIAGS xanh">
          <a:extLst>
            <a:ext uri="{FF2B5EF4-FFF2-40B4-BE49-F238E27FC236}">
              <a16:creationId xmlns:a16="http://schemas.microsoft.com/office/drawing/2014/main" id="{62A0219F-F8BE-4A7B-9084-BA072DB1AA8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8AF96BB3-2130-487E-9001-B20AA9F543B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222B35FF-5AB7-45E0-AA47-203AD4E868D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8F73FCE5-B22B-4BA1-9733-451F98E54CE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8C8E6588-8C79-4A14-90DD-D95E6234FBF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B7192CE9-D14B-47FF-8810-FF916B9DD67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D6B0DEDF-DCDF-46CE-BF38-DF9AE3A6A4C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4">
          <a:extLst>
            <a:ext uri="{FF2B5EF4-FFF2-40B4-BE49-F238E27FC236}">
              <a16:creationId xmlns:a16="http://schemas.microsoft.com/office/drawing/2014/main" id="{AA204DD0-E9EC-4A98-88CA-BF4A8C2A983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5B6E67AF-297A-4550-9652-97E756B9AED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06C85D64-11BA-4F09-819E-C4B2911519D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56">
          <a:extLst>
            <a:ext uri="{FF2B5EF4-FFF2-40B4-BE49-F238E27FC236}">
              <a16:creationId xmlns:a16="http://schemas.microsoft.com/office/drawing/2014/main" id="{26D7C5D4-D0F8-4FA3-89E7-A8723366909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941D0D4B-A4DD-4176-B3AB-01BF50033DC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C1B051C4-D2A6-43FC-AC10-D8303B48EA7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A68C9E21-D61C-4945-84F2-D618E99DE2D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37140D1F-B5D7-4C41-A791-BA67A748A97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3454F6C7-925B-458F-8CA6-00A5B30DB22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950E8B3B-F564-41AB-8ABD-98563ED2211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7F30E1D2-588C-4FBA-AF54-886519AC448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94F769D7-EABE-42D9-8DA3-41D1CA89700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4">
          <a:extLst>
            <a:ext uri="{FF2B5EF4-FFF2-40B4-BE49-F238E27FC236}">
              <a16:creationId xmlns:a16="http://schemas.microsoft.com/office/drawing/2014/main" id="{D32BB331-6BDC-4962-B826-E66E2CF1711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7">
          <a:extLst>
            <a:ext uri="{FF2B5EF4-FFF2-40B4-BE49-F238E27FC236}">
              <a16:creationId xmlns:a16="http://schemas.microsoft.com/office/drawing/2014/main" id="{3E43622C-7EC9-4934-8620-9C7D58C5974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8">
          <a:extLst>
            <a:ext uri="{FF2B5EF4-FFF2-40B4-BE49-F238E27FC236}">
              <a16:creationId xmlns:a16="http://schemas.microsoft.com/office/drawing/2014/main" id="{442808CF-5A67-4BE4-A2EE-405E5C79E79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68">
          <a:extLst>
            <a:ext uri="{FF2B5EF4-FFF2-40B4-BE49-F238E27FC236}">
              <a16:creationId xmlns:a16="http://schemas.microsoft.com/office/drawing/2014/main" id="{B6822E44-E6D1-4808-8AEC-8747112DCB3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69">
          <a:extLst>
            <a:ext uri="{FF2B5EF4-FFF2-40B4-BE49-F238E27FC236}">
              <a16:creationId xmlns:a16="http://schemas.microsoft.com/office/drawing/2014/main" id="{CCFBD681-FDE7-4912-A385-8691D53094F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70">
          <a:extLst>
            <a:ext uri="{FF2B5EF4-FFF2-40B4-BE49-F238E27FC236}">
              <a16:creationId xmlns:a16="http://schemas.microsoft.com/office/drawing/2014/main" id="{480B9F94-524D-40B7-B237-083AF8C4C39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52.xml><?xml version="1.0" encoding="utf-8"?>
<xdr:wsDr xmlns:xdr="http://schemas.openxmlformats.org/drawingml/2006/spreadsheetDrawing" xmlns:a="http://schemas.openxmlformats.org/drawingml/2006/main">
  <xdr:twoCellAnchor>
    <xdr:from>
      <xdr:col>1</xdr:col>
      <xdr:colOff>219076</xdr:colOff>
      <xdr:row>1</xdr:row>
      <xdr:rowOff>57150</xdr:rowOff>
    </xdr:from>
    <xdr:to>
      <xdr:col>3</xdr:col>
      <xdr:colOff>1190626</xdr:colOff>
      <xdr:row>4</xdr:row>
      <xdr:rowOff>95249</xdr:rowOff>
    </xdr:to>
    <xdr:pic>
      <xdr:nvPicPr>
        <xdr:cNvPr id="2" name="Picture 1" descr="VIAGS xanh">
          <a:hlinkClick xmlns:r="http://schemas.openxmlformats.org/officeDocument/2006/relationships" r:id="rId1"/>
          <a:extLst>
            <a:ext uri="{FF2B5EF4-FFF2-40B4-BE49-F238E27FC236}">
              <a16:creationId xmlns:a16="http://schemas.microsoft.com/office/drawing/2014/main" id="{00000000-0008-0000-34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8626" y="161925"/>
          <a:ext cx="2743200" cy="723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7</xdr:col>
      <xdr:colOff>1491031</xdr:colOff>
      <xdr:row>4</xdr:row>
      <xdr:rowOff>57151</xdr:rowOff>
    </xdr:to>
    <xdr:pic>
      <xdr:nvPicPr>
        <xdr:cNvPr id="3" name="Picture 4" descr="VIAGS xanh">
          <a:extLst>
            <a:ext uri="{FF2B5EF4-FFF2-40B4-BE49-F238E27FC236}">
              <a16:creationId xmlns:a16="http://schemas.microsoft.com/office/drawing/2014/main" id="{00000000-0008-0000-3400-000003000000}"/>
            </a:ext>
            <a:ext uri="{147F2762-F138-4A5C-976F-8EAC2B608ADB}">
              <a16:predDERef xmlns:a16="http://schemas.microsoft.com/office/drawing/2014/main" pred="{D69EB13E-5B0F-4DBB-ABEA-903E311E815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43675" y="219076"/>
          <a:ext cx="1700581"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34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3400-00000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3400-00000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34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34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34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34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34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00000000-0008-0000-3400-00000C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00000000-0008-0000-3400-00000D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00000000-0008-0000-3400-00000E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00000000-0008-0000-3400-00000F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00000000-0008-0000-3400-000010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00000000-0008-0000-3400-000011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8" name="TextBox 17">
          <a:extLst>
            <a:ext uri="{FF2B5EF4-FFF2-40B4-BE49-F238E27FC236}">
              <a16:creationId xmlns:a16="http://schemas.microsoft.com/office/drawing/2014/main" id="{00000000-0008-0000-3400-000012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9" name="TextBox 18">
          <a:extLst>
            <a:ext uri="{FF2B5EF4-FFF2-40B4-BE49-F238E27FC236}">
              <a16:creationId xmlns:a16="http://schemas.microsoft.com/office/drawing/2014/main" id="{00000000-0008-0000-3400-000013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0" name="TextBox 4">
          <a:extLst>
            <a:ext uri="{FF2B5EF4-FFF2-40B4-BE49-F238E27FC236}">
              <a16:creationId xmlns:a16="http://schemas.microsoft.com/office/drawing/2014/main" id="{00000000-0008-0000-3400-00001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7">
          <a:extLst>
            <a:ext uri="{FF2B5EF4-FFF2-40B4-BE49-F238E27FC236}">
              <a16:creationId xmlns:a16="http://schemas.microsoft.com/office/drawing/2014/main" id="{00000000-0008-0000-3400-00001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8">
          <a:extLst>
            <a:ext uri="{FF2B5EF4-FFF2-40B4-BE49-F238E27FC236}">
              <a16:creationId xmlns:a16="http://schemas.microsoft.com/office/drawing/2014/main" id="{00000000-0008-0000-3400-00001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00000000-0008-0000-3400-000017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00000000-0008-0000-3400-000018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00000000-0008-0000-3400-000019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00000000-0008-0000-3400-00001A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00000000-0008-0000-3400-00001B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00000000-0008-0000-3400-00001C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9" name="TextBox 28">
          <a:extLst>
            <a:ext uri="{FF2B5EF4-FFF2-40B4-BE49-F238E27FC236}">
              <a16:creationId xmlns:a16="http://schemas.microsoft.com/office/drawing/2014/main" id="{00000000-0008-0000-3400-00001D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0" name="TextBox 29">
          <a:extLst>
            <a:ext uri="{FF2B5EF4-FFF2-40B4-BE49-F238E27FC236}">
              <a16:creationId xmlns:a16="http://schemas.microsoft.com/office/drawing/2014/main" id="{00000000-0008-0000-3400-00001E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00000000-0008-0000-3400-00001F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00000000-0008-0000-3400-000020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00000000-0008-0000-3400-000021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00000000-0008-0000-3400-000022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00000000-0008-0000-3400-000023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00000000-0008-0000-3400-00002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00000000-0008-0000-3400-00002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00000000-0008-0000-3400-00002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00000000-0008-0000-3400-00002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0" name="TextBox 39">
          <a:extLst>
            <a:ext uri="{FF2B5EF4-FFF2-40B4-BE49-F238E27FC236}">
              <a16:creationId xmlns:a16="http://schemas.microsoft.com/office/drawing/2014/main" id="{00000000-0008-0000-3400-00002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1" name="TextBox 40">
          <a:extLst>
            <a:ext uri="{FF2B5EF4-FFF2-40B4-BE49-F238E27FC236}">
              <a16:creationId xmlns:a16="http://schemas.microsoft.com/office/drawing/2014/main" id="{00000000-0008-0000-3400-00002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00000000-0008-0000-3400-00002A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00000000-0008-0000-3400-00002B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00000000-0008-0000-3400-00002C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5" name="Picture 10" descr="VIAGS xanh">
          <a:hlinkClick xmlns:r="http://schemas.openxmlformats.org/officeDocument/2006/relationships" r:id="rId1"/>
          <a:extLst>
            <a:ext uri="{FF2B5EF4-FFF2-40B4-BE49-F238E27FC236}">
              <a16:creationId xmlns:a16="http://schemas.microsoft.com/office/drawing/2014/main" id="{BF24AF8E-F5D9-4739-8F52-AC767F53B2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6" name="Picture 4" descr="VIAGS xanh">
          <a:extLst>
            <a:ext uri="{FF2B5EF4-FFF2-40B4-BE49-F238E27FC236}">
              <a16:creationId xmlns:a16="http://schemas.microsoft.com/office/drawing/2014/main" id="{BF009A15-0724-4D08-A26E-9BDD7537C107}"/>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47" name="Picture 46" descr="VIAGS xanh">
          <a:extLst>
            <a:ext uri="{FF2B5EF4-FFF2-40B4-BE49-F238E27FC236}">
              <a16:creationId xmlns:a16="http://schemas.microsoft.com/office/drawing/2014/main" id="{10BA6DFF-0F55-4C84-BDAE-1B7D6137CA7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7A9C9369-D1BF-47DA-99A9-ACECFC63458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4FDB1257-6494-437C-9937-CE1AA0A1495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69B65A18-BCD5-4605-A2F3-6D6D7621356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487F4716-E1C4-465E-94A8-76380A78663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BE43A9C1-8DD2-4123-86EF-F3991B41D65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76B14650-2DC7-48A7-B77B-C985E663C82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4">
          <a:extLst>
            <a:ext uri="{FF2B5EF4-FFF2-40B4-BE49-F238E27FC236}">
              <a16:creationId xmlns:a16="http://schemas.microsoft.com/office/drawing/2014/main" id="{192C5621-C76D-45E0-A0AF-6D77920CA66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A4D2B155-01E9-47F6-83A4-1FD192A9BC0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9784DB64-81CF-421A-AA91-621ED206CE5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56">
          <a:extLst>
            <a:ext uri="{FF2B5EF4-FFF2-40B4-BE49-F238E27FC236}">
              <a16:creationId xmlns:a16="http://schemas.microsoft.com/office/drawing/2014/main" id="{7EE67858-86A0-4207-B21A-65EC6BAC394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6408BE7E-5738-46F9-AABD-97EA69AEC90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E79216C5-1EB7-4703-8FCB-E89AEBD1D43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1949E520-1C93-4475-B73E-0E231E94348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9E2D468A-21F6-47A0-8853-7C53D3ED7EA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D9D649E0-BF28-451A-B730-64754A53961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8AC310F1-089C-41FD-881B-AE2E811679A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72BB9AA1-7F3E-4644-BD76-365C8FDAFBD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F93846E9-768E-4844-8BFE-B3D7566B68A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4">
          <a:extLst>
            <a:ext uri="{FF2B5EF4-FFF2-40B4-BE49-F238E27FC236}">
              <a16:creationId xmlns:a16="http://schemas.microsoft.com/office/drawing/2014/main" id="{F6233538-F17D-4DBC-BCCF-1EAAECF7275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7">
          <a:extLst>
            <a:ext uri="{FF2B5EF4-FFF2-40B4-BE49-F238E27FC236}">
              <a16:creationId xmlns:a16="http://schemas.microsoft.com/office/drawing/2014/main" id="{71AF57AD-65FA-4772-9B1C-3722CCCE1E8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8">
          <a:extLst>
            <a:ext uri="{FF2B5EF4-FFF2-40B4-BE49-F238E27FC236}">
              <a16:creationId xmlns:a16="http://schemas.microsoft.com/office/drawing/2014/main" id="{C6A1DAE2-BA60-4389-8EBA-6AE342889F5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68">
          <a:extLst>
            <a:ext uri="{FF2B5EF4-FFF2-40B4-BE49-F238E27FC236}">
              <a16:creationId xmlns:a16="http://schemas.microsoft.com/office/drawing/2014/main" id="{C560A684-C1DC-4121-BEDA-C6F717C6084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69">
          <a:extLst>
            <a:ext uri="{FF2B5EF4-FFF2-40B4-BE49-F238E27FC236}">
              <a16:creationId xmlns:a16="http://schemas.microsoft.com/office/drawing/2014/main" id="{5DAF8719-76AA-49FF-BBFE-036B16A29EB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70">
          <a:extLst>
            <a:ext uri="{FF2B5EF4-FFF2-40B4-BE49-F238E27FC236}">
              <a16:creationId xmlns:a16="http://schemas.microsoft.com/office/drawing/2014/main" id="{0E0FE2BD-E03F-4E8E-9AD1-E87B76770E2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53.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35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3500-00000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3500-00000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35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35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35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35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35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00000000-0008-0000-3500-00000C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00000000-0008-0000-3500-00000D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00000000-0008-0000-3500-00000E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00000000-0008-0000-3500-00000F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00000000-0008-0000-3500-000010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00000000-0008-0000-3500-000011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8" name="TextBox 17">
          <a:extLst>
            <a:ext uri="{FF2B5EF4-FFF2-40B4-BE49-F238E27FC236}">
              <a16:creationId xmlns:a16="http://schemas.microsoft.com/office/drawing/2014/main" id="{00000000-0008-0000-3500-000012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9" name="TextBox 18">
          <a:extLst>
            <a:ext uri="{FF2B5EF4-FFF2-40B4-BE49-F238E27FC236}">
              <a16:creationId xmlns:a16="http://schemas.microsoft.com/office/drawing/2014/main" id="{00000000-0008-0000-3500-000013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0" name="TextBox 4">
          <a:extLst>
            <a:ext uri="{FF2B5EF4-FFF2-40B4-BE49-F238E27FC236}">
              <a16:creationId xmlns:a16="http://schemas.microsoft.com/office/drawing/2014/main" id="{00000000-0008-0000-3500-00001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7">
          <a:extLst>
            <a:ext uri="{FF2B5EF4-FFF2-40B4-BE49-F238E27FC236}">
              <a16:creationId xmlns:a16="http://schemas.microsoft.com/office/drawing/2014/main" id="{00000000-0008-0000-3500-00001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8">
          <a:extLst>
            <a:ext uri="{FF2B5EF4-FFF2-40B4-BE49-F238E27FC236}">
              <a16:creationId xmlns:a16="http://schemas.microsoft.com/office/drawing/2014/main" id="{00000000-0008-0000-3500-00001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00000000-0008-0000-3500-000017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00000000-0008-0000-3500-000018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00000000-0008-0000-3500-000019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00000000-0008-0000-3500-00001A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00000000-0008-0000-3500-00001B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00000000-0008-0000-3500-00001C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9" name="TextBox 28">
          <a:extLst>
            <a:ext uri="{FF2B5EF4-FFF2-40B4-BE49-F238E27FC236}">
              <a16:creationId xmlns:a16="http://schemas.microsoft.com/office/drawing/2014/main" id="{00000000-0008-0000-3500-00001D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0" name="TextBox 29">
          <a:extLst>
            <a:ext uri="{FF2B5EF4-FFF2-40B4-BE49-F238E27FC236}">
              <a16:creationId xmlns:a16="http://schemas.microsoft.com/office/drawing/2014/main" id="{00000000-0008-0000-3500-00001E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00000000-0008-0000-3500-00001F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00000000-0008-0000-3500-000020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00000000-0008-0000-3500-000021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00000000-0008-0000-3500-000022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00000000-0008-0000-3500-000023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00000000-0008-0000-3500-00002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00000000-0008-0000-3500-00002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00000000-0008-0000-3500-00002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00000000-0008-0000-3500-00002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0" name="TextBox 39">
          <a:extLst>
            <a:ext uri="{FF2B5EF4-FFF2-40B4-BE49-F238E27FC236}">
              <a16:creationId xmlns:a16="http://schemas.microsoft.com/office/drawing/2014/main" id="{00000000-0008-0000-3500-00002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1" name="TextBox 40">
          <a:extLst>
            <a:ext uri="{FF2B5EF4-FFF2-40B4-BE49-F238E27FC236}">
              <a16:creationId xmlns:a16="http://schemas.microsoft.com/office/drawing/2014/main" id="{00000000-0008-0000-3500-00002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00000000-0008-0000-3500-00002A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00000000-0008-0000-3500-00002B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00000000-0008-0000-3500-00002C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5" name="Picture 10" descr="VIAGS xanh">
          <a:hlinkClick xmlns:r="http://schemas.openxmlformats.org/officeDocument/2006/relationships" r:id="rId1"/>
          <a:extLst>
            <a:ext uri="{FF2B5EF4-FFF2-40B4-BE49-F238E27FC236}">
              <a16:creationId xmlns:a16="http://schemas.microsoft.com/office/drawing/2014/main" id="{F4A3F08B-9411-4B2E-98A7-4C281B77CC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6" name="Picture 4" descr="VIAGS xanh">
          <a:extLst>
            <a:ext uri="{FF2B5EF4-FFF2-40B4-BE49-F238E27FC236}">
              <a16:creationId xmlns:a16="http://schemas.microsoft.com/office/drawing/2014/main" id="{24248618-46F5-4C8F-AD63-D6ECBD8FAFEC}"/>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47" name="Picture 46" descr="VIAGS xanh">
          <a:extLst>
            <a:ext uri="{FF2B5EF4-FFF2-40B4-BE49-F238E27FC236}">
              <a16:creationId xmlns:a16="http://schemas.microsoft.com/office/drawing/2014/main" id="{32D15FDD-BE62-4BC4-8568-5EEC7AF9B93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B946A883-C4A8-4081-900A-B477082B200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1FD55CD5-B504-4655-9046-A9896E6EBC9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ACD88BE0-3DEA-4AD3-B65D-DA25A68F08A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3F8D89BA-04EB-4329-9E46-2DD67D81D14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5E42E721-F356-40E2-B124-F99776D8CA3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8F0DE256-8951-4B7E-B1FE-F79BED21416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4">
          <a:extLst>
            <a:ext uri="{FF2B5EF4-FFF2-40B4-BE49-F238E27FC236}">
              <a16:creationId xmlns:a16="http://schemas.microsoft.com/office/drawing/2014/main" id="{F2A66735-A1E1-4C6B-AF02-E11B242FB22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89C8B3AD-30B7-4122-BC8A-64B6D7E2338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125A9951-9A8C-40FC-9246-669B7F7F738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56">
          <a:extLst>
            <a:ext uri="{FF2B5EF4-FFF2-40B4-BE49-F238E27FC236}">
              <a16:creationId xmlns:a16="http://schemas.microsoft.com/office/drawing/2014/main" id="{0CCF5298-6271-4E37-8B3B-C5EF15F6D90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516252F7-4E19-4E2D-8BFC-1882B36896F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D8052E59-966A-4149-8AAD-574E3F29EC2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Nghĩa View" id="{A0D84891-C208-4887-AACA-FB22FC2FE014}">
    <nsvFilter filterId="{00000000-0009-0000-0000-000000000000}" ref="A2:E55" tableId="0">
      <columnFilter colId="4">
        <filter colId="4">
          <x:filters>
            <x:filter val="Nguyễn Đức Nghĩa"/>
          </x:filters>
        </filter>
      </columnFilter>
      <sortRules>
        <sortRule colId="0">
          <sortCondition ref="A2:A55"/>
        </sortRule>
      </sortRules>
    </nsvFilter>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2.bin"/></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3.bin"/></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CF55"/>
  <sheetViews>
    <sheetView workbookViewId="0">
      <pane xSplit="3" ySplit="2" topLeftCell="D3" activePane="bottomRight" state="frozen"/>
      <selection pane="bottomRight" activeCell="B3" sqref="B3"/>
      <selection pane="bottomLeft" activeCell="A3" sqref="A3"/>
      <selection pane="topRight" activeCell="D1" sqref="D1"/>
    </sheetView>
  </sheetViews>
  <sheetFormatPr defaultRowHeight="15.6"/>
  <cols>
    <col min="1" max="1" width="8.7109375" style="15" customWidth="1"/>
    <col min="2" max="2" width="93" style="1" customWidth="1"/>
    <col min="3" max="3" width="16.42578125" style="112" customWidth="1"/>
    <col min="4" max="4" width="16.7109375" customWidth="1"/>
    <col min="5" max="5" width="31.42578125" bestFit="1" customWidth="1"/>
    <col min="6" max="6" width="20.5703125" customWidth="1"/>
  </cols>
  <sheetData>
    <row r="1" spans="1:84" s="23" customFormat="1" ht="14.45">
      <c r="A1" s="121" t="s">
        <v>0</v>
      </c>
      <c r="B1" s="121"/>
      <c r="C1" s="109" t="s">
        <v>1</v>
      </c>
      <c r="F1" s="23" t="s">
        <v>2</v>
      </c>
    </row>
    <row r="2" spans="1:84" s="24" customFormat="1">
      <c r="A2" s="22" t="s">
        <v>3</v>
      </c>
      <c r="B2" s="39" t="s">
        <v>4</v>
      </c>
      <c r="C2" s="110" t="s">
        <v>5</v>
      </c>
      <c r="D2" s="24" t="s">
        <v>6</v>
      </c>
      <c r="E2" s="24" t="s">
        <v>7</v>
      </c>
    </row>
    <row r="3" spans="1:84" ht="14.45">
      <c r="A3" s="15">
        <v>1</v>
      </c>
      <c r="B3" s="41" t="str">
        <f>'1'!$D$7</f>
        <v>An toàn hàng không</v>
      </c>
      <c r="C3" s="28">
        <f>'1'!$D$9</f>
        <v>0</v>
      </c>
      <c r="D3" s="26" t="str">
        <f>'1'!$D$10</f>
        <v>TTĐT MB</v>
      </c>
      <c r="E3" s="26">
        <f>'1'!$D$11</f>
        <v>0</v>
      </c>
      <c r="F3" s="26"/>
      <c r="G3" s="26"/>
      <c r="H3" s="26"/>
      <c r="I3" s="28"/>
      <c r="J3" s="26"/>
      <c r="K3" s="26"/>
      <c r="L3" s="26"/>
      <c r="M3" s="26"/>
      <c r="N3" s="26"/>
      <c r="O3" s="26"/>
      <c r="P3" s="26"/>
      <c r="Q3" s="26"/>
      <c r="R3" s="26"/>
      <c r="S3" s="26"/>
      <c r="T3" s="26"/>
      <c r="U3" s="26"/>
      <c r="V3" s="26"/>
      <c r="W3" s="26"/>
      <c r="X3" s="26"/>
      <c r="Y3" s="29"/>
      <c r="Z3" s="26"/>
      <c r="AA3" s="26"/>
      <c r="AB3" s="26"/>
      <c r="AC3" s="26"/>
      <c r="AD3" s="26"/>
      <c r="AE3" s="29"/>
      <c r="AF3" s="26"/>
      <c r="AG3" s="29"/>
      <c r="AH3" s="26"/>
      <c r="AI3" s="26"/>
      <c r="AJ3" s="28"/>
      <c r="AK3" s="28"/>
      <c r="AL3" s="30"/>
      <c r="AM3" s="30"/>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row>
    <row r="4" spans="1:84">
      <c r="A4" s="15">
        <v>2</v>
      </c>
      <c r="B4" s="40" t="str">
        <f>'2'!$D$7</f>
        <v>Yếu tố con người</v>
      </c>
      <c r="C4" s="28">
        <f>'2'!$D9</f>
        <v>0</v>
      </c>
      <c r="D4" s="26" t="str">
        <f>'2'!$D$10</f>
        <v>TTĐT MB</v>
      </c>
      <c r="E4" s="26">
        <f>'2'!$D$11</f>
        <v>0</v>
      </c>
      <c r="F4" s="26"/>
    </row>
    <row r="5" spans="1:84">
      <c r="A5" s="15">
        <v>3</v>
      </c>
      <c r="B5" s="40" t="str">
        <f>'3'!$D$7</f>
        <v>Công tác khẩn nguy tại cảng hàng không, sân bay</v>
      </c>
      <c r="C5" s="28">
        <f>'3'!$D9</f>
        <v>0</v>
      </c>
      <c r="D5" s="26" t="str">
        <f>'3'!$D$10</f>
        <v>TTĐT MB</v>
      </c>
      <c r="E5" s="26">
        <f>'3'!$D$11</f>
        <v>0</v>
      </c>
      <c r="F5" s="26"/>
    </row>
    <row r="6" spans="1:84">
      <c r="A6" s="15">
        <v>4</v>
      </c>
      <c r="B6" s="40" t="str">
        <f>'4'!$D$7</f>
        <v>Pháp luật về hàng không dân dụng</v>
      </c>
      <c r="C6" s="28">
        <f>'4'!$D9</f>
        <v>0</v>
      </c>
      <c r="D6" s="28" t="str">
        <f>'4'!$D$10</f>
        <v>TTĐT MB</v>
      </c>
      <c r="E6" s="28">
        <f>'4'!$D$11</f>
        <v>0</v>
      </c>
      <c r="F6" s="26"/>
    </row>
    <row r="7" spans="1:84">
      <c r="A7" s="15">
        <v>5</v>
      </c>
      <c r="B7" s="40" t="str">
        <f>'5'!$D$7</f>
        <v>An ninh hàng không dành cho nhân viên phục vụ kỹ thuật thương mại mặt đất của các đơn vị cung cấp dịch vụ hàng không tại cảng hàng không, sân bay</v>
      </c>
      <c r="C7" s="28">
        <f>'5'!$D$9</f>
        <v>0</v>
      </c>
      <c r="D7" s="26" t="str">
        <f>'5'!$D$10</f>
        <v>TTĐT MB</v>
      </c>
      <c r="E7" s="26">
        <f>'5'!$D$11</f>
        <v>0</v>
      </c>
      <c r="F7" s="28"/>
    </row>
    <row r="8" spans="1:84">
      <c r="A8" s="15">
        <v>6</v>
      </c>
      <c r="B8" s="40" t="str">
        <f>'6'!$D$7</f>
        <v>Hàng nguy hiểm dành cho người thực hiện nhiệm vụ có tiếp xúc trực tiếp với hành khách tại sân bay</v>
      </c>
      <c r="C8" s="28">
        <f>'6'!$D$9</f>
        <v>0</v>
      </c>
      <c r="D8" s="26" t="str">
        <f>'6'!$D$10</f>
        <v>TTĐT MB</v>
      </c>
      <c r="E8" s="26">
        <f>'6'!$D$11</f>
        <v>0</v>
      </c>
      <c r="F8" s="26"/>
    </row>
    <row r="9" spans="1:84">
      <c r="A9" s="15">
        <v>7</v>
      </c>
      <c r="B9" s="40" t="str">
        <f>'7'!$D$7</f>
        <v>HNH dành cho người chịu trách nhiệm chấp nhận hành lý của hành khách và tổ bay, kiểm soát khu vực cửa khởi hành</v>
      </c>
      <c r="C9" s="28">
        <f>'7'!$D$9</f>
        <v>0</v>
      </c>
      <c r="D9" s="26" t="str">
        <f>'7'!$D$10</f>
        <v>TTĐT MB</v>
      </c>
      <c r="E9" s="26">
        <f>'7'!$D$11</f>
        <v>0</v>
      </c>
      <c r="F9" s="26"/>
    </row>
    <row r="10" spans="1:84">
      <c r="A10" s="15">
        <v>8</v>
      </c>
      <c r="B10" s="40" t="str">
        <f>'8'!$D$7</f>
        <v xml:space="preserve">Nghiệp vụ làm thủ tục hành khách QN </v>
      </c>
      <c r="C10" s="28">
        <f>'8'!$D$9</f>
        <v>0</v>
      </c>
      <c r="D10" s="26" t="str">
        <f>'8'!$D$10</f>
        <v>TTĐT MB</v>
      </c>
      <c r="E10" s="26">
        <f>'8'!$D$11</f>
        <v>0</v>
      </c>
      <c r="F10" s="26"/>
    </row>
    <row r="11" spans="1:84">
      <c r="A11" s="15">
        <v>9</v>
      </c>
      <c r="B11" s="40" t="str">
        <f>'9'!$D$7</f>
        <v xml:space="preserve">Nghiệp vụ làm thủ tục hành khách Quốc tế </v>
      </c>
      <c r="C11" s="28">
        <f>'9'!$D$9</f>
        <v>0</v>
      </c>
      <c r="D11" s="26" t="str">
        <f>'9'!$D$10</f>
        <v>TTĐT MB</v>
      </c>
      <c r="E11" s="26">
        <f>'9'!$D$11</f>
        <v>0</v>
      </c>
      <c r="F11" s="26"/>
    </row>
    <row r="12" spans="1:84">
      <c r="A12" s="15">
        <v>10</v>
      </c>
      <c r="B12" s="40">
        <f>'10'!$D$7</f>
        <v>0</v>
      </c>
      <c r="C12" s="28">
        <f>'10'!$D$9</f>
        <v>0</v>
      </c>
      <c r="D12" s="26" t="str">
        <f>'10'!$D$10</f>
        <v>TTĐT MB</v>
      </c>
      <c r="E12" s="26">
        <f>'10'!$D$11</f>
        <v>0</v>
      </c>
      <c r="F12" s="26"/>
    </row>
    <row r="13" spans="1:84">
      <c r="A13" s="15">
        <v>11</v>
      </c>
      <c r="B13" s="40" t="str">
        <f>'11'!$D$7</f>
        <v>An toàn hàng không</v>
      </c>
      <c r="C13" s="28">
        <f>'11'!$D$9</f>
        <v>0</v>
      </c>
      <c r="D13" s="26" t="str">
        <f>'11'!$D$10</f>
        <v>TTĐT MB</v>
      </c>
      <c r="E13" s="26">
        <f>'11'!$D$11</f>
        <v>0</v>
      </c>
      <c r="F13" s="26"/>
    </row>
    <row r="14" spans="1:84">
      <c r="A14" s="15">
        <v>12</v>
      </c>
      <c r="B14" s="40">
        <f>'12'!$D$7</f>
        <v>0</v>
      </c>
      <c r="C14" s="28">
        <f>'12'!$D$9</f>
        <v>0</v>
      </c>
      <c r="D14" s="26" t="str">
        <f>'12'!$D$10</f>
        <v>TTĐT MB</v>
      </c>
      <c r="E14" s="26">
        <f>'12'!$D$11</f>
        <v>0</v>
      </c>
      <c r="F14" s="26"/>
    </row>
    <row r="15" spans="1:84">
      <c r="A15" s="15">
        <v>13</v>
      </c>
      <c r="B15" s="40">
        <f>'13'!$D$7</f>
        <v>0</v>
      </c>
      <c r="C15" s="28">
        <f>'13'!$D$9</f>
        <v>0</v>
      </c>
      <c r="D15" s="26" t="str">
        <f>'13'!$D$10</f>
        <v>TTĐT MB</v>
      </c>
      <c r="E15" s="26">
        <f>'13'!$D$11</f>
        <v>0</v>
      </c>
      <c r="F15" s="26"/>
    </row>
    <row r="16" spans="1:84">
      <c r="A16" s="15">
        <v>14</v>
      </c>
      <c r="B16" s="40">
        <f>'14'!$D$7</f>
        <v>0</v>
      </c>
      <c r="C16" s="28">
        <f>'14'!$D$9</f>
        <v>0</v>
      </c>
      <c r="D16" s="26" t="str">
        <f>'14'!$D$10</f>
        <v>TTĐT MB</v>
      </c>
      <c r="E16" s="26">
        <f>'14'!$D$11</f>
        <v>0</v>
      </c>
      <c r="F16" s="26"/>
    </row>
    <row r="17" spans="1:6">
      <c r="A17" s="15">
        <v>15</v>
      </c>
      <c r="B17" s="40">
        <f>'15'!$D$7</f>
        <v>0</v>
      </c>
      <c r="C17" s="28">
        <f>'15'!$D$9</f>
        <v>0</v>
      </c>
      <c r="D17" s="26" t="str">
        <f>'15'!$D$10</f>
        <v>TTĐT MB</v>
      </c>
      <c r="E17" s="26">
        <f>'15'!$D$11</f>
        <v>0</v>
      </c>
      <c r="F17" s="26"/>
    </row>
    <row r="18" spans="1:6">
      <c r="A18" s="15">
        <v>16</v>
      </c>
      <c r="B18" s="40">
        <f>'16'!$D$7</f>
        <v>0</v>
      </c>
      <c r="C18" s="28">
        <f>'16'!$D$9</f>
        <v>0</v>
      </c>
      <c r="D18" s="26" t="str">
        <f>'16'!$D$10</f>
        <v>TTĐT MB</v>
      </c>
      <c r="E18" s="26">
        <f>'16'!$D$11</f>
        <v>0</v>
      </c>
      <c r="F18" s="26"/>
    </row>
    <row r="19" spans="1:6">
      <c r="A19" s="15">
        <v>17</v>
      </c>
      <c r="B19" s="40">
        <f>'17'!$D$7</f>
        <v>0</v>
      </c>
      <c r="C19" s="28">
        <f>'17'!$D$9</f>
        <v>0</v>
      </c>
      <c r="D19" s="26" t="str">
        <f>'17'!$D$10</f>
        <v>TTĐT MB</v>
      </c>
      <c r="E19" s="26">
        <f>'17'!$D11</f>
        <v>0</v>
      </c>
      <c r="F19" s="26"/>
    </row>
    <row r="20" spans="1:6">
      <c r="A20" s="15">
        <v>18</v>
      </c>
      <c r="B20" s="40">
        <f>'18'!$D$7</f>
        <v>0</v>
      </c>
      <c r="C20" s="28">
        <f>'18'!$D$9</f>
        <v>0</v>
      </c>
      <c r="D20" s="26" t="str">
        <f>'18'!$D$10</f>
        <v>TTĐT MB</v>
      </c>
      <c r="E20" s="26">
        <f>'18'!$D$11</f>
        <v>0</v>
      </c>
      <c r="F20" s="26"/>
    </row>
    <row r="21" spans="1:6">
      <c r="A21" s="15">
        <v>19</v>
      </c>
      <c r="B21" s="40">
        <f>'19'!$D$7</f>
        <v>0</v>
      </c>
      <c r="C21" s="28">
        <f>'19'!$D$9</f>
        <v>0</v>
      </c>
      <c r="D21" s="26" t="str">
        <f>'19'!$D$10</f>
        <v>TTĐT MB</v>
      </c>
      <c r="E21" s="26">
        <f>'19'!$D$11</f>
        <v>0</v>
      </c>
      <c r="F21" s="26"/>
    </row>
    <row r="22" spans="1:6">
      <c r="A22" s="15">
        <v>20</v>
      </c>
      <c r="B22" s="40">
        <f>'20'!$D$7</f>
        <v>0</v>
      </c>
      <c r="C22" s="30">
        <f>'20'!$D$9</f>
        <v>0</v>
      </c>
      <c r="D22" s="29" t="str">
        <f>'20'!$D$10</f>
        <v>TTĐT MB</v>
      </c>
      <c r="E22" s="29">
        <f>'20'!$D$11</f>
        <v>0</v>
      </c>
      <c r="F22" s="26"/>
    </row>
    <row r="23" spans="1:6">
      <c r="A23" s="15">
        <v>21</v>
      </c>
      <c r="B23" s="40">
        <f>'21'!$D$7</f>
        <v>0</v>
      </c>
      <c r="C23" s="28">
        <f>'21'!$D$9</f>
        <v>0</v>
      </c>
      <c r="D23" s="26" t="str">
        <f>'21'!$D$10</f>
        <v>TTĐT MB</v>
      </c>
      <c r="E23" s="26">
        <f>'21'!$D$11</f>
        <v>0</v>
      </c>
      <c r="F23" s="29"/>
    </row>
    <row r="24" spans="1:6">
      <c r="A24" s="15">
        <v>22</v>
      </c>
      <c r="B24" s="40">
        <f>'22'!$D$7</f>
        <v>0</v>
      </c>
      <c r="C24" s="28">
        <f>'22'!$D$9</f>
        <v>0</v>
      </c>
      <c r="D24" s="26" t="str">
        <f>'22'!$D$10</f>
        <v>TTĐT MB</v>
      </c>
      <c r="E24" s="26">
        <f>'22'!$D$11</f>
        <v>0</v>
      </c>
      <c r="F24" s="26"/>
    </row>
    <row r="25" spans="1:6" s="53" customFormat="1" ht="14.45">
      <c r="A25" s="64">
        <v>23</v>
      </c>
      <c r="B25" s="65">
        <f>'23'!$D$7</f>
        <v>0</v>
      </c>
      <c r="C25" s="28">
        <f>'23'!$D$9</f>
        <v>0</v>
      </c>
      <c r="D25" s="26" t="str">
        <f>'23'!$D$10</f>
        <v>TTĐT MB</v>
      </c>
      <c r="E25" s="26">
        <f>'23'!$D$11</f>
        <v>0</v>
      </c>
      <c r="F25" s="26"/>
    </row>
    <row r="26" spans="1:6">
      <c r="A26" s="15">
        <v>24</v>
      </c>
      <c r="B26" s="40">
        <f>'24'!$D$7</f>
        <v>0</v>
      </c>
      <c r="C26" s="28">
        <f>'24'!$D$9</f>
        <v>0</v>
      </c>
      <c r="D26" s="26" t="str">
        <f>'24'!$D$10</f>
        <v>TTĐT MB</v>
      </c>
      <c r="E26" s="26">
        <f>'24'!$D$11</f>
        <v>0</v>
      </c>
      <c r="F26" s="26"/>
    </row>
    <row r="27" spans="1:6">
      <c r="A27" s="15">
        <v>25</v>
      </c>
      <c r="B27" s="40">
        <f>'25'!$D$7</f>
        <v>0</v>
      </c>
      <c r="C27" s="28">
        <f>'25'!$D$9</f>
        <v>0</v>
      </c>
      <c r="D27" s="26" t="str">
        <f>'25'!$D$10</f>
        <v>TTĐT MB</v>
      </c>
      <c r="E27" s="26">
        <f>'25'!$D$11</f>
        <v>0</v>
      </c>
      <c r="F27" s="26"/>
    </row>
    <row r="28" spans="1:6">
      <c r="A28" s="15">
        <v>26</v>
      </c>
      <c r="B28" s="40">
        <f>'26'!$D$7</f>
        <v>0</v>
      </c>
      <c r="C28" s="30">
        <f>'26'!$D$9</f>
        <v>0</v>
      </c>
      <c r="D28" s="29" t="str">
        <f>'26'!$D$10</f>
        <v>TTĐT MB</v>
      </c>
      <c r="E28" s="29">
        <f>'26'!$D$11</f>
        <v>0</v>
      </c>
      <c r="F28" s="26"/>
    </row>
    <row r="29" spans="1:6">
      <c r="A29" s="15">
        <v>27</v>
      </c>
      <c r="B29" s="40">
        <f>'27'!$D$7</f>
        <v>0</v>
      </c>
      <c r="C29" s="28">
        <f>'27'!$D$9</f>
        <v>0</v>
      </c>
      <c r="D29" s="26" t="str">
        <f>'27'!$D$10</f>
        <v>TTĐT MB</v>
      </c>
      <c r="E29" s="26">
        <f>'27'!$D$11</f>
        <v>0</v>
      </c>
      <c r="F29" s="29"/>
    </row>
    <row r="30" spans="1:6">
      <c r="A30" s="15">
        <v>28</v>
      </c>
      <c r="B30" s="40">
        <f>'28'!$D$7</f>
        <v>0</v>
      </c>
      <c r="C30" s="30">
        <f>'28'!$D$9</f>
        <v>0</v>
      </c>
      <c r="D30" s="29" t="str">
        <f>'28'!$D$10</f>
        <v>TTĐT MB</v>
      </c>
      <c r="E30" s="29">
        <f>'28'!$D$11</f>
        <v>0</v>
      </c>
      <c r="F30" s="26"/>
    </row>
    <row r="31" spans="1:6">
      <c r="A31" s="15">
        <v>29</v>
      </c>
      <c r="B31" s="40">
        <f>'29'!$D$7</f>
        <v>0</v>
      </c>
      <c r="C31" s="28">
        <f>'29'!$D$9</f>
        <v>0</v>
      </c>
      <c r="D31" s="26" t="str">
        <f>'29'!$D$10</f>
        <v>TTĐT MB</v>
      </c>
      <c r="E31" s="26">
        <f>'29'!$D$11</f>
        <v>0</v>
      </c>
      <c r="F31" s="29"/>
    </row>
    <row r="32" spans="1:6">
      <c r="A32" s="15">
        <v>30</v>
      </c>
      <c r="B32" s="40">
        <f>'30'!$D$7</f>
        <v>0</v>
      </c>
      <c r="C32" s="28">
        <f>'30'!$D$9</f>
        <v>0</v>
      </c>
      <c r="D32" s="26" t="str">
        <f>'30'!$D$10</f>
        <v>TTĐT MB</v>
      </c>
      <c r="E32" s="26">
        <f>'30'!$D$11</f>
        <v>0</v>
      </c>
      <c r="F32" s="26"/>
    </row>
    <row r="33" spans="1:6">
      <c r="A33" s="15">
        <v>31</v>
      </c>
      <c r="B33" s="40">
        <f>'31'!$D$7</f>
        <v>0</v>
      </c>
      <c r="C33" s="28">
        <f>'31'!$D$9</f>
        <v>0</v>
      </c>
      <c r="D33" s="28" t="str">
        <f>'31'!$D$10</f>
        <v>TTĐT MB</v>
      </c>
      <c r="E33" s="28">
        <f>'31'!$D$11</f>
        <v>0</v>
      </c>
      <c r="F33" s="26"/>
    </row>
    <row r="34" spans="1:6">
      <c r="A34" s="15">
        <v>32</v>
      </c>
      <c r="B34" s="40">
        <f>'32'!$D$7</f>
        <v>0</v>
      </c>
      <c r="C34" s="28">
        <f>'32'!$D$9</f>
        <v>0</v>
      </c>
      <c r="D34" s="28" t="str">
        <f>'32'!$D$10</f>
        <v>TTĐT MB</v>
      </c>
      <c r="E34" s="28">
        <f>'32'!$D$11</f>
        <v>0</v>
      </c>
      <c r="F34" s="28"/>
    </row>
    <row r="35" spans="1:6">
      <c r="A35" s="15">
        <v>33</v>
      </c>
      <c r="B35" s="40">
        <f>'33'!$D$7</f>
        <v>0</v>
      </c>
      <c r="C35" s="30">
        <f>'33'!$D$9</f>
        <v>0</v>
      </c>
      <c r="D35" s="30" t="str">
        <f>'33'!$D$10</f>
        <v>TTĐT MB</v>
      </c>
      <c r="E35" s="30">
        <f>'33'!$D$11</f>
        <v>0</v>
      </c>
      <c r="F35" s="28"/>
    </row>
    <row r="36" spans="1:6">
      <c r="A36" s="15">
        <v>34</v>
      </c>
      <c r="B36" s="40">
        <f>'34'!$D$7</f>
        <v>0</v>
      </c>
      <c r="C36" s="30">
        <f>'34'!$D$9</f>
        <v>0</v>
      </c>
      <c r="D36" s="30" t="str">
        <f>'34'!$D$10</f>
        <v>TTĐT MB</v>
      </c>
      <c r="E36" s="30">
        <f>'34'!$D$11</f>
        <v>0</v>
      </c>
      <c r="F36" s="30"/>
    </row>
    <row r="37" spans="1:6">
      <c r="A37" s="15">
        <v>35</v>
      </c>
      <c r="B37" s="40">
        <f>'35'!$D$7</f>
        <v>0</v>
      </c>
      <c r="C37" s="31">
        <f>'35'!$D$9</f>
        <v>0</v>
      </c>
      <c r="D37" s="31" t="str">
        <f>'35'!$D$10</f>
        <v>TTĐT MB</v>
      </c>
      <c r="E37" s="31">
        <f>'35'!$D$11</f>
        <v>0</v>
      </c>
      <c r="F37" s="30"/>
    </row>
    <row r="38" spans="1:6">
      <c r="A38" s="15">
        <v>36</v>
      </c>
      <c r="B38" s="40">
        <f>'36'!$D$7</f>
        <v>0</v>
      </c>
      <c r="C38" s="31">
        <f>'36'!$D$9</f>
        <v>0</v>
      </c>
      <c r="D38" s="31" t="str">
        <f>'36'!$D$10</f>
        <v>TTĐT MB</v>
      </c>
      <c r="E38" s="31">
        <f>'36'!$D$11</f>
        <v>0</v>
      </c>
      <c r="F38" s="31"/>
    </row>
    <row r="39" spans="1:6">
      <c r="A39" s="15">
        <v>37</v>
      </c>
      <c r="B39" s="40">
        <f>'37'!$D$7</f>
        <v>0</v>
      </c>
      <c r="C39" s="31">
        <f>'37'!$D$9</f>
        <v>0</v>
      </c>
      <c r="D39" s="31" t="str">
        <f>'37'!$D$10</f>
        <v>TTĐT MB</v>
      </c>
      <c r="E39" s="31">
        <f>'37'!$D$11</f>
        <v>0</v>
      </c>
      <c r="F39" s="31"/>
    </row>
    <row r="40" spans="1:6">
      <c r="A40" s="15">
        <v>38</v>
      </c>
      <c r="B40" s="40">
        <f>'38'!$D$7</f>
        <v>0</v>
      </c>
      <c r="C40" s="31">
        <f>'38'!$D$9</f>
        <v>0</v>
      </c>
      <c r="D40" s="31" t="str">
        <f>'38'!$D$10</f>
        <v>TTĐT MB</v>
      </c>
      <c r="E40" s="31">
        <f>'38'!$D$11</f>
        <v>0</v>
      </c>
      <c r="F40" s="31"/>
    </row>
    <row r="41" spans="1:6">
      <c r="A41" s="15">
        <v>39</v>
      </c>
      <c r="B41" s="40">
        <f>'39'!$D$7</f>
        <v>0</v>
      </c>
      <c r="C41" s="31">
        <f>'39'!$D$9</f>
        <v>0</v>
      </c>
      <c r="D41" s="31" t="str">
        <f>'39'!$D$10</f>
        <v>TTĐT MB</v>
      </c>
      <c r="E41" s="31">
        <f>'39'!$D$11</f>
        <v>0</v>
      </c>
      <c r="F41" s="31"/>
    </row>
    <row r="42" spans="1:6" ht="14.45">
      <c r="A42" s="15">
        <v>40</v>
      </c>
      <c r="B42" s="41">
        <f>'40'!$D$7</f>
        <v>0</v>
      </c>
      <c r="C42" s="111">
        <f>'40'!$D$9</f>
        <v>0</v>
      </c>
      <c r="D42" s="23" t="str">
        <f>'40'!$D$10</f>
        <v>TTĐT MB</v>
      </c>
      <c r="E42" s="23">
        <f>'40'!$D$11</f>
        <v>0</v>
      </c>
      <c r="F42" s="31"/>
    </row>
    <row r="43" spans="1:6">
      <c r="A43" s="15">
        <v>41</v>
      </c>
      <c r="B43" s="40">
        <f>'41'!$D$7</f>
        <v>0</v>
      </c>
      <c r="C43" s="31">
        <f>'41'!$D$9</f>
        <v>0</v>
      </c>
      <c r="D43" s="31" t="str">
        <f>'41'!$D$10</f>
        <v>TTĐT MB</v>
      </c>
      <c r="E43" s="31">
        <f>'41'!$D$11</f>
        <v>0</v>
      </c>
      <c r="F43" s="31"/>
    </row>
    <row r="44" spans="1:6" ht="14.45">
      <c r="A44" s="15">
        <v>42</v>
      </c>
      <c r="B44" s="41">
        <f>'42'!$D$7</f>
        <v>0</v>
      </c>
      <c r="C44" s="31">
        <f>'42'!$D$9</f>
        <v>0</v>
      </c>
      <c r="D44" s="31" t="str">
        <f>'42'!$D$10</f>
        <v>TTĐT MB</v>
      </c>
      <c r="E44" s="31">
        <f>'42'!$D$11</f>
        <v>0</v>
      </c>
      <c r="F44" s="31"/>
    </row>
    <row r="45" spans="1:6" ht="14.45">
      <c r="A45" s="15">
        <v>43</v>
      </c>
      <c r="B45" s="41">
        <f>'43'!$D$7</f>
        <v>0</v>
      </c>
      <c r="C45" s="31">
        <f>'43'!$D$9</f>
        <v>0</v>
      </c>
      <c r="D45" s="31" t="str">
        <f>'43'!$D$10</f>
        <v>TTĐT MB</v>
      </c>
      <c r="E45" s="31">
        <f>'43'!$D$11</f>
        <v>0</v>
      </c>
      <c r="F45" s="31"/>
    </row>
    <row r="46" spans="1:6" ht="14.45">
      <c r="A46" s="15">
        <v>44</v>
      </c>
      <c r="B46" s="41">
        <f>'44'!$D$7</f>
        <v>0</v>
      </c>
      <c r="C46" s="31">
        <f>'44'!$D$9</f>
        <v>0</v>
      </c>
      <c r="D46" s="31" t="str">
        <f>'44'!$D$10</f>
        <v>TTĐT MB</v>
      </c>
      <c r="E46" s="31">
        <f>'44'!$D$11</f>
        <v>0</v>
      </c>
      <c r="F46" s="31"/>
    </row>
    <row r="47" spans="1:6">
      <c r="A47" s="15">
        <v>45</v>
      </c>
      <c r="B47" s="40">
        <f>'45'!$D$7</f>
        <v>0</v>
      </c>
      <c r="C47" s="31">
        <f>'45'!$D$9</f>
        <v>0</v>
      </c>
      <c r="D47" s="31" t="str">
        <f>'45'!$D$10</f>
        <v>TTĐT MB</v>
      </c>
      <c r="E47" s="31">
        <f>'45'!$D$11</f>
        <v>0</v>
      </c>
      <c r="F47" s="31"/>
    </row>
    <row r="48" spans="1:6">
      <c r="A48" s="15">
        <v>46</v>
      </c>
      <c r="B48" s="40">
        <f>'46'!$D$7</f>
        <v>0</v>
      </c>
      <c r="C48" s="31">
        <f>'46'!$D$9</f>
        <v>0</v>
      </c>
      <c r="D48" s="31" t="str">
        <f>'46'!$D$10</f>
        <v>TTĐT MB</v>
      </c>
      <c r="E48" s="31">
        <f>'46'!$D$11</f>
        <v>0</v>
      </c>
      <c r="F48" s="31"/>
    </row>
    <row r="49" spans="1:6">
      <c r="A49" s="15">
        <v>47</v>
      </c>
      <c r="B49" s="40">
        <f>'47'!$D$7</f>
        <v>0</v>
      </c>
      <c r="C49" s="31">
        <f>'47'!$D$9</f>
        <v>0</v>
      </c>
      <c r="D49" s="31" t="str">
        <f>'47'!$D$10</f>
        <v>TTĐT MB</v>
      </c>
      <c r="E49" s="31">
        <f>'47'!$D$11</f>
        <v>0</v>
      </c>
      <c r="F49" s="31"/>
    </row>
    <row r="50" spans="1:6">
      <c r="A50" s="15">
        <v>48</v>
      </c>
      <c r="B50" s="40">
        <f>'48'!$D$7</f>
        <v>0</v>
      </c>
      <c r="C50" s="31">
        <f>'48'!$D$9</f>
        <v>0</v>
      </c>
      <c r="D50" s="31" t="str">
        <f>'48'!$D$10</f>
        <v>TTĐT MB</v>
      </c>
      <c r="E50" s="31">
        <f>'48'!$D$11</f>
        <v>0</v>
      </c>
      <c r="F50" s="31"/>
    </row>
    <row r="51" spans="1:6">
      <c r="A51" s="15">
        <v>49</v>
      </c>
      <c r="B51" s="40">
        <f>'49'!$D$7</f>
        <v>0</v>
      </c>
      <c r="C51" s="31">
        <f>'49'!$D$9</f>
        <v>0</v>
      </c>
      <c r="D51" s="31" t="str">
        <f>'49'!$D$10</f>
        <v>TTĐT MB</v>
      </c>
      <c r="E51" s="31">
        <f>'49'!$D$11</f>
        <v>0</v>
      </c>
      <c r="F51" s="31"/>
    </row>
    <row r="52" spans="1:6">
      <c r="A52" s="15">
        <v>50</v>
      </c>
      <c r="B52" s="40">
        <f>'50'!$D$7</f>
        <v>0</v>
      </c>
      <c r="C52" s="31">
        <f>'50'!$D$9</f>
        <v>0</v>
      </c>
      <c r="D52" s="31" t="str">
        <f>'50'!$D$10</f>
        <v>TTĐT MB</v>
      </c>
      <c r="E52" s="31">
        <f>'50'!$D$11</f>
        <v>0</v>
      </c>
      <c r="F52" s="31"/>
    </row>
    <row r="53" spans="1:6">
      <c r="A53" s="15">
        <v>51</v>
      </c>
      <c r="B53" s="40">
        <f>'51'!$D$7</f>
        <v>0</v>
      </c>
      <c r="C53" s="31">
        <f>'51'!$D$9</f>
        <v>0</v>
      </c>
      <c r="D53" s="31" t="str">
        <f>'51'!$D$10</f>
        <v>TTĐT MB</v>
      </c>
      <c r="E53" s="31">
        <f>'51'!$D$11</f>
        <v>0</v>
      </c>
      <c r="F53" s="31"/>
    </row>
    <row r="54" spans="1:6">
      <c r="A54" s="15">
        <v>52</v>
      </c>
      <c r="B54" s="40">
        <f>'52'!$D$7</f>
        <v>0</v>
      </c>
      <c r="C54" s="31">
        <f>'52'!$D$9</f>
        <v>0</v>
      </c>
      <c r="D54" s="31" t="str">
        <f>'52'!$D$10</f>
        <v>TTĐT MB</v>
      </c>
      <c r="E54" s="31">
        <f>'52'!$D$11</f>
        <v>0</v>
      </c>
      <c r="F54" s="31"/>
    </row>
    <row r="55" spans="1:6" ht="14.45">
      <c r="A55" s="15">
        <v>53</v>
      </c>
      <c r="B55" s="41">
        <f>'53'!$D$7</f>
        <v>0</v>
      </c>
      <c r="C55" s="31">
        <f>'53'!$D$9</f>
        <v>0</v>
      </c>
      <c r="D55" s="31" t="str">
        <f>'53'!$D$10</f>
        <v>TTĐT MB</v>
      </c>
      <c r="E55" s="31">
        <f>'53'!$D$11</f>
        <v>0</v>
      </c>
      <c r="F55" s="31"/>
    </row>
  </sheetData>
  <sheetProtection formatCells="0" formatColumns="0" formatRows="0" insertColumns="0" insertRows="0" insertHyperlinks="0" deleteColumns="0" deleteRows="0" sort="0" autoFilter="0" pivotTables="0"/>
  <autoFilter ref="A2:E55" xr:uid="{00000000-0009-0000-0000-000000000000}">
    <sortState xmlns:xlrd2="http://schemas.microsoft.com/office/spreadsheetml/2017/richdata2" ref="A3:E32">
      <sortCondition ref="A2"/>
    </sortState>
  </autoFilter>
  <mergeCells count="1">
    <mergeCell ref="A1:B1"/>
  </mergeCells>
  <hyperlinks>
    <hyperlink ref="B4" location="'2'!A1" display="'2'!A1" xr:uid="{00000000-0004-0000-0000-000000000000}"/>
    <hyperlink ref="B6" location="'4'!A1" display="'4'!A1" xr:uid="{00000000-0004-0000-0000-000002000000}"/>
    <hyperlink ref="B7" location="'5'!A1" display="'5'!A1" xr:uid="{00000000-0004-0000-0000-000003000000}"/>
    <hyperlink ref="B8" location="'6'!A1" display="'6'!A1" xr:uid="{00000000-0004-0000-0000-000004000000}"/>
    <hyperlink ref="B9" location="'7'!A1" display="'7'!A1" xr:uid="{00000000-0004-0000-0000-000005000000}"/>
    <hyperlink ref="B10" location="'8'!A1" display="'8'!A1" xr:uid="{00000000-0004-0000-0000-000006000000}"/>
    <hyperlink ref="B11" location="'9'!A1" display="'9'!A1" xr:uid="{00000000-0004-0000-0000-000007000000}"/>
    <hyperlink ref="B12" location="'10'!A1" display="'10'!A1" xr:uid="{00000000-0004-0000-0000-000008000000}"/>
    <hyperlink ref="B13" location="'11'!A1" display="'11'!A1" xr:uid="{00000000-0004-0000-0000-000009000000}"/>
    <hyperlink ref="B18" location="'16'!A1" display="'16'!A1" xr:uid="{00000000-0004-0000-0000-00000A000000}"/>
    <hyperlink ref="B19" location="'17'!A1" display="'17'!A1" xr:uid="{00000000-0004-0000-0000-00000B000000}"/>
    <hyperlink ref="B20" location="'18'!A1" display="'18'!A1" xr:uid="{00000000-0004-0000-0000-00000C000000}"/>
    <hyperlink ref="B21" location="'19'!A1" display="'19'!A1" xr:uid="{00000000-0004-0000-0000-00000D000000}"/>
    <hyperlink ref="B22" location="'20'!A1" display="'20'!A1" xr:uid="{00000000-0004-0000-0000-00000E000000}"/>
    <hyperlink ref="B23" location="'21'!A1" display="'21'!A1" xr:uid="{00000000-0004-0000-0000-00000F000000}"/>
    <hyperlink ref="B24" location="'22'!A1" display="'22'!A1" xr:uid="{00000000-0004-0000-0000-000010000000}"/>
    <hyperlink ref="B26" location="'24'!A1" display="'24'!A1" xr:uid="{00000000-0004-0000-0000-000011000000}"/>
    <hyperlink ref="B27" location="'25'!A1" display="'25'!A1" xr:uid="{00000000-0004-0000-0000-000012000000}"/>
    <hyperlink ref="B28" location="'26'!A1" display="'26'!A1" xr:uid="{00000000-0004-0000-0000-000013000000}"/>
    <hyperlink ref="B29" location="'27'!A1" display="'27'!A1" xr:uid="{00000000-0004-0000-0000-000014000000}"/>
    <hyperlink ref="A30" location="'28'!A1" display="'28'!A1" xr:uid="{00000000-0004-0000-0000-000015000000}"/>
    <hyperlink ref="B31" location="'29'!A1" display="'29'!A1" xr:uid="{00000000-0004-0000-0000-000016000000}"/>
    <hyperlink ref="B32" location="'30'!A1" display="'30'!A1" xr:uid="{00000000-0004-0000-0000-000017000000}"/>
    <hyperlink ref="B33" location="'31'!A1" display="'31'!A1" xr:uid="{00000000-0004-0000-0000-000018000000}"/>
    <hyperlink ref="B34" location="'32'!A1" display="'32'!A1" xr:uid="{00000000-0004-0000-0000-000019000000}"/>
    <hyperlink ref="B35" location="'33'!A1" display="'33'!A1" xr:uid="{00000000-0004-0000-0000-00001A000000}"/>
    <hyperlink ref="B36" location="'34'!A1" display="'34'!A1" xr:uid="{00000000-0004-0000-0000-00001B000000}"/>
    <hyperlink ref="B37" location="'35'!A1" display="'35'!A1" xr:uid="{00000000-0004-0000-0000-00001C000000}"/>
    <hyperlink ref="B38" location="'36'!A1" display="'36'!A1" xr:uid="{00000000-0004-0000-0000-00001D000000}"/>
    <hyperlink ref="B39" location="'37'!A1" display="'37'!A1" xr:uid="{00000000-0004-0000-0000-00001E000000}"/>
    <hyperlink ref="B40" location="'38'!A1" display="'38'!A1" xr:uid="{00000000-0004-0000-0000-00001F000000}"/>
    <hyperlink ref="B41" location="'39'!A1" display="'39'!A1" xr:uid="{00000000-0004-0000-0000-000020000000}"/>
    <hyperlink ref="B14" location="'12'!A1" display="'12'!A1" xr:uid="{00000000-0004-0000-0000-000021000000}"/>
    <hyperlink ref="B15" location="'13'!A1" display="'13'!A1" xr:uid="{00000000-0004-0000-0000-000022000000}"/>
    <hyperlink ref="B16" location="'14'!A1" display="'14'!A1" xr:uid="{00000000-0004-0000-0000-000023000000}"/>
    <hyperlink ref="B17" location="'15'!A1" display="'15'!A1" xr:uid="{00000000-0004-0000-0000-000024000000}"/>
    <hyperlink ref="B30" location="'28'!A1" display="'28'!A1" xr:uid="{00000000-0004-0000-0000-000025000000}"/>
    <hyperlink ref="B43" location="'41'!A1" display="='40'!$D$7" xr:uid="{00000000-0004-0000-0000-000026000000}"/>
    <hyperlink ref="B44" location="'42'!A1" display="'42'!A1" xr:uid="{00000000-0004-0000-0000-000027000000}"/>
    <hyperlink ref="B45" location="'43'!A1" display="'43'!A1" xr:uid="{00000000-0004-0000-0000-000028000000}"/>
    <hyperlink ref="B46" location="'44'!A1" display="'44'!A1" xr:uid="{00000000-0004-0000-0000-000029000000}"/>
    <hyperlink ref="B47" location="'45'!A1" display="='40'!$D$7" xr:uid="{00000000-0004-0000-0000-00002A000000}"/>
    <hyperlink ref="B48" location="'46'!A1" display="='40'!$D$7" xr:uid="{00000000-0004-0000-0000-00002B000000}"/>
    <hyperlink ref="B49" location="'47'!A1" display="='40'!$D$7" xr:uid="{00000000-0004-0000-0000-00002C000000}"/>
    <hyperlink ref="B50" location="'48'!A1" display="='40'!$D$7" xr:uid="{00000000-0004-0000-0000-00002D000000}"/>
    <hyperlink ref="B51" location="'49'!A1" display="='40'!$D$7" xr:uid="{00000000-0004-0000-0000-00002E000000}"/>
    <hyperlink ref="B52" location="'50'!A1" display="='40'!$D$7" xr:uid="{00000000-0004-0000-0000-00002F000000}"/>
    <hyperlink ref="B53" location="'51'!A1" display="='51'!$D$7" xr:uid="{00000000-0004-0000-0000-000030000000}"/>
    <hyperlink ref="B54" location="'52'!A1" display="='52'!$D$7" xr:uid="{00000000-0004-0000-0000-000031000000}"/>
    <hyperlink ref="B3" location="'1'!A1" display="'1'!A1" xr:uid="{00000000-0004-0000-0000-000032000000}"/>
    <hyperlink ref="B25" location="'23'!A1" display="'23'!A1" xr:uid="{00000000-0004-0000-0000-000033000000}"/>
    <hyperlink ref="B55" location="'53'!A1" display="'53'!A1" xr:uid="{00000000-0004-0000-0000-000034000000}"/>
    <hyperlink ref="B42" location="'40'!A1" display="'40'!A1" xr:uid="{00000000-0004-0000-0000-000035000000}"/>
    <hyperlink ref="B5" location="'3'!A1" display="'3'!A1" xr:uid="{00000000-0004-0000-0000-000001000000}"/>
  </hyperlinks>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A37"/>
  <sheetViews>
    <sheetView zoomScale="70" zoomScaleNormal="70" workbookViewId="0">
      <selection activeCell="D7" sqref="D7:F7"/>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175" t="s">
        <v>19</v>
      </c>
      <c r="E7" s="175"/>
      <c r="F7" s="175"/>
      <c r="G7" s="91" t="s">
        <v>18</v>
      </c>
      <c r="H7" s="77"/>
      <c r="I7" s="93" t="str">
        <f>D7</f>
        <v>An toàn hàng không</v>
      </c>
      <c r="J7" s="68"/>
      <c r="L7" s="92"/>
      <c r="M7" s="92"/>
      <c r="N7" s="92"/>
      <c r="O7" s="92"/>
      <c r="P7" s="42" t="s">
        <v>20</v>
      </c>
      <c r="Q7" s="32"/>
      <c r="R7" s="46" t="str">
        <f>I7</f>
        <v>An toàn hàng không</v>
      </c>
      <c r="S7" s="46"/>
      <c r="T7" s="4"/>
      <c r="U7" s="4"/>
      <c r="V7" s="48"/>
      <c r="W7" s="49"/>
      <c r="Y7" s="50" t="s">
        <v>21</v>
      </c>
      <c r="Z7"/>
      <c r="AA7"/>
    </row>
    <row r="8" spans="2:27" s="85" customFormat="1" ht="22.5" customHeight="1">
      <c r="B8" s="91" t="s">
        <v>22</v>
      </c>
      <c r="C8" s="91"/>
      <c r="D8" s="68"/>
      <c r="F8" s="68"/>
      <c r="G8" s="91" t="str">
        <f>B8</f>
        <v>- Loại hình/hình thức đào tạo: Phục hồi/Trực tiếp</v>
      </c>
      <c r="H8" s="77"/>
      <c r="K8" s="93"/>
      <c r="L8" s="68"/>
      <c r="M8" s="68"/>
      <c r="N8" s="94"/>
      <c r="O8" s="95"/>
      <c r="P8" s="42" t="str">
        <f>G8</f>
        <v>- Loại hình/hình thức đào tạo: Phục hồi/Trực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1">
    <mergeCell ref="H30:J30"/>
    <mergeCell ref="G6:O6"/>
    <mergeCell ref="B11:C11"/>
    <mergeCell ref="B12:B13"/>
    <mergeCell ref="C12:C13"/>
    <mergeCell ref="D12:D13"/>
    <mergeCell ref="E12:E13"/>
    <mergeCell ref="F12:F13"/>
    <mergeCell ref="G12:G13"/>
    <mergeCell ref="H12:H13"/>
    <mergeCell ref="K12:K13"/>
    <mergeCell ref="O12:O13"/>
    <mergeCell ref="I12:J13"/>
    <mergeCell ref="D7:F7"/>
    <mergeCell ref="B2:D5"/>
    <mergeCell ref="E2:F5"/>
    <mergeCell ref="N2:O2"/>
    <mergeCell ref="J3:M5"/>
    <mergeCell ref="N3:O3"/>
    <mergeCell ref="N4:O4"/>
    <mergeCell ref="N5:O5"/>
    <mergeCell ref="G2:I5"/>
    <mergeCell ref="P2:R5"/>
    <mergeCell ref="R12:S13"/>
    <mergeCell ref="W12:W13"/>
    <mergeCell ref="P12:P13"/>
    <mergeCell ref="Q12:Q13"/>
    <mergeCell ref="T12:T13"/>
    <mergeCell ref="U12:U13"/>
    <mergeCell ref="V12:V13"/>
    <mergeCell ref="S3:V5"/>
  </mergeCells>
  <conditionalFormatting sqref="C14:C29">
    <cfRule type="duplicateValues" dxfId="211" priority="1" stopIfTrue="1"/>
    <cfRule type="expression" dxfId="210" priority="2" stopIfTrue="1">
      <formula>AND(COUNTIF($C$1:$C$1280, C14)+COUNTIF($C$1282:$C$65363, C14)&gt;1,NOT(ISBLANK(C14)))</formula>
    </cfRule>
    <cfRule type="expression" dxfId="209" priority="3" stopIfTrue="1">
      <formula>AND(COUNTIF($C$1:$C$1283, C14)+COUNTIF($C$1284:$C$65363, C14)&gt;1,NOT(ISBLANK(C14)))</formula>
    </cfRule>
    <cfRule type="expression" dxfId="208" priority="4" stopIfTrue="1">
      <formula>AND(COUNTIF($C$1:$C$1389, C14)+COUNTIF($C$1402:$C$65363, C14)&gt;1,NOT(ISBLANK(C14)))</formula>
    </cfRule>
  </conditionalFormatting>
  <pageMargins left="0.47" right="0.17" top="0.37" bottom="0.41"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4"/>
  <dimension ref="B1:AA37"/>
  <sheetViews>
    <sheetView zoomScale="70" zoomScaleNormal="70" workbookViewId="0">
      <selection activeCell="D7" sqref="D7:F7"/>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175" t="s">
        <v>60</v>
      </c>
      <c r="E7" s="175"/>
      <c r="F7" s="175"/>
      <c r="G7" s="91" t="s">
        <v>18</v>
      </c>
      <c r="H7" s="77"/>
      <c r="I7" s="93" t="str">
        <f>D7</f>
        <v>Yếu tố con người</v>
      </c>
      <c r="J7" s="68"/>
      <c r="L7" s="92"/>
      <c r="M7" s="92"/>
      <c r="N7" s="92"/>
      <c r="O7" s="92"/>
      <c r="P7" s="42" t="s">
        <v>20</v>
      </c>
      <c r="Q7" s="32"/>
      <c r="R7" s="46" t="str">
        <f>I7</f>
        <v>Yếu tố con người</v>
      </c>
      <c r="S7" s="46"/>
      <c r="T7" s="4"/>
      <c r="U7" s="4"/>
      <c r="V7" s="48"/>
      <c r="W7" s="49"/>
      <c r="Y7" s="50" t="s">
        <v>21</v>
      </c>
      <c r="Z7"/>
      <c r="AA7"/>
    </row>
    <row r="8" spans="2:27" s="85" customFormat="1" ht="22.5" customHeight="1">
      <c r="B8" s="91" t="s">
        <v>22</v>
      </c>
      <c r="C8" s="91"/>
      <c r="D8" s="68"/>
      <c r="F8" s="68"/>
      <c r="G8" s="91" t="str">
        <f>B8</f>
        <v>- Loại hình/hình thức đào tạo: Phục hồi/Trực tiếp</v>
      </c>
      <c r="H8" s="77"/>
      <c r="K8" s="93"/>
      <c r="L8" s="68"/>
      <c r="M8" s="68"/>
      <c r="N8" s="94"/>
      <c r="O8" s="95"/>
      <c r="P8" s="42" t="str">
        <f>G8</f>
        <v>- Loại hình/hình thức đào tạo: Phục hồi/Trực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1">
    <mergeCell ref="F12:F13"/>
    <mergeCell ref="G12:G13"/>
    <mergeCell ref="H12:H13"/>
    <mergeCell ref="B2:D5"/>
    <mergeCell ref="E2:F5"/>
    <mergeCell ref="B11:C11"/>
    <mergeCell ref="B12:B13"/>
    <mergeCell ref="C12:C13"/>
    <mergeCell ref="D12:D13"/>
    <mergeCell ref="E12:E13"/>
    <mergeCell ref="G2:I5"/>
    <mergeCell ref="N2:O2"/>
    <mergeCell ref="P2:R5"/>
    <mergeCell ref="J3:M5"/>
    <mergeCell ref="N3:O3"/>
    <mergeCell ref="N4:O4"/>
    <mergeCell ref="N5:O5"/>
    <mergeCell ref="W12:W13"/>
    <mergeCell ref="H30:J30"/>
    <mergeCell ref="D7:F7"/>
    <mergeCell ref="V12:V13"/>
    <mergeCell ref="S3:V5"/>
    <mergeCell ref="O12:O13"/>
    <mergeCell ref="P12:P13"/>
    <mergeCell ref="Q12:Q13"/>
    <mergeCell ref="T12:T13"/>
    <mergeCell ref="U12:U13"/>
    <mergeCell ref="G6:O6"/>
    <mergeCell ref="I12:J13"/>
    <mergeCell ref="K12:K13"/>
    <mergeCell ref="R12:S13"/>
  </mergeCells>
  <conditionalFormatting sqref="C14:C29">
    <cfRule type="duplicateValues" dxfId="207" priority="1" stopIfTrue="1"/>
    <cfRule type="expression" dxfId="206" priority="2" stopIfTrue="1">
      <formula>AND(COUNTIF($C$1:$C$1280, C14)+COUNTIF($C$1282:$C$65363, C14)&gt;1,NOT(ISBLANK(C14)))</formula>
    </cfRule>
    <cfRule type="expression" dxfId="205" priority="3" stopIfTrue="1">
      <formula>AND(COUNTIF($C$1:$C$1283, C14)+COUNTIF($C$1284:$C$65363, C14)&gt;1,NOT(ISBLANK(C14)))</formula>
    </cfRule>
    <cfRule type="expression" dxfId="204"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B1:AA35"/>
  <sheetViews>
    <sheetView topLeftCell="A3" zoomScale="70" zoomScaleNormal="70" workbookViewId="0">
      <selection activeCell="D7" sqref="D7:F7"/>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175" t="s">
        <v>61</v>
      </c>
      <c r="E7" s="175"/>
      <c r="F7" s="175"/>
      <c r="G7" s="91" t="s">
        <v>18</v>
      </c>
      <c r="H7" s="77"/>
      <c r="I7" s="93" t="str">
        <f>D7</f>
        <v>Công tác khẩn nguy tại cảng hàng không, sân bay</v>
      </c>
      <c r="J7" s="68"/>
      <c r="L7" s="92"/>
      <c r="M7" s="92"/>
      <c r="N7" s="92"/>
      <c r="O7" s="92"/>
      <c r="P7" s="42" t="s">
        <v>20</v>
      </c>
      <c r="Q7" s="32"/>
      <c r="R7" s="46" t="str">
        <f>I7</f>
        <v>Công tác khẩn nguy tại cảng hàng không, sân bay</v>
      </c>
      <c r="S7" s="46"/>
      <c r="T7" s="4"/>
      <c r="U7" s="4"/>
      <c r="V7" s="48"/>
      <c r="W7" s="49"/>
      <c r="Y7" s="50" t="s">
        <v>21</v>
      </c>
      <c r="Z7"/>
      <c r="AA7"/>
    </row>
    <row r="8" spans="2:27" s="85" customFormat="1" ht="22.5" customHeight="1">
      <c r="B8" s="91" t="s">
        <v>22</v>
      </c>
      <c r="C8" s="91"/>
      <c r="D8" s="68"/>
      <c r="F8" s="68"/>
      <c r="G8" s="91" t="str">
        <f>B8</f>
        <v>- Loại hình/hình thức đào tạo: Phục hồi/Trực tiếp</v>
      </c>
      <c r="H8" s="77"/>
      <c r="K8" s="93"/>
      <c r="L8" s="68"/>
      <c r="M8" s="68"/>
      <c r="N8" s="94"/>
      <c r="O8" s="95"/>
      <c r="P8" s="42" t="str">
        <f>G8</f>
        <v>- Loại hình/hình thức đào tạo: Phục hồi/Trực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sheetData>
  <mergeCells count="31">
    <mergeCell ref="R12:S13"/>
    <mergeCell ref="B2:D5"/>
    <mergeCell ref="E2:F5"/>
    <mergeCell ref="F12:F13"/>
    <mergeCell ref="G12:G13"/>
    <mergeCell ref="H12:H13"/>
    <mergeCell ref="G6:O6"/>
    <mergeCell ref="G2:I5"/>
    <mergeCell ref="N2:O2"/>
    <mergeCell ref="J3:M5"/>
    <mergeCell ref="B11:C11"/>
    <mergeCell ref="B12:B13"/>
    <mergeCell ref="C12:C13"/>
    <mergeCell ref="D12:D13"/>
    <mergeCell ref="E12:E13"/>
    <mergeCell ref="H30:J30"/>
    <mergeCell ref="D7:F7"/>
    <mergeCell ref="W12:W13"/>
    <mergeCell ref="N3:O3"/>
    <mergeCell ref="N4:O4"/>
    <mergeCell ref="N5:O5"/>
    <mergeCell ref="O12:O13"/>
    <mergeCell ref="P12:P13"/>
    <mergeCell ref="S3:V5"/>
    <mergeCell ref="P2:R5"/>
    <mergeCell ref="V12:V13"/>
    <mergeCell ref="T12:T13"/>
    <mergeCell ref="U12:U13"/>
    <mergeCell ref="I12:J13"/>
    <mergeCell ref="K12:K13"/>
    <mergeCell ref="Q12:Q13"/>
  </mergeCells>
  <conditionalFormatting sqref="C14:C29">
    <cfRule type="duplicateValues" dxfId="203" priority="1" stopIfTrue="1"/>
    <cfRule type="expression" dxfId="202" priority="2" stopIfTrue="1">
      <formula>AND(COUNTIF($C$1:$C$1280, C14)+COUNTIF($C$1282:$C$65363, C14)&gt;1,NOT(ISBLANK(C14)))</formula>
    </cfRule>
    <cfRule type="expression" dxfId="201" priority="3" stopIfTrue="1">
      <formula>AND(COUNTIF($C$1:$C$1283, C14)+COUNTIF($C$1284:$C$65363, C14)&gt;1,NOT(ISBLANK(C14)))</formula>
    </cfRule>
    <cfRule type="expression" dxfId="200" priority="4" stopIfTrue="1">
      <formula>AND(COUNTIF($C$1:$C$1389, C14)+COUNTIF($C$1402:$C$65363, C14)&gt;1,NOT(ISBLANK(C14)))</formula>
    </cfRule>
  </conditionalFormatting>
  <pageMargins left="0.48" right="0.17" top="0.37" bottom="0.41"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B1:AA37"/>
  <sheetViews>
    <sheetView zoomScale="70" zoomScaleNormal="70" workbookViewId="0">
      <selection activeCell="F8" sqref="F8"/>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175" t="s">
        <v>62</v>
      </c>
      <c r="E7" s="175"/>
      <c r="F7" s="175"/>
      <c r="G7" s="91" t="s">
        <v>18</v>
      </c>
      <c r="H7" s="77"/>
      <c r="I7" s="93" t="str">
        <f>D7</f>
        <v>Pháp luật về hàng không dân dụng</v>
      </c>
      <c r="J7" s="68"/>
      <c r="L7" s="92"/>
      <c r="M7" s="92"/>
      <c r="N7" s="92"/>
      <c r="O7" s="92"/>
      <c r="P7" s="42" t="s">
        <v>20</v>
      </c>
      <c r="Q7" s="32"/>
      <c r="R7" s="46" t="str">
        <f>I7</f>
        <v>Pháp luật về hàng không dân dụng</v>
      </c>
      <c r="S7" s="46"/>
      <c r="T7" s="4"/>
      <c r="U7" s="4"/>
      <c r="V7" s="48"/>
      <c r="W7" s="49"/>
      <c r="Y7" s="50" t="s">
        <v>21</v>
      </c>
      <c r="Z7"/>
      <c r="AA7"/>
    </row>
    <row r="8" spans="2:27" s="85" customFormat="1" ht="22.5" customHeight="1">
      <c r="B8" s="91" t="s">
        <v>22</v>
      </c>
      <c r="C8" s="91"/>
      <c r="D8" s="68"/>
      <c r="F8" s="68"/>
      <c r="G8" s="91" t="str">
        <f>B8</f>
        <v>- Loại hình/hình thức đào tạo: Phục hồi/Trực tiếp</v>
      </c>
      <c r="H8" s="77"/>
      <c r="K8" s="93"/>
      <c r="L8" s="68"/>
      <c r="M8" s="68"/>
      <c r="N8" s="94"/>
      <c r="O8" s="95"/>
      <c r="P8" s="42" t="str">
        <f>G8</f>
        <v>- Loại hình/hình thức đào tạo: Phục hồi/Trực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1">
    <mergeCell ref="G2:I5"/>
    <mergeCell ref="G6:O6"/>
    <mergeCell ref="B11:C11"/>
    <mergeCell ref="H30:J30"/>
    <mergeCell ref="W12:W13"/>
    <mergeCell ref="U12:U13"/>
    <mergeCell ref="V12:V13"/>
    <mergeCell ref="P2:R5"/>
    <mergeCell ref="J3:M5"/>
    <mergeCell ref="N3:O3"/>
    <mergeCell ref="S3:V5"/>
    <mergeCell ref="N4:O4"/>
    <mergeCell ref="N5:O5"/>
    <mergeCell ref="N2:O2"/>
    <mergeCell ref="H12:H13"/>
    <mergeCell ref="I12:J13"/>
    <mergeCell ref="B12:B13"/>
    <mergeCell ref="C12:C13"/>
    <mergeCell ref="D12:D13"/>
    <mergeCell ref="E12:E13"/>
    <mergeCell ref="B2:D5"/>
    <mergeCell ref="E2:F5"/>
    <mergeCell ref="T12:T13"/>
    <mergeCell ref="Q12:Q13"/>
    <mergeCell ref="R12:S13"/>
    <mergeCell ref="D7:F7"/>
    <mergeCell ref="F12:F13"/>
    <mergeCell ref="G12:G13"/>
    <mergeCell ref="K12:K13"/>
    <mergeCell ref="O12:O13"/>
    <mergeCell ref="P12:P13"/>
  </mergeCells>
  <conditionalFormatting sqref="C14:C29">
    <cfRule type="duplicateValues" dxfId="199" priority="1" stopIfTrue="1"/>
    <cfRule type="expression" dxfId="198" priority="2" stopIfTrue="1">
      <formula>AND(COUNTIF($C$1:$C$1280, C14)+COUNTIF($C$1282:$C$65363, C14)&gt;1,NOT(ISBLANK(C14)))</formula>
    </cfRule>
    <cfRule type="expression" dxfId="197" priority="3" stopIfTrue="1">
      <formula>AND(COUNTIF($C$1:$C$1283, C14)+COUNTIF($C$1284:$C$65363, C14)&gt;1,NOT(ISBLANK(C14)))</formula>
    </cfRule>
    <cfRule type="expression" dxfId="196"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B1:AA37"/>
  <sheetViews>
    <sheetView topLeftCell="A3" zoomScale="85" zoomScaleNormal="85" workbookViewId="0">
      <selection activeCell="F9" sqref="F9"/>
    </sheetView>
  </sheetViews>
  <sheetFormatPr defaultColWidth="8.85546875" defaultRowHeight="14.45"/>
  <cols>
    <col min="1" max="1" width="0.28515625" style="82" customWidth="1"/>
    <col min="2" max="2" width="6.5703125" style="43" bestFit="1" customWidth="1"/>
    <col min="3" max="3" width="10.85546875" style="82" customWidth="1"/>
    <col min="4" max="4" width="30.85546875" style="82" customWidth="1"/>
    <col min="5" max="5" width="20.5703125" style="82" customWidth="1"/>
    <col min="6" max="6" width="25.2851562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1.2851562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85546875"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46.5" customHeight="1">
      <c r="B7" s="91" t="s">
        <v>18</v>
      </c>
      <c r="C7" s="91"/>
      <c r="D7" s="176" t="s">
        <v>63</v>
      </c>
      <c r="E7" s="175"/>
      <c r="F7" s="175"/>
      <c r="G7" s="91" t="s">
        <v>18</v>
      </c>
      <c r="H7" s="77"/>
      <c r="I7" s="93" t="str">
        <f>D7</f>
        <v>An ninh hàng không dành cho nhân viên phục vụ kỹ thuật thương mại mặt đất của các đơn vị cung cấp dịch vụ hàng không tại cảng hàng không, sân bay</v>
      </c>
      <c r="J7" s="68"/>
      <c r="L7" s="92"/>
      <c r="M7" s="92"/>
      <c r="N7" s="92"/>
      <c r="O7" s="92"/>
      <c r="P7" s="42" t="s">
        <v>20</v>
      </c>
      <c r="Q7" s="32"/>
      <c r="R7" s="46" t="str">
        <f>I7</f>
        <v>An ninh hàng không dành cho nhân viên phục vụ kỹ thuật thương mại mặt đất của các đơn vị cung cấp dịch vụ hàng không tại cảng hàng không, sân bay</v>
      </c>
      <c r="S7" s="46"/>
      <c r="T7" s="4"/>
      <c r="U7" s="4"/>
      <c r="V7" s="48"/>
      <c r="W7" s="49"/>
      <c r="Y7" s="50" t="s">
        <v>21</v>
      </c>
      <c r="Z7"/>
      <c r="AA7"/>
    </row>
    <row r="8" spans="2:27" s="85" customFormat="1" ht="22.5" customHeight="1">
      <c r="B8" s="91" t="s">
        <v>22</v>
      </c>
      <c r="C8" s="91"/>
      <c r="D8" s="68"/>
      <c r="F8" s="68"/>
      <c r="G8" s="91" t="str">
        <f>B8</f>
        <v>- Loại hình/hình thức đào tạo: Phục hồi/Trực tiếp</v>
      </c>
      <c r="H8" s="77"/>
      <c r="K8" s="93"/>
      <c r="L8" s="68"/>
      <c r="M8" s="68"/>
      <c r="N8" s="94"/>
      <c r="O8" s="95"/>
      <c r="P8" s="42" t="str">
        <f>G8</f>
        <v>- Loại hình/hình thức đào tạo: Phục hồi/Trực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4.45" customHeight="1"/>
    <row r="37" spans="2:23" ht="14.45" customHeight="1"/>
  </sheetData>
  <mergeCells count="31">
    <mergeCell ref="B2:D5"/>
    <mergeCell ref="E2:F5"/>
    <mergeCell ref="F12:F13"/>
    <mergeCell ref="G12:G13"/>
    <mergeCell ref="H12:H13"/>
    <mergeCell ref="B11:C11"/>
    <mergeCell ref="B12:B13"/>
    <mergeCell ref="C12:C13"/>
    <mergeCell ref="D12:D13"/>
    <mergeCell ref="E12:E13"/>
    <mergeCell ref="N2:O2"/>
    <mergeCell ref="P2:R5"/>
    <mergeCell ref="H30:J30"/>
    <mergeCell ref="J3:M5"/>
    <mergeCell ref="N3:O3"/>
    <mergeCell ref="W12:W13"/>
    <mergeCell ref="D7:F7"/>
    <mergeCell ref="S3:V5"/>
    <mergeCell ref="N4:O4"/>
    <mergeCell ref="N5:O5"/>
    <mergeCell ref="G6:O6"/>
    <mergeCell ref="I12:J13"/>
    <mergeCell ref="K12:K13"/>
    <mergeCell ref="O12:O13"/>
    <mergeCell ref="P12:P13"/>
    <mergeCell ref="Q12:Q13"/>
    <mergeCell ref="R12:S13"/>
    <mergeCell ref="T12:T13"/>
    <mergeCell ref="U12:U13"/>
    <mergeCell ref="V12:V13"/>
    <mergeCell ref="G2:I5"/>
  </mergeCells>
  <conditionalFormatting sqref="C14:C29">
    <cfRule type="duplicateValues" dxfId="195" priority="1" stopIfTrue="1"/>
    <cfRule type="expression" dxfId="194" priority="2" stopIfTrue="1">
      <formula>AND(COUNTIF($C$1:$C$1280, C14)+COUNTIF($C$1282:$C$65363, C14)&gt;1,NOT(ISBLANK(C14)))</formula>
    </cfRule>
    <cfRule type="expression" dxfId="193" priority="3" stopIfTrue="1">
      <formula>AND(COUNTIF($C$1:$C$1283, C14)+COUNTIF($C$1284:$C$65363, C14)&gt;1,NOT(ISBLANK(C14)))</formula>
    </cfRule>
    <cfRule type="expression" dxfId="192" priority="4" stopIfTrue="1">
      <formula>AND(COUNTIF($C$1:$C$1389, C14)+COUNTIF($C$1402:$C$65363, C14)&gt;1,NOT(ISBLANK(C14)))</formula>
    </cfRule>
  </conditionalFormatting>
  <pageMargins left="0.45" right="0.17" top="0.37" bottom="0.41" header="0.3" footer="0.3"/>
  <pageSetup paperSize="9" orientation="portrait" horizontalDpi="4294967295" verticalDpi="4294967295"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B1:AA37"/>
  <sheetViews>
    <sheetView zoomScale="85" zoomScaleNormal="85" workbookViewId="0">
      <selection activeCell="D10" sqref="D10"/>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36.75" customHeight="1">
      <c r="B7" s="91" t="s">
        <v>18</v>
      </c>
      <c r="C7" s="91"/>
      <c r="D7" s="175" t="s">
        <v>64</v>
      </c>
      <c r="E7" s="175"/>
      <c r="F7" s="175"/>
      <c r="G7" s="91" t="s">
        <v>18</v>
      </c>
      <c r="H7" s="77"/>
      <c r="I7" s="93" t="str">
        <f>D7</f>
        <v>Hàng nguy hiểm dành cho người thực hiện nhiệm vụ có tiếp xúc trực tiếp với hành khách tại sân bay</v>
      </c>
      <c r="J7" s="68"/>
      <c r="L7" s="92"/>
      <c r="M7" s="92"/>
      <c r="N7" s="92"/>
      <c r="O7" s="92"/>
      <c r="P7" s="42" t="s">
        <v>20</v>
      </c>
      <c r="Q7" s="32"/>
      <c r="R7" s="46" t="str">
        <f>I7</f>
        <v>Hàng nguy hiểm dành cho người thực hiện nhiệm vụ có tiếp xúc trực tiếp với hành khách tại sân bay</v>
      </c>
      <c r="S7" s="46"/>
      <c r="T7" s="4"/>
      <c r="U7" s="4"/>
      <c r="V7" s="48"/>
      <c r="W7" s="49"/>
      <c r="Y7" s="50" t="s">
        <v>21</v>
      </c>
      <c r="Z7"/>
      <c r="AA7"/>
    </row>
    <row r="8" spans="2:27" s="85" customFormat="1" ht="22.5" customHeight="1">
      <c r="B8" s="91" t="s">
        <v>22</v>
      </c>
      <c r="C8" s="91"/>
      <c r="D8" s="68"/>
      <c r="F8" s="68"/>
      <c r="G8" s="91" t="str">
        <f>B8</f>
        <v>- Loại hình/hình thức đào tạo: Phục hồi/Trực tiếp</v>
      </c>
      <c r="H8" s="77"/>
      <c r="K8" s="93"/>
      <c r="L8" s="68"/>
      <c r="M8" s="68"/>
      <c r="N8" s="94"/>
      <c r="O8" s="95"/>
      <c r="P8" s="42" t="str">
        <f>G8</f>
        <v>- Loại hình/hình thức đào tạo: Phục hồi/Trực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1">
    <mergeCell ref="B2:D5"/>
    <mergeCell ref="E2:F5"/>
    <mergeCell ref="F12:F13"/>
    <mergeCell ref="G12:G13"/>
    <mergeCell ref="H12:H13"/>
    <mergeCell ref="B11:C11"/>
    <mergeCell ref="B12:B13"/>
    <mergeCell ref="C12:C13"/>
    <mergeCell ref="D12:D13"/>
    <mergeCell ref="E12:E13"/>
    <mergeCell ref="N2:O2"/>
    <mergeCell ref="P2:R5"/>
    <mergeCell ref="H30:J30"/>
    <mergeCell ref="J3:M5"/>
    <mergeCell ref="N3:O3"/>
    <mergeCell ref="W12:W13"/>
    <mergeCell ref="D7:F7"/>
    <mergeCell ref="S3:V5"/>
    <mergeCell ref="N4:O4"/>
    <mergeCell ref="N5:O5"/>
    <mergeCell ref="G6:O6"/>
    <mergeCell ref="I12:J13"/>
    <mergeCell ref="K12:K13"/>
    <mergeCell ref="O12:O13"/>
    <mergeCell ref="P12:P13"/>
    <mergeCell ref="Q12:Q13"/>
    <mergeCell ref="R12:S13"/>
    <mergeCell ref="T12:T13"/>
    <mergeCell ref="U12:U13"/>
    <mergeCell ref="V12:V13"/>
    <mergeCell ref="G2:I5"/>
  </mergeCells>
  <conditionalFormatting sqref="C14:C29">
    <cfRule type="duplicateValues" dxfId="191" priority="1" stopIfTrue="1"/>
    <cfRule type="expression" dxfId="190" priority="2" stopIfTrue="1">
      <formula>AND(COUNTIF($C$1:$C$1280, C14)+COUNTIF($C$1282:$C$65363, C14)&gt;1,NOT(ISBLANK(C14)))</formula>
    </cfRule>
    <cfRule type="expression" dxfId="189" priority="3" stopIfTrue="1">
      <formula>AND(COUNTIF($C$1:$C$1283, C14)+COUNTIF($C$1284:$C$65363, C14)&gt;1,NOT(ISBLANK(C14)))</formula>
    </cfRule>
    <cfRule type="expression" dxfId="188"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B1:AA37"/>
  <sheetViews>
    <sheetView zoomScale="70" zoomScaleNormal="70" workbookViewId="0">
      <selection activeCell="M8" sqref="M8"/>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42.75" customHeight="1">
      <c r="B7" s="91" t="s">
        <v>18</v>
      </c>
      <c r="C7" s="91"/>
      <c r="D7" s="175" t="s">
        <v>65</v>
      </c>
      <c r="E7" s="175"/>
      <c r="F7" s="175"/>
      <c r="G7" s="91" t="s">
        <v>18</v>
      </c>
      <c r="H7" s="77"/>
      <c r="I7" s="93" t="str">
        <f>D7</f>
        <v>HNH dành cho người chịu trách nhiệm chấp nhận hành lý của hành khách và tổ bay, kiểm soát khu vực cửa khởi hành</v>
      </c>
      <c r="J7" s="68"/>
      <c r="L7" s="92"/>
      <c r="M7" s="92"/>
      <c r="N7" s="92"/>
      <c r="O7" s="92"/>
      <c r="P7" s="42" t="s">
        <v>20</v>
      </c>
      <c r="Q7" s="32"/>
      <c r="R7" s="46" t="str">
        <f>I7</f>
        <v>HNH dành cho người chịu trách nhiệm chấp nhận hành lý của hành khách và tổ bay, kiểm soát khu vực cửa khởi hành</v>
      </c>
      <c r="S7" s="46"/>
      <c r="T7" s="4"/>
      <c r="U7" s="4"/>
      <c r="V7" s="48"/>
      <c r="W7" s="49"/>
      <c r="Y7" s="50" t="s">
        <v>21</v>
      </c>
      <c r="Z7"/>
      <c r="AA7"/>
    </row>
    <row r="8" spans="2:27" s="85" customFormat="1" ht="22.5" customHeight="1">
      <c r="B8" s="91" t="s">
        <v>22</v>
      </c>
      <c r="C8" s="91"/>
      <c r="D8" s="68"/>
      <c r="F8" s="68"/>
      <c r="G8" s="91" t="str">
        <f>B8</f>
        <v>- Loại hình/hình thức đào tạo: Phục hồi/Trực tiếp</v>
      </c>
      <c r="H8" s="77"/>
      <c r="K8" s="93"/>
      <c r="L8" s="68"/>
      <c r="M8" s="68"/>
      <c r="N8" s="94"/>
      <c r="O8" s="95"/>
      <c r="P8" s="42" t="str">
        <f>G8</f>
        <v>- Loại hình/hình thức đào tạo: Phục hồi/Trực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1">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B11:C11"/>
    <mergeCell ref="B12:B13"/>
    <mergeCell ref="C12:C13"/>
    <mergeCell ref="D12:D13"/>
    <mergeCell ref="E12:E13"/>
    <mergeCell ref="F12:F13"/>
    <mergeCell ref="G12:G13"/>
    <mergeCell ref="H12:H13"/>
    <mergeCell ref="G6:O6"/>
    <mergeCell ref="I12:J13"/>
    <mergeCell ref="K12:K13"/>
    <mergeCell ref="O12:O13"/>
    <mergeCell ref="D7:F7"/>
    <mergeCell ref="B2:D5"/>
    <mergeCell ref="E2:F5"/>
    <mergeCell ref="G2:I5"/>
    <mergeCell ref="N2:O2"/>
  </mergeCells>
  <conditionalFormatting sqref="C14:C29">
    <cfRule type="duplicateValues" dxfId="187" priority="1" stopIfTrue="1"/>
    <cfRule type="expression" dxfId="186" priority="2" stopIfTrue="1">
      <formula>AND(COUNTIF($C$1:$C$1280, C14)+COUNTIF($C$1282:$C$65363, C14)&gt;1,NOT(ISBLANK(C14)))</formula>
    </cfRule>
    <cfRule type="expression" dxfId="185" priority="3" stopIfTrue="1">
      <formula>AND(COUNTIF($C$1:$C$1283, C14)+COUNTIF($C$1284:$C$65363, C14)&gt;1,NOT(ISBLANK(C14)))</formula>
    </cfRule>
    <cfRule type="expression" dxfId="184"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B1:AA37"/>
  <sheetViews>
    <sheetView zoomScale="70" zoomScaleNormal="70" workbookViewId="0">
      <selection activeCell="B8" sqref="B8:F8"/>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175" t="s">
        <v>66</v>
      </c>
      <c r="E7" s="175"/>
      <c r="F7" s="175"/>
      <c r="G7" s="91" t="s">
        <v>18</v>
      </c>
      <c r="H7" s="77"/>
      <c r="I7" s="93" t="str">
        <f>D7</f>
        <v xml:space="preserve">Nghiệp vụ làm thủ tục hành khách QN </v>
      </c>
      <c r="J7" s="68"/>
      <c r="L7" s="92"/>
      <c r="M7" s="92"/>
      <c r="N7" s="92"/>
      <c r="O7" s="92"/>
      <c r="P7" s="42" t="s">
        <v>20</v>
      </c>
      <c r="Q7" s="32"/>
      <c r="R7" s="46" t="str">
        <f>I7</f>
        <v xml:space="preserve">Nghiệp vụ làm thủ tục hành khách QN </v>
      </c>
      <c r="S7" s="46"/>
      <c r="T7" s="4"/>
      <c r="U7" s="4"/>
      <c r="V7" s="48"/>
      <c r="W7" s="49"/>
      <c r="Y7" s="50" t="s">
        <v>21</v>
      </c>
      <c r="Z7"/>
      <c r="AA7"/>
    </row>
    <row r="8" spans="2:27" s="85" customFormat="1" ht="22.5" customHeight="1">
      <c r="B8" s="91" t="s">
        <v>22</v>
      </c>
      <c r="C8" s="91"/>
      <c r="D8" s="68"/>
      <c r="F8" s="68"/>
      <c r="G8" s="91" t="str">
        <f>B8</f>
        <v>- Loại hình/hình thức đào tạo: Phục hồi/Trực tiếp</v>
      </c>
      <c r="H8" s="77"/>
      <c r="K8" s="93"/>
      <c r="L8" s="68"/>
      <c r="M8" s="68"/>
      <c r="N8" s="94"/>
      <c r="O8" s="95"/>
      <c r="P8" s="42" t="str">
        <f>G8</f>
        <v>- Loại hình/hình thức đào tạo: Phục hồi/Trực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1">
    <mergeCell ref="H30:J30"/>
    <mergeCell ref="W12:W13"/>
    <mergeCell ref="S3:V5"/>
    <mergeCell ref="N4:O4"/>
    <mergeCell ref="N5:O5"/>
    <mergeCell ref="G6:O6"/>
    <mergeCell ref="I12:J13"/>
    <mergeCell ref="K12:K13"/>
    <mergeCell ref="O12:O13"/>
    <mergeCell ref="P12:P13"/>
    <mergeCell ref="Q12:Q13"/>
    <mergeCell ref="R12:S13"/>
    <mergeCell ref="T12:T13"/>
    <mergeCell ref="U12:U13"/>
    <mergeCell ref="V12:V13"/>
    <mergeCell ref="G2:I5"/>
    <mergeCell ref="N2:O2"/>
    <mergeCell ref="P2:R5"/>
    <mergeCell ref="J3:M5"/>
    <mergeCell ref="N3:O3"/>
    <mergeCell ref="B2:D5"/>
    <mergeCell ref="E2:F5"/>
    <mergeCell ref="D7:F7"/>
    <mergeCell ref="F12:F13"/>
    <mergeCell ref="G12:G13"/>
    <mergeCell ref="H12:H13"/>
    <mergeCell ref="B11:C11"/>
    <mergeCell ref="B12:B13"/>
    <mergeCell ref="C12:C13"/>
    <mergeCell ref="D12:D13"/>
    <mergeCell ref="E12:E13"/>
  </mergeCells>
  <conditionalFormatting sqref="C14:C29">
    <cfRule type="duplicateValues" dxfId="183" priority="1" stopIfTrue="1"/>
    <cfRule type="expression" dxfId="182" priority="2" stopIfTrue="1">
      <formula>AND(COUNTIF($C$1:$C$1280, C14)+COUNTIF($C$1282:$C$65363, C14)&gt;1,NOT(ISBLANK(C14)))</formula>
    </cfRule>
    <cfRule type="expression" dxfId="181" priority="3" stopIfTrue="1">
      <formula>AND(COUNTIF($C$1:$C$1283, C14)+COUNTIF($C$1284:$C$65363, C14)&gt;1,NOT(ISBLANK(C14)))</formula>
    </cfRule>
    <cfRule type="expression" dxfId="180"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B1:AA37"/>
  <sheetViews>
    <sheetView zoomScale="70" zoomScaleNormal="70" workbookViewId="0">
      <selection activeCell="B8" sqref="B8:F8"/>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20.5703125" style="82" customWidth="1"/>
    <col min="6" max="6" width="25.2851562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1.2851562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85546875"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175" t="s">
        <v>67</v>
      </c>
      <c r="E7" s="175"/>
      <c r="F7" s="175"/>
      <c r="G7" s="91" t="s">
        <v>18</v>
      </c>
      <c r="H7" s="77"/>
      <c r="I7" s="93" t="str">
        <f>D7</f>
        <v xml:space="preserve">Nghiệp vụ làm thủ tục hành khách Quốc tế </v>
      </c>
      <c r="J7" s="68"/>
      <c r="L7" s="92"/>
      <c r="M7" s="92"/>
      <c r="N7" s="92"/>
      <c r="O7" s="92"/>
      <c r="P7" s="42" t="s">
        <v>20</v>
      </c>
      <c r="Q7" s="32"/>
      <c r="R7" s="46" t="str">
        <f>I7</f>
        <v xml:space="preserve">Nghiệp vụ làm thủ tục hành khách Quốc tế </v>
      </c>
      <c r="S7" s="46"/>
      <c r="T7" s="4"/>
      <c r="U7" s="4"/>
      <c r="V7" s="48"/>
      <c r="W7" s="49"/>
      <c r="Y7" s="50" t="s">
        <v>21</v>
      </c>
      <c r="Z7"/>
      <c r="AA7"/>
    </row>
    <row r="8" spans="2:27" s="85" customFormat="1" ht="22.5" customHeight="1">
      <c r="B8" s="91" t="s">
        <v>22</v>
      </c>
      <c r="C8" s="91"/>
      <c r="D8" s="68"/>
      <c r="F8" s="68"/>
      <c r="G8" s="91" t="str">
        <f>B8</f>
        <v>- Loại hình/hình thức đào tạo: Phục hồi/Trực tiếp</v>
      </c>
      <c r="H8" s="77"/>
      <c r="K8" s="93"/>
      <c r="L8" s="68"/>
      <c r="M8" s="68"/>
      <c r="N8" s="94"/>
      <c r="O8" s="95"/>
      <c r="P8" s="42" t="str">
        <f>G8</f>
        <v>- Loại hình/hình thức đào tạo: Phục hồi/Trực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4.45" customHeight="1"/>
    <row r="37" spans="2:23" ht="14.45" customHeight="1"/>
  </sheetData>
  <mergeCells count="31">
    <mergeCell ref="H30:J30"/>
    <mergeCell ref="F12:F13"/>
    <mergeCell ref="G12:G13"/>
    <mergeCell ref="H12:H13"/>
    <mergeCell ref="B11:C11"/>
    <mergeCell ref="B12:B13"/>
    <mergeCell ref="C12:C13"/>
    <mergeCell ref="D12:D13"/>
    <mergeCell ref="E12:E13"/>
    <mergeCell ref="E2:F5"/>
    <mergeCell ref="G2:I5"/>
    <mergeCell ref="N2:O2"/>
    <mergeCell ref="P2:R5"/>
    <mergeCell ref="J3:M5"/>
    <mergeCell ref="N3:O3"/>
    <mergeCell ref="W12:W13"/>
    <mergeCell ref="D7:F7"/>
    <mergeCell ref="S3:V5"/>
    <mergeCell ref="N4:O4"/>
    <mergeCell ref="N5:O5"/>
    <mergeCell ref="G6:O6"/>
    <mergeCell ref="I12:J13"/>
    <mergeCell ref="K12:K13"/>
    <mergeCell ref="O12:O13"/>
    <mergeCell ref="P12:P13"/>
    <mergeCell ref="Q12:Q13"/>
    <mergeCell ref="R12:S13"/>
    <mergeCell ref="T12:T13"/>
    <mergeCell ref="U12:U13"/>
    <mergeCell ref="V12:V13"/>
    <mergeCell ref="B2:D5"/>
  </mergeCells>
  <conditionalFormatting sqref="C14:C29">
    <cfRule type="duplicateValues" dxfId="179" priority="1" stopIfTrue="1"/>
    <cfRule type="expression" dxfId="178" priority="2" stopIfTrue="1">
      <formula>AND(COUNTIF($C$1:$C$1280, C14)+COUNTIF($C$1282:$C$65363, C14)&gt;1,NOT(ISBLANK(C14)))</formula>
    </cfRule>
    <cfRule type="expression" dxfId="177" priority="3" stopIfTrue="1">
      <formula>AND(COUNTIF($C$1:$C$1283, C14)+COUNTIF($C$1284:$C$65363, C14)&gt;1,NOT(ISBLANK(C14)))</formula>
    </cfRule>
    <cfRule type="expression" dxfId="176"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dimension ref="B1:AA37"/>
  <sheetViews>
    <sheetView zoomScale="85" zoomScaleNormal="85" workbookViewId="0">
      <selection activeCell="E9" sqref="E9"/>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22</v>
      </c>
      <c r="C8" s="91"/>
      <c r="D8" s="68"/>
      <c r="F8" s="68"/>
      <c r="G8" s="91" t="str">
        <f>B8</f>
        <v>- Loại hình/hình thức đào tạo: Phục hồi/Trực tiếp</v>
      </c>
      <c r="H8" s="77"/>
      <c r="K8" s="93"/>
      <c r="L8" s="68"/>
      <c r="M8" s="68"/>
      <c r="N8" s="94"/>
      <c r="O8" s="95"/>
      <c r="P8" s="42" t="str">
        <f>G8</f>
        <v>- Loại hình/hình thức đào tạo: Phục hồi/Trực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sortState xmlns:xlrd2="http://schemas.microsoft.com/office/spreadsheetml/2017/richdata2" ref="A14:Z19">
    <sortCondition ref="P14:P19"/>
  </sortState>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B2:D5"/>
    <mergeCell ref="F12:F13"/>
    <mergeCell ref="G12:G13"/>
    <mergeCell ref="H12:H13"/>
    <mergeCell ref="B11:C11"/>
    <mergeCell ref="B12:B13"/>
    <mergeCell ref="C12:C13"/>
    <mergeCell ref="D12:D13"/>
    <mergeCell ref="E12:E13"/>
    <mergeCell ref="E2:F5"/>
    <mergeCell ref="G2:I5"/>
    <mergeCell ref="G6:O6"/>
    <mergeCell ref="I12:J13"/>
    <mergeCell ref="K12:K13"/>
    <mergeCell ref="O12:O13"/>
    <mergeCell ref="N2:O2"/>
  </mergeCells>
  <conditionalFormatting sqref="C14:C29">
    <cfRule type="duplicateValues" dxfId="175" priority="1" stopIfTrue="1"/>
    <cfRule type="expression" dxfId="174" priority="2" stopIfTrue="1">
      <formula>AND(COUNTIF($C$1:$C$1280, C14)+COUNTIF($C$1282:$C$65363, C14)&gt;1,NOT(ISBLANK(C14)))</formula>
    </cfRule>
    <cfRule type="expression" dxfId="173" priority="3" stopIfTrue="1">
      <formula>AND(COUNTIF($C$1:$C$1283, C14)+COUNTIF($C$1284:$C$65363, C14)&gt;1,NOT(ISBLANK(C14)))</formula>
    </cfRule>
    <cfRule type="expression" dxfId="172"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dimension ref="B1:AA37"/>
  <sheetViews>
    <sheetView zoomScale="70" zoomScaleNormal="70" workbookViewId="0">
      <selection activeCell="D7" sqref="D7:F7"/>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175" t="s">
        <v>19</v>
      </c>
      <c r="E7" s="175"/>
      <c r="F7" s="175"/>
      <c r="G7" s="91" t="s">
        <v>18</v>
      </c>
      <c r="H7" s="77"/>
      <c r="I7" s="93" t="str">
        <f>D7</f>
        <v>An toàn hàng không</v>
      </c>
      <c r="J7" s="68"/>
      <c r="L7" s="92"/>
      <c r="M7" s="92"/>
      <c r="N7" s="92"/>
      <c r="O7" s="92"/>
      <c r="P7" s="42" t="s">
        <v>20</v>
      </c>
      <c r="Q7" s="32"/>
      <c r="R7" s="46" t="str">
        <f>I7</f>
        <v>An toàn hàng không</v>
      </c>
      <c r="S7" s="46"/>
      <c r="T7" s="4"/>
      <c r="U7" s="4"/>
      <c r="V7" s="48"/>
      <c r="W7" s="49"/>
      <c r="Y7" s="50" t="s">
        <v>21</v>
      </c>
      <c r="Z7"/>
      <c r="AA7"/>
    </row>
    <row r="8" spans="2:27" s="85" customFormat="1" ht="22.5" customHeight="1">
      <c r="B8" s="91" t="s">
        <v>22</v>
      </c>
      <c r="C8" s="91"/>
      <c r="D8" s="68"/>
      <c r="F8" s="68"/>
      <c r="G8" s="91" t="str">
        <f>B8</f>
        <v>- Loại hình/hình thức đào tạo: Phục hồi/Trực tiếp</v>
      </c>
      <c r="H8" s="77"/>
      <c r="K8" s="93"/>
      <c r="L8" s="68"/>
      <c r="M8" s="68"/>
      <c r="N8" s="94"/>
      <c r="O8" s="95"/>
      <c r="P8" s="42" t="str">
        <f>G8</f>
        <v>- Loại hình/hình thức đào tạo: Phục hồi/Trực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1">
    <mergeCell ref="H30:J30"/>
    <mergeCell ref="W12:W13"/>
    <mergeCell ref="S3:V5"/>
    <mergeCell ref="N4:O4"/>
    <mergeCell ref="N5:O5"/>
    <mergeCell ref="G6:O6"/>
    <mergeCell ref="I12:J13"/>
    <mergeCell ref="K12:K13"/>
    <mergeCell ref="O12:O13"/>
    <mergeCell ref="P12:P13"/>
    <mergeCell ref="Q12:Q13"/>
    <mergeCell ref="R12:S13"/>
    <mergeCell ref="T12:T13"/>
    <mergeCell ref="U12:U13"/>
    <mergeCell ref="V12:V13"/>
    <mergeCell ref="B2:D5"/>
    <mergeCell ref="E2:F5"/>
    <mergeCell ref="G2:I5"/>
    <mergeCell ref="N2:O2"/>
    <mergeCell ref="P2:R5"/>
    <mergeCell ref="J3:M5"/>
    <mergeCell ref="N3:O3"/>
    <mergeCell ref="D7:F7"/>
    <mergeCell ref="F12:F13"/>
    <mergeCell ref="G12:G13"/>
    <mergeCell ref="H12:H13"/>
    <mergeCell ref="B11:C11"/>
    <mergeCell ref="B12:B13"/>
    <mergeCell ref="C12:C13"/>
    <mergeCell ref="D12:D13"/>
    <mergeCell ref="E12:E13"/>
  </mergeCells>
  <conditionalFormatting sqref="C14:C29">
    <cfRule type="duplicateValues" dxfId="171" priority="1" stopIfTrue="1"/>
    <cfRule type="expression" dxfId="170" priority="2" stopIfTrue="1">
      <formula>AND(COUNTIF($C$1:$C$1280, C14)+COUNTIF($C$1282:$C$65363, C14)&gt;1,NOT(ISBLANK(C14)))</formula>
    </cfRule>
    <cfRule type="expression" dxfId="169" priority="3" stopIfTrue="1">
      <formula>AND(COUNTIF($C$1:$C$1283, C14)+COUNTIF($C$1284:$C$65363, C14)&gt;1,NOT(ISBLANK(C14)))</formula>
    </cfRule>
    <cfRule type="expression" dxfId="168" priority="4" stopIfTrue="1">
      <formula>AND(COUNTIF($C$1:$C$1389, C14)+COUNTIF($C$1402:$C$65363, C14)&gt;1,NOT(ISBLANK(C14)))</formula>
    </cfRule>
  </conditionalFormatting>
  <pageMargins left="0.47" right="0.17" top="0.37" bottom="0.41"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A37"/>
  <sheetViews>
    <sheetView topLeftCell="A2" zoomScale="70" zoomScaleNormal="70" workbookViewId="0">
      <selection activeCell="A7" sqref="A7"/>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sortState xmlns:xlrd2="http://schemas.microsoft.com/office/spreadsheetml/2017/richdata2" ref="A14:AC17">
    <sortCondition descending="1" ref="V14:V17"/>
  </sortState>
  <mergeCells count="30">
    <mergeCell ref="H30:J30"/>
    <mergeCell ref="W12:W13"/>
    <mergeCell ref="U12:U13"/>
    <mergeCell ref="O12:O13"/>
    <mergeCell ref="P12:P13"/>
    <mergeCell ref="Q12:Q13"/>
    <mergeCell ref="T12:T13"/>
    <mergeCell ref="B2:D5"/>
    <mergeCell ref="E2:F5"/>
    <mergeCell ref="G2:I5"/>
    <mergeCell ref="N2:O2"/>
    <mergeCell ref="P2:R5"/>
    <mergeCell ref="J3:M5"/>
    <mergeCell ref="N3:O3"/>
    <mergeCell ref="N4:O4"/>
    <mergeCell ref="N5:O5"/>
    <mergeCell ref="B11:C11"/>
    <mergeCell ref="B12:B13"/>
    <mergeCell ref="C12:C13"/>
    <mergeCell ref="D12:D13"/>
    <mergeCell ref="E12:E13"/>
    <mergeCell ref="S3:V5"/>
    <mergeCell ref="G6:O6"/>
    <mergeCell ref="R12:S13"/>
    <mergeCell ref="V12:V13"/>
    <mergeCell ref="F12:F13"/>
    <mergeCell ref="G12:G13"/>
    <mergeCell ref="H12:H13"/>
    <mergeCell ref="I12:J13"/>
    <mergeCell ref="K12:K13"/>
  </mergeCells>
  <conditionalFormatting sqref="C14:C29">
    <cfRule type="duplicateValues" dxfId="167" priority="1" stopIfTrue="1"/>
    <cfRule type="expression" dxfId="166" priority="2" stopIfTrue="1">
      <formula>AND(COUNTIF($C$1:$C$1280, C14)+COUNTIF($C$1282:$C$65363, C14)&gt;1,NOT(ISBLANK(C14)))</formula>
    </cfRule>
    <cfRule type="expression" dxfId="165" priority="3" stopIfTrue="1">
      <formula>AND(COUNTIF($C$1:$C$1283, C14)+COUNTIF($C$1284:$C$65363, C14)&gt;1,NOT(ISBLANK(C14)))</formula>
    </cfRule>
    <cfRule type="expression" dxfId="164" priority="4" stopIfTrue="1">
      <formula>AND(COUNTIF($C$1:$C$1389, C14)+COUNTIF($C$1402:$C$65363, C14)&gt;1,NOT(ISBLANK(C14)))</formula>
    </cfRule>
  </conditionalFormatting>
  <pageMargins left="0.59" right="0.17" top="0.37" bottom="0.41"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A37"/>
  <sheetViews>
    <sheetView zoomScale="70" zoomScaleNormal="70" workbookViewId="0">
      <selection activeCell="A7" sqref="A7"/>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sortState xmlns:xlrd2="http://schemas.microsoft.com/office/spreadsheetml/2017/richdata2" ref="A14:AD17">
    <sortCondition descending="1" ref="V14:V17"/>
  </sortState>
  <mergeCells count="30">
    <mergeCell ref="H30:J30"/>
    <mergeCell ref="W12:W13"/>
    <mergeCell ref="R12:S13"/>
    <mergeCell ref="V12:V13"/>
    <mergeCell ref="O12:O13"/>
    <mergeCell ref="P12:P13"/>
    <mergeCell ref="Q12:Q13"/>
    <mergeCell ref="T12:T13"/>
    <mergeCell ref="U12:U13"/>
    <mergeCell ref="N4:O4"/>
    <mergeCell ref="N5:O5"/>
    <mergeCell ref="G6:O6"/>
    <mergeCell ref="I12:J13"/>
    <mergeCell ref="K12:K13"/>
    <mergeCell ref="S3:V5"/>
    <mergeCell ref="B11:C11"/>
    <mergeCell ref="B12:B13"/>
    <mergeCell ref="C12:C13"/>
    <mergeCell ref="D12:D13"/>
    <mergeCell ref="E12:E13"/>
    <mergeCell ref="F12:F13"/>
    <mergeCell ref="G12:G13"/>
    <mergeCell ref="H12:H13"/>
    <mergeCell ref="B2:D5"/>
    <mergeCell ref="E2:F5"/>
    <mergeCell ref="G2:I5"/>
    <mergeCell ref="N2:O2"/>
    <mergeCell ref="P2:R5"/>
    <mergeCell ref="J3:M5"/>
    <mergeCell ref="N3:O3"/>
  </mergeCells>
  <conditionalFormatting sqref="C14:C29">
    <cfRule type="duplicateValues" dxfId="163" priority="1" stopIfTrue="1"/>
    <cfRule type="expression" dxfId="162" priority="2" stopIfTrue="1">
      <formula>AND(COUNTIF($C$1:$C$1280, C14)+COUNTIF($C$1282:$C$65363, C14)&gt;1,NOT(ISBLANK(C14)))</formula>
    </cfRule>
    <cfRule type="expression" dxfId="161" priority="3" stopIfTrue="1">
      <formula>AND(COUNTIF($C$1:$C$1283, C14)+COUNTIF($C$1284:$C$65363, C14)&gt;1,NOT(ISBLANK(C14)))</formula>
    </cfRule>
    <cfRule type="expression" dxfId="160" priority="4" stopIfTrue="1">
      <formula>AND(COUNTIF($C$1:$C$1389, C14)+COUNTIF($C$1402:$C$65363, C14)&gt;1,NOT(ISBLANK(C14)))</formula>
    </cfRule>
  </conditionalFormatting>
  <pageMargins left="0.56999999999999995" right="0.17" top="0.37" bottom="0.41"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A37"/>
  <sheetViews>
    <sheetView tabSelected="1" zoomScale="70" zoomScaleNormal="70" workbookViewId="0">
      <selection activeCell="A7" sqref="A7"/>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W12:W13"/>
    <mergeCell ref="S3:V5"/>
    <mergeCell ref="N4:O4"/>
    <mergeCell ref="N5:O5"/>
    <mergeCell ref="G6:O6"/>
    <mergeCell ref="I12:J13"/>
    <mergeCell ref="K12:K13"/>
    <mergeCell ref="O12:O13"/>
    <mergeCell ref="P12:P13"/>
    <mergeCell ref="Q12:Q13"/>
    <mergeCell ref="R12:S13"/>
    <mergeCell ref="T12:T13"/>
    <mergeCell ref="U12:U13"/>
    <mergeCell ref="V12:V13"/>
    <mergeCell ref="B2:D5"/>
    <mergeCell ref="E2:F5"/>
    <mergeCell ref="G2:I5"/>
    <mergeCell ref="N2:O2"/>
    <mergeCell ref="P2:R5"/>
    <mergeCell ref="J3:M5"/>
    <mergeCell ref="N3:O3"/>
    <mergeCell ref="F12:F13"/>
    <mergeCell ref="G12:G13"/>
    <mergeCell ref="H12:H13"/>
    <mergeCell ref="B11:C11"/>
    <mergeCell ref="B12:B13"/>
    <mergeCell ref="C12:C13"/>
    <mergeCell ref="D12:D13"/>
    <mergeCell ref="E12:E13"/>
  </mergeCells>
  <conditionalFormatting sqref="C14:C29">
    <cfRule type="duplicateValues" dxfId="159" priority="1" stopIfTrue="1"/>
    <cfRule type="expression" dxfId="158" priority="2" stopIfTrue="1">
      <formula>AND(COUNTIF($C$1:$C$1280, C14)+COUNTIF($C$1282:$C$65363, C14)&gt;1,NOT(ISBLANK(C14)))</formula>
    </cfRule>
    <cfRule type="expression" dxfId="157" priority="3" stopIfTrue="1">
      <formula>AND(COUNTIF($C$1:$C$1283, C14)+COUNTIF($C$1284:$C$65363, C14)&gt;1,NOT(ISBLANK(C14)))</formula>
    </cfRule>
    <cfRule type="expression" dxfId="156"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AA37"/>
  <sheetViews>
    <sheetView zoomScale="70" zoomScaleNormal="70"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W12:W13"/>
    <mergeCell ref="S3:V5"/>
    <mergeCell ref="N4:O4"/>
    <mergeCell ref="N5:O5"/>
    <mergeCell ref="G6:O6"/>
    <mergeCell ref="I12:J13"/>
    <mergeCell ref="K12:K13"/>
    <mergeCell ref="O12:O13"/>
    <mergeCell ref="P12:P13"/>
    <mergeCell ref="Q12:Q13"/>
    <mergeCell ref="R12:S13"/>
    <mergeCell ref="T12:T13"/>
    <mergeCell ref="U12:U13"/>
    <mergeCell ref="V12:V13"/>
    <mergeCell ref="B2:D5"/>
    <mergeCell ref="E2:F5"/>
    <mergeCell ref="G2:I5"/>
    <mergeCell ref="N2:O2"/>
    <mergeCell ref="P2:R5"/>
    <mergeCell ref="J3:M5"/>
    <mergeCell ref="N3:O3"/>
    <mergeCell ref="F12:F13"/>
    <mergeCell ref="G12:G13"/>
    <mergeCell ref="H12:H13"/>
    <mergeCell ref="B11:C11"/>
    <mergeCell ref="B12:B13"/>
    <mergeCell ref="C12:C13"/>
    <mergeCell ref="D12:D13"/>
    <mergeCell ref="E12:E13"/>
  </mergeCells>
  <conditionalFormatting sqref="C14:C29">
    <cfRule type="duplicateValues" dxfId="155" priority="1" stopIfTrue="1"/>
    <cfRule type="expression" dxfId="154" priority="2" stopIfTrue="1">
      <formula>AND(COUNTIF($C$1:$C$1280, C14)+COUNTIF($C$1282:$C$65363, C14)&gt;1,NOT(ISBLANK(C14)))</formula>
    </cfRule>
    <cfRule type="expression" dxfId="153" priority="3" stopIfTrue="1">
      <formula>AND(COUNTIF($C$1:$C$1283, C14)+COUNTIF($C$1284:$C$65363, C14)&gt;1,NOT(ISBLANK(C14)))</formula>
    </cfRule>
    <cfRule type="expression" dxfId="152"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9"/>
  <dimension ref="B1:AA37"/>
  <sheetViews>
    <sheetView zoomScale="85" zoomScaleNormal="85"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V12:V13"/>
    <mergeCell ref="W12:W13"/>
    <mergeCell ref="P12:P13"/>
    <mergeCell ref="Q12:Q13"/>
    <mergeCell ref="R12:S13"/>
    <mergeCell ref="T12:T13"/>
    <mergeCell ref="U12:U13"/>
    <mergeCell ref="I12:J13"/>
    <mergeCell ref="K12:K13"/>
    <mergeCell ref="O12:O13"/>
    <mergeCell ref="P2:R5"/>
    <mergeCell ref="J3:M5"/>
    <mergeCell ref="N3:O3"/>
    <mergeCell ref="S3:V5"/>
    <mergeCell ref="N4:O4"/>
    <mergeCell ref="N5:O5"/>
    <mergeCell ref="B2:D5"/>
    <mergeCell ref="E2:F5"/>
    <mergeCell ref="G2:I5"/>
    <mergeCell ref="N2:O2"/>
    <mergeCell ref="G6:O6"/>
    <mergeCell ref="F12:F13"/>
    <mergeCell ref="G12:G13"/>
    <mergeCell ref="H12:H13"/>
    <mergeCell ref="B11:C11"/>
    <mergeCell ref="B12:B13"/>
    <mergeCell ref="C12:C13"/>
    <mergeCell ref="D12:D13"/>
    <mergeCell ref="E12:E13"/>
  </mergeCells>
  <conditionalFormatting sqref="C14:C29">
    <cfRule type="duplicateValues" dxfId="151" priority="1" stopIfTrue="1"/>
    <cfRule type="expression" dxfId="150" priority="2" stopIfTrue="1">
      <formula>AND(COUNTIF($C$1:$C$1280, C14)+COUNTIF($C$1282:$C$65363, C14)&gt;1,NOT(ISBLANK(C14)))</formula>
    </cfRule>
    <cfRule type="expression" dxfId="149" priority="3" stopIfTrue="1">
      <formula>AND(COUNTIF($C$1:$C$1283, C14)+COUNTIF($C$1284:$C$65363, C14)&gt;1,NOT(ISBLANK(C14)))</formula>
    </cfRule>
    <cfRule type="expression" dxfId="148"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dimension ref="B1:AA37"/>
  <sheetViews>
    <sheetView zoomScale="85" zoomScaleNormal="85"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s>
  <conditionalFormatting sqref="C14:C29">
    <cfRule type="duplicateValues" dxfId="147" priority="1" stopIfTrue="1"/>
    <cfRule type="expression" dxfId="146" priority="2" stopIfTrue="1">
      <formula>AND(COUNTIF($C$1:$C$1280, C14)+COUNTIF($C$1282:$C$65363, C14)&gt;1,NOT(ISBLANK(C14)))</formula>
    </cfRule>
    <cfRule type="expression" dxfId="145" priority="3" stopIfTrue="1">
      <formula>AND(COUNTIF($C$1:$C$1283, C14)+COUNTIF($C$1284:$C$65363, C14)&gt;1,NOT(ISBLANK(C14)))</formula>
    </cfRule>
    <cfRule type="expression" dxfId="144"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1"/>
  <dimension ref="B1:AA37"/>
  <sheetViews>
    <sheetView zoomScale="70" zoomScaleNormal="70"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s>
  <phoneticPr fontId="37" type="noConversion"/>
  <conditionalFormatting sqref="C14:C29">
    <cfRule type="duplicateValues" dxfId="143" priority="1" stopIfTrue="1"/>
    <cfRule type="expression" dxfId="142" priority="2" stopIfTrue="1">
      <formula>AND(COUNTIF($C$1:$C$1280, C14)+COUNTIF($C$1282:$C$65363, C14)&gt;1,NOT(ISBLANK(C14)))</formula>
    </cfRule>
    <cfRule type="expression" dxfId="141" priority="3" stopIfTrue="1">
      <formula>AND(COUNTIF($C$1:$C$1283, C14)+COUNTIF($C$1284:$C$65363, C14)&gt;1,NOT(ISBLANK(C14)))</formula>
    </cfRule>
    <cfRule type="expression" dxfId="140"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2"/>
  <dimension ref="B1:AA37"/>
  <sheetViews>
    <sheetView zoomScale="55" zoomScaleNormal="55"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s>
  <conditionalFormatting sqref="C14:C29">
    <cfRule type="duplicateValues" dxfId="139" priority="1" stopIfTrue="1"/>
    <cfRule type="expression" dxfId="138" priority="2" stopIfTrue="1">
      <formula>AND(COUNTIF($C$1:$C$1280, C14)+COUNTIF($C$1282:$C$65363, C14)&gt;1,NOT(ISBLANK(C14)))</formula>
    </cfRule>
    <cfRule type="expression" dxfId="137" priority="3" stopIfTrue="1">
      <formula>AND(COUNTIF($C$1:$C$1283, C14)+COUNTIF($C$1284:$C$65363, C14)&gt;1,NOT(ISBLANK(C14)))</formula>
    </cfRule>
    <cfRule type="expression" dxfId="136"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3"/>
  <dimension ref="B1:AA37"/>
  <sheetViews>
    <sheetView zoomScale="55" zoomScaleNormal="55"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s>
  <conditionalFormatting sqref="C14:C29">
    <cfRule type="duplicateValues" dxfId="135" priority="1" stopIfTrue="1"/>
    <cfRule type="expression" dxfId="134" priority="2" stopIfTrue="1">
      <formula>AND(COUNTIF($C$1:$C$1280, C14)+COUNTIF($C$1282:$C$65363, C14)&gt;1,NOT(ISBLANK(C14)))</formula>
    </cfRule>
    <cfRule type="expression" dxfId="133" priority="3" stopIfTrue="1">
      <formula>AND(COUNTIF($C$1:$C$1283, C14)+COUNTIF($C$1284:$C$65363, C14)&gt;1,NOT(ISBLANK(C14)))</formula>
    </cfRule>
    <cfRule type="expression" dxfId="132"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dimension ref="B1:AA37"/>
  <sheetViews>
    <sheetView zoomScale="70" zoomScaleNormal="70"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s>
  <conditionalFormatting sqref="C14:C29">
    <cfRule type="duplicateValues" dxfId="131" priority="1" stopIfTrue="1"/>
    <cfRule type="expression" dxfId="130" priority="2" stopIfTrue="1">
      <formula>AND(COUNTIF($C$1:$C$1280, C14)+COUNTIF($C$1282:$C$65363, C14)&gt;1,NOT(ISBLANK(C14)))</formula>
    </cfRule>
    <cfRule type="expression" dxfId="129" priority="3" stopIfTrue="1">
      <formula>AND(COUNTIF($C$1:$C$1283, C14)+COUNTIF($C$1284:$C$65363, C14)&gt;1,NOT(ISBLANK(C14)))</formula>
    </cfRule>
    <cfRule type="expression" dxfId="128"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5"/>
  <dimension ref="B1:AA37"/>
  <sheetViews>
    <sheetView zoomScale="70" zoomScaleNormal="70"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s>
  <conditionalFormatting sqref="C14:C29">
    <cfRule type="duplicateValues" dxfId="127" priority="1" stopIfTrue="1"/>
    <cfRule type="expression" dxfId="126" priority="2" stopIfTrue="1">
      <formula>AND(COUNTIF($C$1:$C$1280, C14)+COUNTIF($C$1282:$C$65363, C14)&gt;1,NOT(ISBLANK(C14)))</formula>
    </cfRule>
    <cfRule type="expression" dxfId="125" priority="3" stopIfTrue="1">
      <formula>AND(COUNTIF($C$1:$C$1283, C14)+COUNTIF($C$1284:$C$65363, C14)&gt;1,NOT(ISBLANK(C14)))</formula>
    </cfRule>
    <cfRule type="expression" dxfId="124"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AA37"/>
  <sheetViews>
    <sheetView zoomScale="70" zoomScaleNormal="70"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S3:V5"/>
    <mergeCell ref="N4:O4"/>
    <mergeCell ref="N5:O5"/>
    <mergeCell ref="G6:O6"/>
    <mergeCell ref="I12:J13"/>
    <mergeCell ref="K12:K13"/>
    <mergeCell ref="R12:S13"/>
    <mergeCell ref="T12:T13"/>
    <mergeCell ref="U12:U13"/>
    <mergeCell ref="V12:V13"/>
    <mergeCell ref="G2:I5"/>
    <mergeCell ref="N2:O2"/>
    <mergeCell ref="P2:R5"/>
    <mergeCell ref="J3:M5"/>
    <mergeCell ref="N3:O3"/>
    <mergeCell ref="W12:W13"/>
    <mergeCell ref="O12:O13"/>
    <mergeCell ref="P12:P13"/>
    <mergeCell ref="Q12:Q13"/>
    <mergeCell ref="G12:G13"/>
    <mergeCell ref="H12:H13"/>
    <mergeCell ref="E12:E13"/>
    <mergeCell ref="F12:F13"/>
    <mergeCell ref="B2:D5"/>
    <mergeCell ref="B12:B13"/>
    <mergeCell ref="B11:C11"/>
    <mergeCell ref="C12:C13"/>
    <mergeCell ref="D12:D13"/>
    <mergeCell ref="E2:F5"/>
  </mergeCells>
  <conditionalFormatting sqref="C14:C29">
    <cfRule type="duplicateValues" dxfId="123" priority="1" stopIfTrue="1"/>
    <cfRule type="expression" dxfId="122" priority="2" stopIfTrue="1">
      <formula>AND(COUNTIF($C$1:$C$1280, C14)+COUNTIF($C$1282:$C$65363, C14)&gt;1,NOT(ISBLANK(C14)))</formula>
    </cfRule>
    <cfRule type="expression" dxfId="121" priority="3" stopIfTrue="1">
      <formula>AND(COUNTIF($C$1:$C$1283, C14)+COUNTIF($C$1284:$C$65363, C14)&gt;1,NOT(ISBLANK(C14)))</formula>
    </cfRule>
    <cfRule type="expression" dxfId="120"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7"/>
  <dimension ref="B1:AA37"/>
  <sheetViews>
    <sheetView zoomScale="70" zoomScaleNormal="70"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s>
  <conditionalFormatting sqref="C14:C29">
    <cfRule type="duplicateValues" dxfId="119" priority="1" stopIfTrue="1"/>
    <cfRule type="expression" dxfId="118" priority="2" stopIfTrue="1">
      <formula>AND(COUNTIF($C$1:$C$1280, C14)+COUNTIF($C$1282:$C$65363, C14)&gt;1,NOT(ISBLANK(C14)))</formula>
    </cfRule>
    <cfRule type="expression" dxfId="117" priority="3" stopIfTrue="1">
      <formula>AND(COUNTIF($C$1:$C$1283, C14)+COUNTIF($C$1284:$C$65363, C14)&gt;1,NOT(ISBLANK(C14)))</formula>
    </cfRule>
    <cfRule type="expression" dxfId="116"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8"/>
  <dimension ref="B1:AA37"/>
  <sheetViews>
    <sheetView zoomScale="70" zoomScaleNormal="70"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s>
  <conditionalFormatting sqref="C14:C29">
    <cfRule type="duplicateValues" dxfId="115" priority="1" stopIfTrue="1"/>
    <cfRule type="expression" dxfId="114" priority="2" stopIfTrue="1">
      <formula>AND(COUNTIF($C$1:$C$1280, C14)+COUNTIF($C$1282:$C$65363, C14)&gt;1,NOT(ISBLANK(C14)))</formula>
    </cfRule>
    <cfRule type="expression" dxfId="113" priority="3" stopIfTrue="1">
      <formula>AND(COUNTIF($C$1:$C$1283, C14)+COUNTIF($C$1284:$C$65363, C14)&gt;1,NOT(ISBLANK(C14)))</formula>
    </cfRule>
    <cfRule type="expression" dxfId="112"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9"/>
  <dimension ref="B1:AA37"/>
  <sheetViews>
    <sheetView zoomScale="85" zoomScaleNormal="85"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s>
  <conditionalFormatting sqref="C14:C29">
    <cfRule type="duplicateValues" dxfId="111" priority="1" stopIfTrue="1"/>
    <cfRule type="expression" dxfId="110" priority="2" stopIfTrue="1">
      <formula>AND(COUNTIF($C$1:$C$1280, C14)+COUNTIF($C$1282:$C$65363, C14)&gt;1,NOT(ISBLANK(C14)))</formula>
    </cfRule>
    <cfRule type="expression" dxfId="109" priority="3" stopIfTrue="1">
      <formula>AND(COUNTIF($C$1:$C$1283, C14)+COUNTIF($C$1284:$C$65363, C14)&gt;1,NOT(ISBLANK(C14)))</formula>
    </cfRule>
    <cfRule type="expression" dxfId="108"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0"/>
  <dimension ref="B1:AA37"/>
  <sheetViews>
    <sheetView zoomScale="85" zoomScaleNormal="85"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V12:V13"/>
    <mergeCell ref="W12:W13"/>
    <mergeCell ref="P12:P13"/>
    <mergeCell ref="Q12:Q13"/>
    <mergeCell ref="R12:S13"/>
    <mergeCell ref="T12:T13"/>
    <mergeCell ref="U12:U13"/>
    <mergeCell ref="I12:J13"/>
    <mergeCell ref="K12:K13"/>
    <mergeCell ref="O12:O13"/>
    <mergeCell ref="P2:R5"/>
    <mergeCell ref="J3:M5"/>
    <mergeCell ref="N3:O3"/>
    <mergeCell ref="S3:V5"/>
    <mergeCell ref="N4:O4"/>
    <mergeCell ref="N5:O5"/>
    <mergeCell ref="B2:D5"/>
    <mergeCell ref="E2:F5"/>
    <mergeCell ref="G2:I5"/>
    <mergeCell ref="N2:O2"/>
    <mergeCell ref="G6:O6"/>
    <mergeCell ref="F12:F13"/>
    <mergeCell ref="G12:G13"/>
    <mergeCell ref="H12:H13"/>
    <mergeCell ref="B11:C11"/>
    <mergeCell ref="B12:B13"/>
    <mergeCell ref="C12:C13"/>
    <mergeCell ref="D12:D13"/>
    <mergeCell ref="E12:E13"/>
  </mergeCells>
  <conditionalFormatting sqref="C14:C29">
    <cfRule type="duplicateValues" dxfId="107" priority="1" stopIfTrue="1"/>
    <cfRule type="expression" dxfId="106" priority="2" stopIfTrue="1">
      <formula>AND(COUNTIF($C$1:$C$1280, C14)+COUNTIF($C$1282:$C$65363, C14)&gt;1,NOT(ISBLANK(C14)))</formula>
    </cfRule>
    <cfRule type="expression" dxfId="105" priority="3" stopIfTrue="1">
      <formula>AND(COUNTIF($C$1:$C$1283, C14)+COUNTIF($C$1284:$C$65363, C14)&gt;1,NOT(ISBLANK(C14)))</formula>
    </cfRule>
    <cfRule type="expression" dxfId="104"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1"/>
  <dimension ref="B1:AA37"/>
  <sheetViews>
    <sheetView zoomScale="85" zoomScaleNormal="85"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s>
  <conditionalFormatting sqref="C14:C29">
    <cfRule type="duplicateValues" dxfId="103" priority="1" stopIfTrue="1"/>
    <cfRule type="expression" dxfId="102" priority="2" stopIfTrue="1">
      <formula>AND(COUNTIF($C$1:$C$1280, C14)+COUNTIF($C$1282:$C$65363, C14)&gt;1,NOT(ISBLANK(C14)))</formula>
    </cfRule>
    <cfRule type="expression" dxfId="101" priority="3" stopIfTrue="1">
      <formula>AND(COUNTIF($C$1:$C$1283, C14)+COUNTIF($C$1284:$C$65363, C14)&gt;1,NOT(ISBLANK(C14)))</formula>
    </cfRule>
    <cfRule type="expression" dxfId="100"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2"/>
  <dimension ref="B1:AA37"/>
  <sheetViews>
    <sheetView zoomScale="85" zoomScaleNormal="85"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s>
  <conditionalFormatting sqref="C14:C29">
    <cfRule type="duplicateValues" dxfId="99" priority="1" stopIfTrue="1"/>
    <cfRule type="expression" dxfId="98" priority="2" stopIfTrue="1">
      <formula>AND(COUNTIF($C$1:$C$1280, C14)+COUNTIF($C$1282:$C$65363, C14)&gt;1,NOT(ISBLANK(C14)))</formula>
    </cfRule>
    <cfRule type="expression" dxfId="97" priority="3" stopIfTrue="1">
      <formula>AND(COUNTIF($C$1:$C$1283, C14)+COUNTIF($C$1284:$C$65363, C14)&gt;1,NOT(ISBLANK(C14)))</formula>
    </cfRule>
    <cfRule type="expression" dxfId="96"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3"/>
  <dimension ref="B1:AA37"/>
  <sheetViews>
    <sheetView topLeftCell="A3" zoomScale="70" zoomScaleNormal="70"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s>
  <conditionalFormatting sqref="C14:C29">
    <cfRule type="duplicateValues" dxfId="95" priority="1" stopIfTrue="1"/>
    <cfRule type="expression" dxfId="94" priority="2" stopIfTrue="1">
      <formula>AND(COUNTIF($C$1:$C$1280, C14)+COUNTIF($C$1282:$C$65363, C14)&gt;1,NOT(ISBLANK(C14)))</formula>
    </cfRule>
    <cfRule type="expression" dxfId="93" priority="3" stopIfTrue="1">
      <formula>AND(COUNTIF($C$1:$C$1283, C14)+COUNTIF($C$1284:$C$65363, C14)&gt;1,NOT(ISBLANK(C14)))</formula>
    </cfRule>
    <cfRule type="expression" dxfId="92"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B1:AA37"/>
  <sheetViews>
    <sheetView zoomScale="85" zoomScaleNormal="85"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W12:W13"/>
    <mergeCell ref="Q12:Q13"/>
    <mergeCell ref="R12:S13"/>
    <mergeCell ref="T12:T13"/>
    <mergeCell ref="U12:U13"/>
    <mergeCell ref="V12:V13"/>
    <mergeCell ref="I12:J13"/>
    <mergeCell ref="K12:K13"/>
    <mergeCell ref="O12:O13"/>
    <mergeCell ref="P12:P13"/>
    <mergeCell ref="S3:V5"/>
    <mergeCell ref="N4:O4"/>
    <mergeCell ref="N5:O5"/>
    <mergeCell ref="B2:D5"/>
    <mergeCell ref="E2:F5"/>
    <mergeCell ref="G2:I5"/>
    <mergeCell ref="N2:O2"/>
    <mergeCell ref="P2:R5"/>
    <mergeCell ref="J3:M5"/>
    <mergeCell ref="N3:O3"/>
    <mergeCell ref="B11:C11"/>
    <mergeCell ref="G6:O6"/>
    <mergeCell ref="B12:B13"/>
    <mergeCell ref="C12:C13"/>
    <mergeCell ref="D12:D13"/>
    <mergeCell ref="E12:E13"/>
    <mergeCell ref="F12:F13"/>
    <mergeCell ref="G12:G13"/>
    <mergeCell ref="H12:H13"/>
  </mergeCells>
  <conditionalFormatting sqref="C14:C29">
    <cfRule type="duplicateValues" dxfId="91" priority="1" stopIfTrue="1"/>
    <cfRule type="expression" dxfId="90" priority="2" stopIfTrue="1">
      <formula>AND(COUNTIF($C$1:$C$1280, C14)+COUNTIF($C$1282:$C$65363, C14)&gt;1,NOT(ISBLANK(C14)))</formula>
    </cfRule>
    <cfRule type="expression" dxfId="89" priority="3" stopIfTrue="1">
      <formula>AND(COUNTIF($C$1:$C$1283, C14)+COUNTIF($C$1284:$C$65363, C14)&gt;1,NOT(ISBLANK(C14)))</formula>
    </cfRule>
    <cfRule type="expression" dxfId="88" priority="4" stopIfTrue="1">
      <formula>AND(COUNTIF($C$1:$C$1389, C14)+COUNTIF($C$1402:$C$65363, C14)&gt;1,NOT(ISBLANK(C14)))</formula>
    </cfRule>
  </conditionalFormatting>
  <pageMargins left="0.59" right="0.17" top="0.37" bottom="0.41"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1:AA37"/>
  <sheetViews>
    <sheetView topLeftCell="A3" zoomScale="70" zoomScaleNormal="70"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W12:W13"/>
    <mergeCell ref="Q12:Q13"/>
    <mergeCell ref="R12:S13"/>
    <mergeCell ref="T12:T13"/>
    <mergeCell ref="U12:U13"/>
    <mergeCell ref="V12:V13"/>
    <mergeCell ref="I12:J13"/>
    <mergeCell ref="K12:K13"/>
    <mergeCell ref="O12:O13"/>
    <mergeCell ref="P12:P13"/>
    <mergeCell ref="S3:V5"/>
    <mergeCell ref="N4:O4"/>
    <mergeCell ref="N5:O5"/>
    <mergeCell ref="B2:D5"/>
    <mergeCell ref="E2:F5"/>
    <mergeCell ref="G2:I5"/>
    <mergeCell ref="N2:O2"/>
    <mergeCell ref="P2:R5"/>
    <mergeCell ref="J3:M5"/>
    <mergeCell ref="N3:O3"/>
    <mergeCell ref="B11:C11"/>
    <mergeCell ref="G6:O6"/>
    <mergeCell ref="B12:B13"/>
    <mergeCell ref="C12:C13"/>
    <mergeCell ref="D12:D13"/>
    <mergeCell ref="E12:E13"/>
    <mergeCell ref="F12:F13"/>
    <mergeCell ref="G12:G13"/>
    <mergeCell ref="H12:H13"/>
  </mergeCells>
  <conditionalFormatting sqref="C14:C29">
    <cfRule type="duplicateValues" dxfId="87" priority="1" stopIfTrue="1"/>
    <cfRule type="expression" dxfId="86" priority="2" stopIfTrue="1">
      <formula>AND(COUNTIF($C$1:$C$1280, C14)+COUNTIF($C$1282:$C$65363, C14)&gt;1,NOT(ISBLANK(C14)))</formula>
    </cfRule>
    <cfRule type="expression" dxfId="85" priority="3" stopIfTrue="1">
      <formula>AND(COUNTIF($C$1:$C$1283, C14)+COUNTIF($C$1284:$C$65363, C14)&gt;1,NOT(ISBLANK(C14)))</formula>
    </cfRule>
    <cfRule type="expression" dxfId="84"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1:AA37"/>
  <sheetViews>
    <sheetView zoomScale="70" zoomScaleNormal="70"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W12:W13"/>
    <mergeCell ref="Q12:Q13"/>
    <mergeCell ref="R12:S13"/>
    <mergeCell ref="T12:T13"/>
    <mergeCell ref="U12:U13"/>
    <mergeCell ref="V12:V13"/>
    <mergeCell ref="I12:J13"/>
    <mergeCell ref="K12:K13"/>
    <mergeCell ref="O12:O13"/>
    <mergeCell ref="P12:P13"/>
    <mergeCell ref="S3:V5"/>
    <mergeCell ref="N4:O4"/>
    <mergeCell ref="N5:O5"/>
    <mergeCell ref="B2:D5"/>
    <mergeCell ref="E2:F5"/>
    <mergeCell ref="G2:I5"/>
    <mergeCell ref="N2:O2"/>
    <mergeCell ref="P2:R5"/>
    <mergeCell ref="J3:M5"/>
    <mergeCell ref="N3:O3"/>
    <mergeCell ref="B11:C11"/>
    <mergeCell ref="G6:O6"/>
    <mergeCell ref="B12:B13"/>
    <mergeCell ref="C12:C13"/>
    <mergeCell ref="D12:D13"/>
    <mergeCell ref="E12:E13"/>
    <mergeCell ref="F12:F13"/>
    <mergeCell ref="G12:G13"/>
    <mergeCell ref="H12:H13"/>
  </mergeCells>
  <conditionalFormatting sqref="C14:C29">
    <cfRule type="duplicateValues" dxfId="83" priority="1" stopIfTrue="1"/>
    <cfRule type="expression" dxfId="82" priority="2" stopIfTrue="1">
      <formula>AND(COUNTIF($C$1:$C$1280, C14)+COUNTIF($C$1282:$C$65363, C14)&gt;1,NOT(ISBLANK(C14)))</formula>
    </cfRule>
    <cfRule type="expression" dxfId="81" priority="3" stopIfTrue="1">
      <formula>AND(COUNTIF($C$1:$C$1283, C14)+COUNTIF($C$1284:$C$65363, C14)&gt;1,NOT(ISBLANK(C14)))</formula>
    </cfRule>
    <cfRule type="expression" dxfId="80"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B1:AA37"/>
  <sheetViews>
    <sheetView topLeftCell="A6" zoomScale="85" zoomScaleNormal="85"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W12:W13"/>
    <mergeCell ref="Q12:Q13"/>
    <mergeCell ref="R12:S13"/>
    <mergeCell ref="T12:T13"/>
    <mergeCell ref="U12:U13"/>
    <mergeCell ref="V12:V13"/>
    <mergeCell ref="I12:J13"/>
    <mergeCell ref="K12:K13"/>
    <mergeCell ref="O12:O13"/>
    <mergeCell ref="P12:P13"/>
    <mergeCell ref="S3:V5"/>
    <mergeCell ref="N4:O4"/>
    <mergeCell ref="N5:O5"/>
    <mergeCell ref="B2:D5"/>
    <mergeCell ref="E2:F5"/>
    <mergeCell ref="G2:I5"/>
    <mergeCell ref="N2:O2"/>
    <mergeCell ref="P2:R5"/>
    <mergeCell ref="J3:M5"/>
    <mergeCell ref="N3:O3"/>
    <mergeCell ref="B11:C11"/>
    <mergeCell ref="G6:O6"/>
    <mergeCell ref="B12:B13"/>
    <mergeCell ref="C12:C13"/>
    <mergeCell ref="D12:D13"/>
    <mergeCell ref="E12:E13"/>
    <mergeCell ref="F12:F13"/>
    <mergeCell ref="G12:G13"/>
    <mergeCell ref="H12:H13"/>
  </mergeCells>
  <conditionalFormatting sqref="C14:C29">
    <cfRule type="duplicateValues" dxfId="79" priority="1" stopIfTrue="1"/>
    <cfRule type="expression" dxfId="78" priority="2" stopIfTrue="1">
      <formula>AND(COUNTIF($C$1:$C$1280, C14)+COUNTIF($C$1282:$C$65363, C14)&gt;1,NOT(ISBLANK(C14)))</formula>
    </cfRule>
    <cfRule type="expression" dxfId="77" priority="3" stopIfTrue="1">
      <formula>AND(COUNTIF($C$1:$C$1283, C14)+COUNTIF($C$1284:$C$65363, C14)&gt;1,NOT(ISBLANK(C14)))</formula>
    </cfRule>
    <cfRule type="expression" dxfId="76"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B1:AA37"/>
  <sheetViews>
    <sheetView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W12:W13"/>
    <mergeCell ref="S3:V5"/>
    <mergeCell ref="N4:O4"/>
    <mergeCell ref="N5:O5"/>
    <mergeCell ref="G6:O6"/>
    <mergeCell ref="I12:J13"/>
    <mergeCell ref="K12:K13"/>
    <mergeCell ref="O12:O13"/>
    <mergeCell ref="P12:P13"/>
    <mergeCell ref="Q12:Q13"/>
    <mergeCell ref="R12:S13"/>
    <mergeCell ref="T12:T13"/>
    <mergeCell ref="U12:U13"/>
    <mergeCell ref="V12:V13"/>
    <mergeCell ref="G2:I5"/>
    <mergeCell ref="N2:O2"/>
    <mergeCell ref="P2:R5"/>
    <mergeCell ref="J3:M5"/>
    <mergeCell ref="N3:O3"/>
    <mergeCell ref="G12:G13"/>
    <mergeCell ref="H12:H13"/>
    <mergeCell ref="B11:C11"/>
    <mergeCell ref="B2:D5"/>
    <mergeCell ref="E2:F5"/>
    <mergeCell ref="B12:B13"/>
    <mergeCell ref="C12:C13"/>
    <mergeCell ref="D12:D13"/>
    <mergeCell ref="E12:E13"/>
    <mergeCell ref="F12:F13"/>
  </mergeCells>
  <conditionalFormatting sqref="C14:C29">
    <cfRule type="duplicateValues" dxfId="75" priority="1" stopIfTrue="1"/>
    <cfRule type="expression" dxfId="74" priority="2" stopIfTrue="1">
      <formula>AND(COUNTIF($C$1:$C$1280, C14)+COUNTIF($C$1282:$C$65363, C14)&gt;1,NOT(ISBLANK(C14)))</formula>
    </cfRule>
    <cfRule type="expression" dxfId="73" priority="3" stopIfTrue="1">
      <formula>AND(COUNTIF($C$1:$C$1283, C14)+COUNTIF($C$1284:$C$65363, C14)&gt;1,NOT(ISBLANK(C14)))</formula>
    </cfRule>
    <cfRule type="expression" dxfId="72"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B1:AA37"/>
  <sheetViews>
    <sheetView zoomScale="85" zoomScaleNormal="85"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W12:W13"/>
    <mergeCell ref="S3:V5"/>
    <mergeCell ref="N4:O4"/>
    <mergeCell ref="N5:O5"/>
    <mergeCell ref="G6:O6"/>
    <mergeCell ref="I12:J13"/>
    <mergeCell ref="K12:K13"/>
    <mergeCell ref="O12:O13"/>
    <mergeCell ref="P12:P13"/>
    <mergeCell ref="Q12:Q13"/>
    <mergeCell ref="R12:S13"/>
    <mergeCell ref="T12:T13"/>
    <mergeCell ref="U12:U13"/>
    <mergeCell ref="V12:V13"/>
    <mergeCell ref="G2:I5"/>
    <mergeCell ref="N2:O2"/>
    <mergeCell ref="P2:R5"/>
    <mergeCell ref="J3:M5"/>
    <mergeCell ref="N3:O3"/>
    <mergeCell ref="G12:G13"/>
    <mergeCell ref="H12:H13"/>
    <mergeCell ref="B11:C11"/>
    <mergeCell ref="B2:D5"/>
    <mergeCell ref="E2:F5"/>
    <mergeCell ref="B12:B13"/>
    <mergeCell ref="C12:C13"/>
    <mergeCell ref="D12:D13"/>
    <mergeCell ref="E12:E13"/>
    <mergeCell ref="F12:F13"/>
  </mergeCells>
  <conditionalFormatting sqref="C14:C29">
    <cfRule type="duplicateValues" dxfId="71" priority="1" stopIfTrue="1"/>
    <cfRule type="expression" dxfId="70" priority="2" stopIfTrue="1">
      <formula>AND(COUNTIF($C$1:$C$1280, C14)+COUNTIF($C$1282:$C$65363, C14)&gt;1,NOT(ISBLANK(C14)))</formula>
    </cfRule>
    <cfRule type="expression" dxfId="69" priority="3" stopIfTrue="1">
      <formula>AND(COUNTIF($C$1:$C$1283, C14)+COUNTIF($C$1284:$C$65363, C14)&gt;1,NOT(ISBLANK(C14)))</formula>
    </cfRule>
    <cfRule type="expression" dxfId="68"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B1:AA37"/>
  <sheetViews>
    <sheetView zoomScale="70" zoomScaleNormal="70"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W12:W13"/>
    <mergeCell ref="S3:V5"/>
    <mergeCell ref="N4:O4"/>
    <mergeCell ref="N5:O5"/>
    <mergeCell ref="G6:O6"/>
    <mergeCell ref="I12:J13"/>
    <mergeCell ref="K12:K13"/>
    <mergeCell ref="O12:O13"/>
    <mergeCell ref="P12:P13"/>
    <mergeCell ref="Q12:Q13"/>
    <mergeCell ref="R12:S13"/>
    <mergeCell ref="T12:T13"/>
    <mergeCell ref="U12:U13"/>
    <mergeCell ref="V12:V13"/>
    <mergeCell ref="G2:I5"/>
    <mergeCell ref="N2:O2"/>
    <mergeCell ref="P2:R5"/>
    <mergeCell ref="J3:M5"/>
    <mergeCell ref="N3:O3"/>
    <mergeCell ref="G12:G13"/>
    <mergeCell ref="H12:H13"/>
    <mergeCell ref="B11:C11"/>
    <mergeCell ref="B2:D5"/>
    <mergeCell ref="E2:F5"/>
    <mergeCell ref="B12:B13"/>
    <mergeCell ref="C12:C13"/>
    <mergeCell ref="D12:D13"/>
    <mergeCell ref="E12:E13"/>
    <mergeCell ref="F12:F13"/>
  </mergeCells>
  <conditionalFormatting sqref="C14:C29">
    <cfRule type="duplicateValues" dxfId="67" priority="1" stopIfTrue="1"/>
    <cfRule type="expression" dxfId="66" priority="2" stopIfTrue="1">
      <formula>AND(COUNTIF($C$1:$C$1280, C14)+COUNTIF($C$1282:$C$65363, C14)&gt;1,NOT(ISBLANK(C14)))</formula>
    </cfRule>
    <cfRule type="expression" dxfId="65" priority="3" stopIfTrue="1">
      <formula>AND(COUNTIF($C$1:$C$1283, C14)+COUNTIF($C$1284:$C$65363, C14)&gt;1,NOT(ISBLANK(C14)))</formula>
    </cfRule>
    <cfRule type="expression" dxfId="64"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B1:AA37"/>
  <sheetViews>
    <sheetView topLeftCell="A3" zoomScale="55" zoomScaleNormal="55"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W12:W13"/>
    <mergeCell ref="S3:V5"/>
    <mergeCell ref="N4:O4"/>
    <mergeCell ref="N5:O5"/>
    <mergeCell ref="G6:O6"/>
    <mergeCell ref="I12:J13"/>
    <mergeCell ref="K12:K13"/>
    <mergeCell ref="O12:O13"/>
    <mergeCell ref="P12:P13"/>
    <mergeCell ref="Q12:Q13"/>
    <mergeCell ref="R12:S13"/>
    <mergeCell ref="T12:T13"/>
    <mergeCell ref="U12:U13"/>
    <mergeCell ref="V12:V13"/>
    <mergeCell ref="G2:I5"/>
    <mergeCell ref="N2:O2"/>
    <mergeCell ref="P2:R5"/>
    <mergeCell ref="J3:M5"/>
    <mergeCell ref="N3:O3"/>
    <mergeCell ref="G12:G13"/>
    <mergeCell ref="H12:H13"/>
    <mergeCell ref="B11:C11"/>
    <mergeCell ref="B2:D5"/>
    <mergeCell ref="E2:F5"/>
    <mergeCell ref="B12:B13"/>
    <mergeCell ref="C12:C13"/>
    <mergeCell ref="D12:D13"/>
    <mergeCell ref="E12:E13"/>
    <mergeCell ref="F12:F13"/>
  </mergeCells>
  <conditionalFormatting sqref="C14:C29">
    <cfRule type="duplicateValues" dxfId="63" priority="1" stopIfTrue="1"/>
    <cfRule type="expression" dxfId="62" priority="2" stopIfTrue="1">
      <formula>AND(COUNTIF($C$1:$C$1280, C14)+COUNTIF($C$1282:$C$65363, C14)&gt;1,NOT(ISBLANK(C14)))</formula>
    </cfRule>
    <cfRule type="expression" dxfId="61" priority="3" stopIfTrue="1">
      <formula>AND(COUNTIF($C$1:$C$1283, C14)+COUNTIF($C$1284:$C$65363, C14)&gt;1,NOT(ISBLANK(C14)))</formula>
    </cfRule>
    <cfRule type="expression" dxfId="60"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B1:AA37"/>
  <sheetViews>
    <sheetView topLeftCell="A6" zoomScale="70" zoomScaleNormal="70"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sortState xmlns:xlrd2="http://schemas.microsoft.com/office/spreadsheetml/2017/richdata2" ref="A14:AC18">
    <sortCondition descending="1" ref="Y14:Y18"/>
  </sortState>
  <mergeCells count="30">
    <mergeCell ref="H30:J30"/>
    <mergeCell ref="E2:F5"/>
    <mergeCell ref="G2:I5"/>
    <mergeCell ref="N2:O2"/>
    <mergeCell ref="P2:R5"/>
    <mergeCell ref="J3:M5"/>
    <mergeCell ref="N3:O3"/>
    <mergeCell ref="N4:O4"/>
    <mergeCell ref="N5:O5"/>
    <mergeCell ref="W12:W13"/>
    <mergeCell ref="O12:O13"/>
    <mergeCell ref="P12:P13"/>
    <mergeCell ref="Q12:Q13"/>
    <mergeCell ref="V12:V13"/>
    <mergeCell ref="S3:V5"/>
    <mergeCell ref="R12:S13"/>
    <mergeCell ref="T12:T13"/>
    <mergeCell ref="U12:U13"/>
    <mergeCell ref="B12:B13"/>
    <mergeCell ref="C12:C13"/>
    <mergeCell ref="D12:D13"/>
    <mergeCell ref="E12:E13"/>
    <mergeCell ref="F12:F13"/>
    <mergeCell ref="G6:O6"/>
    <mergeCell ref="B11:C11"/>
    <mergeCell ref="B2:D5"/>
    <mergeCell ref="G12:G13"/>
    <mergeCell ref="H12:H13"/>
    <mergeCell ref="I12:J13"/>
    <mergeCell ref="K12:K13"/>
  </mergeCells>
  <conditionalFormatting sqref="C14:C29">
    <cfRule type="duplicateValues" dxfId="59" priority="1" stopIfTrue="1"/>
    <cfRule type="expression" dxfId="58" priority="2" stopIfTrue="1">
      <formula>AND(COUNTIF($C$1:$C$1280, C14)+COUNTIF($C$1282:$C$65363, C14)&gt;1,NOT(ISBLANK(C14)))</formula>
    </cfRule>
    <cfRule type="expression" dxfId="57" priority="3" stopIfTrue="1">
      <formula>AND(COUNTIF($C$1:$C$1283, C14)+COUNTIF($C$1284:$C$65363, C14)&gt;1,NOT(ISBLANK(C14)))</formula>
    </cfRule>
    <cfRule type="expression" dxfId="56" priority="4" stopIfTrue="1">
      <formula>AND(COUNTIF($C$1:$C$1389, C14)+COUNTIF($C$1402:$C$65363, C14)&gt;1,NOT(ISBLANK(C14)))</formula>
    </cfRule>
  </conditionalFormatting>
  <pageMargins left="0.64" right="0.32" top="0.37" bottom="0.41" header="0.3" footer="0.3"/>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B1:AA37"/>
  <sheetViews>
    <sheetView topLeftCell="A6" zoomScale="70" zoomScaleNormal="70"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Q12:Q13"/>
    <mergeCell ref="R12:S13"/>
    <mergeCell ref="T12:T13"/>
    <mergeCell ref="I12:J13"/>
    <mergeCell ref="K12:K13"/>
    <mergeCell ref="O12:O13"/>
    <mergeCell ref="P12:P13"/>
    <mergeCell ref="P2:R5"/>
    <mergeCell ref="J3:M5"/>
    <mergeCell ref="N3:O3"/>
    <mergeCell ref="W12:W13"/>
    <mergeCell ref="U12:U13"/>
    <mergeCell ref="V12:V13"/>
    <mergeCell ref="S3:V5"/>
    <mergeCell ref="N4:O4"/>
    <mergeCell ref="N5:O5"/>
    <mergeCell ref="N2:O2"/>
    <mergeCell ref="G6:O6"/>
    <mergeCell ref="B12:B13"/>
    <mergeCell ref="C12:C13"/>
    <mergeCell ref="D12:D13"/>
    <mergeCell ref="E12:E13"/>
    <mergeCell ref="F12:F13"/>
    <mergeCell ref="G12:G13"/>
    <mergeCell ref="H12:H13"/>
    <mergeCell ref="B2:D5"/>
    <mergeCell ref="E2:F5"/>
    <mergeCell ref="B11:C11"/>
    <mergeCell ref="G2:I5"/>
  </mergeCells>
  <conditionalFormatting sqref="C14:C29">
    <cfRule type="duplicateValues" dxfId="55" priority="1" stopIfTrue="1"/>
    <cfRule type="expression" dxfId="54" priority="2" stopIfTrue="1">
      <formula>AND(COUNTIF($C$1:$C$1280, C14)+COUNTIF($C$1282:$C$65363, C14)&gt;1,NOT(ISBLANK(C14)))</formula>
    </cfRule>
    <cfRule type="expression" dxfId="53" priority="3" stopIfTrue="1">
      <formula>AND(COUNTIF($C$1:$C$1283, C14)+COUNTIF($C$1284:$C$65363, C14)&gt;1,NOT(ISBLANK(C14)))</formula>
    </cfRule>
    <cfRule type="expression" dxfId="52" priority="4" stopIfTrue="1">
      <formula>AND(COUNTIF($C$1:$C$1389, C14)+COUNTIF($C$1402:$C$65363, C14)&gt;1,NOT(ISBLANK(C14)))</formula>
    </cfRule>
  </conditionalFormatting>
  <pageMargins left="0.56999999999999995" right="0.3" top="0.43" bottom="0.41" header="0.41" footer="0.3"/>
  <pageSetup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B1:AA37"/>
  <sheetViews>
    <sheetView topLeftCell="A7" zoomScale="85" zoomScaleNormal="85"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Q12:Q13"/>
    <mergeCell ref="R12:S13"/>
    <mergeCell ref="T12:T13"/>
    <mergeCell ref="P12:P13"/>
    <mergeCell ref="W12:W13"/>
    <mergeCell ref="U12:U13"/>
    <mergeCell ref="V12:V13"/>
    <mergeCell ref="P2:R5"/>
    <mergeCell ref="J3:M5"/>
    <mergeCell ref="N3:O3"/>
    <mergeCell ref="S3:V5"/>
    <mergeCell ref="N4:O4"/>
    <mergeCell ref="N5:O5"/>
    <mergeCell ref="B11:C11"/>
    <mergeCell ref="B2:D5"/>
    <mergeCell ref="E2:F5"/>
    <mergeCell ref="G2:I5"/>
    <mergeCell ref="B12:B13"/>
    <mergeCell ref="C12:C13"/>
    <mergeCell ref="D12:D13"/>
    <mergeCell ref="E12:E13"/>
    <mergeCell ref="F12:F13"/>
    <mergeCell ref="G6:O6"/>
    <mergeCell ref="I12:J13"/>
    <mergeCell ref="K12:K13"/>
    <mergeCell ref="O12:O13"/>
    <mergeCell ref="N2:O2"/>
    <mergeCell ref="G12:G13"/>
    <mergeCell ref="H12:H13"/>
  </mergeCells>
  <conditionalFormatting sqref="C14:C29">
    <cfRule type="duplicateValues" dxfId="51" priority="1" stopIfTrue="1"/>
    <cfRule type="expression" dxfId="50" priority="2" stopIfTrue="1">
      <formula>AND(COUNTIF($C$1:$C$1280, C14)+COUNTIF($C$1282:$C$65363, C14)&gt;1,NOT(ISBLANK(C14)))</formula>
    </cfRule>
    <cfRule type="expression" dxfId="49" priority="3" stopIfTrue="1">
      <formula>AND(COUNTIF($C$1:$C$1283, C14)+COUNTIF($C$1284:$C$65363, C14)&gt;1,NOT(ISBLANK(C14)))</formula>
    </cfRule>
    <cfRule type="expression" dxfId="48" priority="4" stopIfTrue="1">
      <formula>AND(COUNTIF($C$1:$C$1389, C14)+COUNTIF($C$1402:$C$65363, C14)&gt;1,NOT(ISBLANK(C14)))</formula>
    </cfRule>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B1:AA37"/>
  <sheetViews>
    <sheetView zoomScale="70" zoomScaleNormal="70"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Q12:Q13"/>
    <mergeCell ref="R12:S13"/>
    <mergeCell ref="T12:T13"/>
    <mergeCell ref="P12:P13"/>
    <mergeCell ref="W12:W13"/>
    <mergeCell ref="U12:U13"/>
    <mergeCell ref="V12:V13"/>
    <mergeCell ref="P2:R5"/>
    <mergeCell ref="J3:M5"/>
    <mergeCell ref="N3:O3"/>
    <mergeCell ref="S3:V5"/>
    <mergeCell ref="N4:O4"/>
    <mergeCell ref="N5:O5"/>
    <mergeCell ref="B11:C11"/>
    <mergeCell ref="B2:D5"/>
    <mergeCell ref="E2:F5"/>
    <mergeCell ref="G2:I5"/>
    <mergeCell ref="B12:B13"/>
    <mergeCell ref="C12:C13"/>
    <mergeCell ref="D12:D13"/>
    <mergeCell ref="E12:E13"/>
    <mergeCell ref="F12:F13"/>
    <mergeCell ref="G6:O6"/>
    <mergeCell ref="I12:J13"/>
    <mergeCell ref="K12:K13"/>
    <mergeCell ref="O12:O13"/>
    <mergeCell ref="N2:O2"/>
    <mergeCell ref="G12:G13"/>
    <mergeCell ref="H12:H13"/>
  </mergeCells>
  <conditionalFormatting sqref="C14:C29">
    <cfRule type="duplicateValues" dxfId="47" priority="1" stopIfTrue="1"/>
    <cfRule type="expression" dxfId="46" priority="2" stopIfTrue="1">
      <formula>AND(COUNTIF($C$1:$C$1280, C14)+COUNTIF($C$1282:$C$65363, C14)&gt;1,NOT(ISBLANK(C14)))</formula>
    </cfRule>
    <cfRule type="expression" dxfId="45" priority="3" stopIfTrue="1">
      <formula>AND(COUNTIF($C$1:$C$1283, C14)+COUNTIF($C$1284:$C$65363, C14)&gt;1,NOT(ISBLANK(C14)))</formula>
    </cfRule>
    <cfRule type="expression" dxfId="44" priority="4" stopIfTrue="1">
      <formula>AND(COUNTIF($C$1:$C$1389, C14)+COUNTIF($C$1402:$C$65363, C14)&gt;1,NOT(ISBLANK(C14)))</formula>
    </cfRule>
  </conditionalFormatting>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B1:AA37"/>
  <sheetViews>
    <sheetView zoomScale="70" zoomScaleNormal="70"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Q12:Q13"/>
    <mergeCell ref="R12:S13"/>
    <mergeCell ref="T12:T13"/>
    <mergeCell ref="P12:P13"/>
    <mergeCell ref="W12:W13"/>
    <mergeCell ref="U12:U13"/>
    <mergeCell ref="V12:V13"/>
    <mergeCell ref="P2:R5"/>
    <mergeCell ref="J3:M5"/>
    <mergeCell ref="N3:O3"/>
    <mergeCell ref="S3:V5"/>
    <mergeCell ref="N4:O4"/>
    <mergeCell ref="N5:O5"/>
    <mergeCell ref="B11:C11"/>
    <mergeCell ref="B2:D5"/>
    <mergeCell ref="E2:F5"/>
    <mergeCell ref="G2:I5"/>
    <mergeCell ref="B12:B13"/>
    <mergeCell ref="C12:C13"/>
    <mergeCell ref="D12:D13"/>
    <mergeCell ref="E12:E13"/>
    <mergeCell ref="F12:F13"/>
    <mergeCell ref="G6:O6"/>
    <mergeCell ref="I12:J13"/>
    <mergeCell ref="K12:K13"/>
    <mergeCell ref="O12:O13"/>
    <mergeCell ref="N2:O2"/>
    <mergeCell ref="G12:G13"/>
    <mergeCell ref="H12:H13"/>
  </mergeCells>
  <conditionalFormatting sqref="C14:C29">
    <cfRule type="duplicateValues" dxfId="43" priority="1" stopIfTrue="1"/>
    <cfRule type="expression" dxfId="42" priority="2" stopIfTrue="1">
      <formula>AND(COUNTIF($C$1:$C$1280, C14)+COUNTIF($C$1282:$C$65363, C14)&gt;1,NOT(ISBLANK(C14)))</formula>
    </cfRule>
    <cfRule type="expression" dxfId="41" priority="3" stopIfTrue="1">
      <formula>AND(COUNTIF($C$1:$C$1283, C14)+COUNTIF($C$1284:$C$65363, C14)&gt;1,NOT(ISBLANK(C14)))</formula>
    </cfRule>
    <cfRule type="expression" dxfId="40" priority="4" stopIfTrue="1">
      <formula>AND(COUNTIF($C$1:$C$1389, C14)+COUNTIF($C$1402:$C$65363, C14)&gt;1,NOT(ISBLANK(C14)))</formula>
    </cfRule>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B1:AA37"/>
  <sheetViews>
    <sheetView zoomScale="85" zoomScaleNormal="85"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Q12:Q13"/>
    <mergeCell ref="R12:S13"/>
    <mergeCell ref="T12:T13"/>
    <mergeCell ref="P12:P13"/>
    <mergeCell ref="W12:W13"/>
    <mergeCell ref="U12:U13"/>
    <mergeCell ref="V12:V13"/>
    <mergeCell ref="P2:R5"/>
    <mergeCell ref="J3:M5"/>
    <mergeCell ref="N3:O3"/>
    <mergeCell ref="S3:V5"/>
    <mergeCell ref="N4:O4"/>
    <mergeCell ref="N5:O5"/>
    <mergeCell ref="B11:C11"/>
    <mergeCell ref="B2:D5"/>
    <mergeCell ref="E2:F5"/>
    <mergeCell ref="G2:I5"/>
    <mergeCell ref="B12:B13"/>
    <mergeCell ref="C12:C13"/>
    <mergeCell ref="D12:D13"/>
    <mergeCell ref="E12:E13"/>
    <mergeCell ref="F12:F13"/>
    <mergeCell ref="G6:O6"/>
    <mergeCell ref="I12:J13"/>
    <mergeCell ref="K12:K13"/>
    <mergeCell ref="O12:O13"/>
    <mergeCell ref="N2:O2"/>
    <mergeCell ref="G12:G13"/>
    <mergeCell ref="H12:H13"/>
  </mergeCells>
  <conditionalFormatting sqref="C14:C29">
    <cfRule type="duplicateValues" dxfId="39" priority="1" stopIfTrue="1"/>
    <cfRule type="expression" dxfId="38" priority="2" stopIfTrue="1">
      <formula>AND(COUNTIF($C$1:$C$1280, C14)+COUNTIF($C$1282:$C$65363, C14)&gt;1,NOT(ISBLANK(C14)))</formula>
    </cfRule>
    <cfRule type="expression" dxfId="37" priority="3" stopIfTrue="1">
      <formula>AND(COUNTIF($C$1:$C$1283, C14)+COUNTIF($C$1284:$C$65363, C14)&gt;1,NOT(ISBLANK(C14)))</formula>
    </cfRule>
    <cfRule type="expression" dxfId="36" priority="4" stopIfTrue="1">
      <formula>AND(COUNTIF($C$1:$C$1389, C14)+COUNTIF($C$1402:$C$65363, C14)&gt;1,NOT(ISBLANK(C14)))</formula>
    </cfRule>
  </conditionalFormatting>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B1:AA37"/>
  <sheetViews>
    <sheetView zoomScale="70" zoomScaleNormal="70"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Q12:Q13"/>
    <mergeCell ref="R12:S13"/>
    <mergeCell ref="T12:T13"/>
    <mergeCell ref="P12:P13"/>
    <mergeCell ref="W12:W13"/>
    <mergeCell ref="U12:U13"/>
    <mergeCell ref="V12:V13"/>
    <mergeCell ref="P2:R5"/>
    <mergeCell ref="J3:M5"/>
    <mergeCell ref="N3:O3"/>
    <mergeCell ref="S3:V5"/>
    <mergeCell ref="N4:O4"/>
    <mergeCell ref="N5:O5"/>
    <mergeCell ref="B11:C11"/>
    <mergeCell ref="B2:D5"/>
    <mergeCell ref="E2:F5"/>
    <mergeCell ref="G2:I5"/>
    <mergeCell ref="B12:B13"/>
    <mergeCell ref="C12:C13"/>
    <mergeCell ref="D12:D13"/>
    <mergeCell ref="E12:E13"/>
    <mergeCell ref="F12:F13"/>
    <mergeCell ref="G6:O6"/>
    <mergeCell ref="I12:J13"/>
    <mergeCell ref="K12:K13"/>
    <mergeCell ref="O12:O13"/>
    <mergeCell ref="N2:O2"/>
    <mergeCell ref="G12:G13"/>
    <mergeCell ref="H12:H13"/>
  </mergeCells>
  <conditionalFormatting sqref="C14:C29">
    <cfRule type="duplicateValues" dxfId="35" priority="1" stopIfTrue="1"/>
    <cfRule type="expression" dxfId="34" priority="2" stopIfTrue="1">
      <formula>AND(COUNTIF($C$1:$C$1280, C14)+COUNTIF($C$1282:$C$65363, C14)&gt;1,NOT(ISBLANK(C14)))</formula>
    </cfRule>
    <cfRule type="expression" dxfId="33" priority="3" stopIfTrue="1">
      <formula>AND(COUNTIF($C$1:$C$1283, C14)+COUNTIF($C$1284:$C$65363, C14)&gt;1,NOT(ISBLANK(C14)))</formula>
    </cfRule>
    <cfRule type="expression" dxfId="32" priority="4" stopIfTrue="1">
      <formula>AND(COUNTIF($C$1:$C$1389, C14)+COUNTIF($C$1402:$C$65363, C14)&gt;1,NOT(ISBLANK(C14)))</formula>
    </cfRule>
  </conditionalFormatting>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B1:AA37"/>
  <sheetViews>
    <sheetView zoomScale="85" zoomScaleNormal="85"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Q12:Q13"/>
    <mergeCell ref="R12:S13"/>
    <mergeCell ref="T12:T13"/>
    <mergeCell ref="P12:P13"/>
    <mergeCell ref="W12:W13"/>
    <mergeCell ref="U12:U13"/>
    <mergeCell ref="V12:V13"/>
    <mergeCell ref="P2:R5"/>
    <mergeCell ref="J3:M5"/>
    <mergeCell ref="N3:O3"/>
    <mergeCell ref="S3:V5"/>
    <mergeCell ref="N4:O4"/>
    <mergeCell ref="N5:O5"/>
    <mergeCell ref="B11:C11"/>
    <mergeCell ref="B2:D5"/>
    <mergeCell ref="E2:F5"/>
    <mergeCell ref="G2:I5"/>
    <mergeCell ref="B12:B13"/>
    <mergeCell ref="C12:C13"/>
    <mergeCell ref="D12:D13"/>
    <mergeCell ref="E12:E13"/>
    <mergeCell ref="F12:F13"/>
    <mergeCell ref="G6:O6"/>
    <mergeCell ref="I12:J13"/>
    <mergeCell ref="K12:K13"/>
    <mergeCell ref="O12:O13"/>
    <mergeCell ref="N2:O2"/>
    <mergeCell ref="G12:G13"/>
    <mergeCell ref="H12:H13"/>
  </mergeCells>
  <conditionalFormatting sqref="C14:C29">
    <cfRule type="duplicateValues" dxfId="31" priority="1" stopIfTrue="1"/>
    <cfRule type="expression" dxfId="30" priority="2" stopIfTrue="1">
      <formula>AND(COUNTIF($C$1:$C$1280, C14)+COUNTIF($C$1282:$C$65363, C14)&gt;1,NOT(ISBLANK(C14)))</formula>
    </cfRule>
    <cfRule type="expression" dxfId="29" priority="3" stopIfTrue="1">
      <formula>AND(COUNTIF($C$1:$C$1283, C14)+COUNTIF($C$1284:$C$65363, C14)&gt;1,NOT(ISBLANK(C14)))</formula>
    </cfRule>
    <cfRule type="expression" dxfId="28" priority="4" stopIfTrue="1">
      <formula>AND(COUNTIF($C$1:$C$1389, C14)+COUNTIF($C$1402:$C$65363, C14)&gt;1,NOT(ISBLANK(C14)))</formula>
    </cfRule>
  </conditionalFormatting>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B1:AA37"/>
  <sheetViews>
    <sheetView zoomScale="85" zoomScaleNormal="85"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F12:F13"/>
    <mergeCell ref="G12:G13"/>
    <mergeCell ref="H12:H13"/>
    <mergeCell ref="G6:O6"/>
    <mergeCell ref="B2:D5"/>
    <mergeCell ref="E2:F5"/>
    <mergeCell ref="G2:I5"/>
    <mergeCell ref="N2:O2"/>
    <mergeCell ref="B11:C11"/>
    <mergeCell ref="B12:B13"/>
    <mergeCell ref="C12:C13"/>
    <mergeCell ref="D12:D13"/>
    <mergeCell ref="E12:E13"/>
    <mergeCell ref="I12:J13"/>
    <mergeCell ref="K12:K13"/>
    <mergeCell ref="O12:O13"/>
  </mergeCells>
  <conditionalFormatting sqref="C14:C29">
    <cfRule type="duplicateValues" dxfId="27" priority="1" stopIfTrue="1"/>
    <cfRule type="expression" dxfId="26" priority="2" stopIfTrue="1">
      <formula>AND(COUNTIF($C$1:$C$1280, C14)+COUNTIF($C$1282:$C$65363, C14)&gt;1,NOT(ISBLANK(C14)))</formula>
    </cfRule>
    <cfRule type="expression" dxfId="25" priority="3" stopIfTrue="1">
      <formula>AND(COUNTIF($C$1:$C$1283, C14)+COUNTIF($C$1284:$C$65363, C14)&gt;1,NOT(ISBLANK(C14)))</formula>
    </cfRule>
    <cfRule type="expression" dxfId="24" priority="4" stopIfTrue="1">
      <formula>AND(COUNTIF($C$1:$C$1389, C14)+COUNTIF($C$1402:$C$65363, C14)&gt;1,NOT(ISBLANK(C14)))</formula>
    </cfRule>
  </conditionalFormatting>
  <pageMargins left="0.7" right="0.7" top="0.75" bottom="0.75" header="0.3" footer="0.3"/>
  <pageSetup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B1:AA37"/>
  <sheetViews>
    <sheetView topLeftCell="A3" zoomScale="85" zoomScaleNormal="85"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F12:F13"/>
    <mergeCell ref="G12:G13"/>
    <mergeCell ref="H12:H13"/>
    <mergeCell ref="G6:O6"/>
    <mergeCell ref="B2:D5"/>
    <mergeCell ref="E2:F5"/>
    <mergeCell ref="G2:I5"/>
    <mergeCell ref="N2:O2"/>
    <mergeCell ref="B11:C11"/>
    <mergeCell ref="B12:B13"/>
    <mergeCell ref="C12:C13"/>
    <mergeCell ref="D12:D13"/>
    <mergeCell ref="E12:E13"/>
    <mergeCell ref="I12:J13"/>
    <mergeCell ref="K12:K13"/>
    <mergeCell ref="O12:O13"/>
  </mergeCells>
  <conditionalFormatting sqref="C14:C29">
    <cfRule type="duplicateValues" dxfId="23" priority="1" stopIfTrue="1"/>
    <cfRule type="expression" dxfId="22" priority="2" stopIfTrue="1">
      <formula>AND(COUNTIF($C$1:$C$1280, C14)+COUNTIF($C$1282:$C$65363, C14)&gt;1,NOT(ISBLANK(C14)))</formula>
    </cfRule>
    <cfRule type="expression" dxfId="21" priority="3" stopIfTrue="1">
      <formula>AND(COUNTIF($C$1:$C$1283, C14)+COUNTIF($C$1284:$C$65363, C14)&gt;1,NOT(ISBLANK(C14)))</formula>
    </cfRule>
    <cfRule type="expression" dxfId="20" priority="4" stopIfTrue="1">
      <formula>AND(COUNTIF($C$1:$C$1389, C14)+COUNTIF($C$1402:$C$65363, C14)&gt;1,NOT(ISBLANK(C14)))</formula>
    </cfRule>
  </conditionalFormatting>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B1:AA37"/>
  <sheetViews>
    <sheetView zoomScale="55" zoomScaleNormal="55"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sortState xmlns:xlrd2="http://schemas.microsoft.com/office/spreadsheetml/2017/richdata2" ref="A14:W23">
    <sortCondition descending="1" ref="S14:S23"/>
  </sortState>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F12:F13"/>
    <mergeCell ref="G12:G13"/>
    <mergeCell ref="H12:H13"/>
    <mergeCell ref="G6:O6"/>
    <mergeCell ref="B2:D5"/>
    <mergeCell ref="E2:F5"/>
    <mergeCell ref="G2:I5"/>
    <mergeCell ref="N2:O2"/>
    <mergeCell ref="B11:C11"/>
    <mergeCell ref="B12:B13"/>
    <mergeCell ref="C12:C13"/>
    <mergeCell ref="D12:D13"/>
    <mergeCell ref="E12:E13"/>
    <mergeCell ref="I12:J13"/>
    <mergeCell ref="K12:K13"/>
    <mergeCell ref="O12:O13"/>
  </mergeCells>
  <phoneticPr fontId="37" type="noConversion"/>
  <conditionalFormatting sqref="C14:C29">
    <cfRule type="duplicateValues" dxfId="19" priority="1" stopIfTrue="1"/>
    <cfRule type="expression" dxfId="18" priority="2" stopIfTrue="1">
      <formula>AND(COUNTIF($C$1:$C$1280, C14)+COUNTIF($C$1282:$C$65363, C14)&gt;1,NOT(ISBLANK(C14)))</formula>
    </cfRule>
    <cfRule type="expression" dxfId="17" priority="3" stopIfTrue="1">
      <formula>AND(COUNTIF($C$1:$C$1283, C14)+COUNTIF($C$1284:$C$65363, C14)&gt;1,NOT(ISBLANK(C14)))</formula>
    </cfRule>
    <cfRule type="expression" dxfId="16" priority="4" stopIfTrue="1">
      <formula>AND(COUNTIF($C$1:$C$1389, C14)+COUNTIF($C$1402:$C$65363, C14)&gt;1,NOT(ISBLANK(C14)))</formula>
    </cfRule>
  </conditionalFormatting>
  <pageMargins left="0.61" right="0.36" top="0.43" bottom="0.34" header="0.3" footer="0.3"/>
  <pageSetup orientation="portrait"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B1:AA37"/>
  <sheetViews>
    <sheetView topLeftCell="A3" zoomScale="70" zoomScaleNormal="70"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F12:F13"/>
    <mergeCell ref="G12:G13"/>
    <mergeCell ref="H12:H13"/>
    <mergeCell ref="G6:O6"/>
    <mergeCell ref="B2:D5"/>
    <mergeCell ref="E2:F5"/>
    <mergeCell ref="G2:I5"/>
    <mergeCell ref="N2:O2"/>
    <mergeCell ref="B11:C11"/>
    <mergeCell ref="B12:B13"/>
    <mergeCell ref="C12:C13"/>
    <mergeCell ref="D12:D13"/>
    <mergeCell ref="E12:E13"/>
    <mergeCell ref="I12:J13"/>
    <mergeCell ref="K12:K13"/>
    <mergeCell ref="O12:O13"/>
  </mergeCells>
  <conditionalFormatting sqref="C14:C29">
    <cfRule type="duplicateValues" dxfId="15" priority="1" stopIfTrue="1"/>
    <cfRule type="expression" dxfId="14" priority="2" stopIfTrue="1">
      <formula>AND(COUNTIF($C$1:$C$1280, C14)+COUNTIF($C$1282:$C$65363, C14)&gt;1,NOT(ISBLANK(C14)))</formula>
    </cfRule>
    <cfRule type="expression" dxfId="13" priority="3" stopIfTrue="1">
      <formula>AND(COUNTIF($C$1:$C$1283, C14)+COUNTIF($C$1284:$C$65363, C14)&gt;1,NOT(ISBLANK(C14)))</formula>
    </cfRule>
    <cfRule type="expression" dxfId="12" priority="4" stopIfTrue="1">
      <formula>AND(COUNTIF($C$1:$C$1389, C14)+COUNTIF($C$1402:$C$65363, C14)&gt;1,NOT(ISBLANK(C14)))</formula>
    </cfRule>
  </conditionalFormatting>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B1:AA37"/>
  <sheetViews>
    <sheetView zoomScale="70" zoomScaleNormal="70"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G12:G13"/>
    <mergeCell ref="H12:H13"/>
    <mergeCell ref="G6:O6"/>
    <mergeCell ref="B12:B13"/>
    <mergeCell ref="C12:C13"/>
    <mergeCell ref="D12:D13"/>
    <mergeCell ref="E12:E13"/>
    <mergeCell ref="F12:F13"/>
    <mergeCell ref="I12:J13"/>
    <mergeCell ref="K12:K13"/>
    <mergeCell ref="O12:O13"/>
    <mergeCell ref="B2:D5"/>
    <mergeCell ref="E2:F5"/>
    <mergeCell ref="G2:I5"/>
    <mergeCell ref="N2:O2"/>
    <mergeCell ref="B11:C11"/>
    <mergeCell ref="P2:R5"/>
    <mergeCell ref="J3:M5"/>
    <mergeCell ref="N3:O3"/>
    <mergeCell ref="S3:V5"/>
    <mergeCell ref="N4:O4"/>
    <mergeCell ref="N5:O5"/>
    <mergeCell ref="H30:J30"/>
    <mergeCell ref="V12:V13"/>
    <mergeCell ref="W12:W13"/>
    <mergeCell ref="P12:P13"/>
    <mergeCell ref="Q12:Q13"/>
    <mergeCell ref="R12:S13"/>
    <mergeCell ref="T12:T13"/>
    <mergeCell ref="U12:U13"/>
  </mergeCells>
  <conditionalFormatting sqref="C14:C29">
    <cfRule type="duplicateValues" dxfId="11" priority="1" stopIfTrue="1"/>
    <cfRule type="expression" dxfId="10" priority="2" stopIfTrue="1">
      <formula>AND(COUNTIF($C$1:$C$1280, C14)+COUNTIF($C$1282:$C$65363, C14)&gt;1,NOT(ISBLANK(C14)))</formula>
    </cfRule>
    <cfRule type="expression" dxfId="9" priority="3" stopIfTrue="1">
      <formula>AND(COUNTIF($C$1:$C$1283, C14)+COUNTIF($C$1284:$C$65363, C14)&gt;1,NOT(ISBLANK(C14)))</formula>
    </cfRule>
    <cfRule type="expression" dxfId="8" priority="4" stopIfTrue="1">
      <formula>AND(COUNTIF($C$1:$C$1389, C14)+COUNTIF($C$1402:$C$65363, C14)&gt;1,NOT(ISBLANK(C14)))</formula>
    </cfRule>
  </conditionalFormatting>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B1:AA37"/>
  <sheetViews>
    <sheetView zoomScale="70" zoomScaleNormal="70" workbookViewId="0">
      <selection activeCell="A7" sqref="A7:XFD35"/>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8.710937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2.7109375" style="82" customWidth="1"/>
    <col min="12" max="14" width="7" style="82" customWidth="1"/>
    <col min="15" max="15" width="20.7109375" style="82" customWidth="1"/>
    <col min="16" max="16" width="5.140625" style="32" customWidth="1"/>
    <col min="17" max="17" width="11.42578125" style="32" customWidth="1"/>
    <col min="18" max="18" width="15.7109375" style="32" customWidth="1"/>
    <col min="19" max="19" width="9.85546875" style="32" customWidth="1"/>
    <col min="20" max="20" width="12.5703125" style="32" customWidth="1"/>
    <col min="21" max="21" width="10" style="32" bestFit="1"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15"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15"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15"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15"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15"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15"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15"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15"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15"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15"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15"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15"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15"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15"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15"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mergeCells count="30">
    <mergeCell ref="G12:G13"/>
    <mergeCell ref="H12:H13"/>
    <mergeCell ref="G6:O6"/>
    <mergeCell ref="B12:B13"/>
    <mergeCell ref="C12:C13"/>
    <mergeCell ref="D12:D13"/>
    <mergeCell ref="E12:E13"/>
    <mergeCell ref="F12:F13"/>
    <mergeCell ref="I12:J13"/>
    <mergeCell ref="K12:K13"/>
    <mergeCell ref="O12:O13"/>
    <mergeCell ref="B2:D5"/>
    <mergeCell ref="E2:F5"/>
    <mergeCell ref="G2:I5"/>
    <mergeCell ref="N2:O2"/>
    <mergeCell ref="B11:C11"/>
    <mergeCell ref="P2:R5"/>
    <mergeCell ref="J3:M5"/>
    <mergeCell ref="N3:O3"/>
    <mergeCell ref="S3:V5"/>
    <mergeCell ref="N4:O4"/>
    <mergeCell ref="N5:O5"/>
    <mergeCell ref="H30:J30"/>
    <mergeCell ref="V12:V13"/>
    <mergeCell ref="W12:W13"/>
    <mergeCell ref="P12:P13"/>
    <mergeCell ref="Q12:Q13"/>
    <mergeCell ref="R12:S13"/>
    <mergeCell ref="T12:T13"/>
    <mergeCell ref="U12:U13"/>
  </mergeCells>
  <conditionalFormatting sqref="C14:C29">
    <cfRule type="duplicateValues" dxfId="7" priority="1" stopIfTrue="1"/>
    <cfRule type="expression" dxfId="6" priority="2" stopIfTrue="1">
      <formula>AND(COUNTIF($C$1:$C$1280, C14)+COUNTIF($C$1282:$C$65363, C14)&gt;1,NOT(ISBLANK(C14)))</formula>
    </cfRule>
    <cfRule type="expression" dxfId="5" priority="3" stopIfTrue="1">
      <formula>AND(COUNTIF($C$1:$C$1283, C14)+COUNTIF($C$1284:$C$65363, C14)&gt;1,NOT(ISBLANK(C14)))</formula>
    </cfRule>
    <cfRule type="expression" dxfId="4" priority="4" stopIfTrue="1">
      <formula>AND(COUNTIF($C$1:$C$1389, C14)+COUNTIF($C$1402:$C$65363, C14)&gt;1,NOT(ISBLANK(C14)))</formula>
    </cfRule>
  </conditionalFormatting>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B1:AA37"/>
  <sheetViews>
    <sheetView topLeftCell="A9" zoomScale="70" zoomScaleNormal="70" workbookViewId="0">
      <selection activeCell="R17" sqref="R17"/>
    </sheetView>
  </sheetViews>
  <sheetFormatPr defaultColWidth="8.85546875" defaultRowHeight="14.45"/>
  <cols>
    <col min="1" max="1" width="2.5703125" style="82" customWidth="1"/>
    <col min="2" max="2" width="6.5703125" style="43" bestFit="1" customWidth="1"/>
    <col min="3" max="3" width="10.85546875" style="82" customWidth="1"/>
    <col min="4" max="4" width="30.85546875" style="82" customWidth="1"/>
    <col min="5" max="5" width="15.28515625" style="82" customWidth="1"/>
    <col min="6" max="6" width="23.7109375" style="82" customWidth="1"/>
    <col min="7" max="7" width="6" style="82" customWidth="1"/>
    <col min="8" max="8" width="10.28515625" style="88" customWidth="1"/>
    <col min="9" max="9" width="15.7109375" style="82" customWidth="1"/>
    <col min="10" max="10" width="8.5703125" style="82" customWidth="1"/>
    <col min="11" max="11" width="11" style="82" customWidth="1"/>
    <col min="12" max="14" width="7" style="82" customWidth="1"/>
    <col min="15" max="15" width="20.7109375" style="82" customWidth="1"/>
    <col min="16" max="16" width="5.140625" style="32" customWidth="1"/>
    <col min="17" max="17" width="10.42578125" style="32" customWidth="1"/>
    <col min="18" max="18" width="15.7109375" style="32" customWidth="1"/>
    <col min="19" max="19" width="9.85546875" style="32" customWidth="1"/>
    <col min="20" max="20" width="12.5703125" style="32" customWidth="1"/>
    <col min="21" max="21" width="9.140625" style="32" customWidth="1"/>
    <col min="22" max="22" width="11.140625" style="32" customWidth="1"/>
    <col min="23" max="23" width="20" style="32" customWidth="1"/>
    <col min="24" max="24" width="8.7109375" style="33" customWidth="1"/>
    <col min="25" max="25" width="8.140625" style="33" bestFit="1" customWidth="1"/>
    <col min="26" max="26" width="9.140625" customWidth="1"/>
    <col min="27" max="16384" width="8.85546875" style="82"/>
  </cols>
  <sheetData>
    <row r="1" spans="2:27" ht="8.25" customHeight="1"/>
    <row r="2" spans="2:27" ht="18" customHeight="1">
      <c r="B2" s="145"/>
      <c r="C2" s="145"/>
      <c r="D2" s="145"/>
      <c r="E2" s="146" t="s">
        <v>8</v>
      </c>
      <c r="F2" s="147"/>
      <c r="G2" s="154"/>
      <c r="H2" s="155"/>
      <c r="I2" s="156"/>
      <c r="J2" s="79" t="s">
        <v>9</v>
      </c>
      <c r="K2" s="83"/>
      <c r="L2" s="13"/>
      <c r="M2" s="14"/>
      <c r="N2" s="152" t="s">
        <v>10</v>
      </c>
      <c r="O2" s="153"/>
      <c r="P2" s="122"/>
      <c r="Q2" s="123"/>
      <c r="R2" s="124"/>
      <c r="S2" s="34" t="s">
        <v>9</v>
      </c>
      <c r="T2" s="13"/>
      <c r="U2" s="13"/>
      <c r="V2" s="14"/>
      <c r="W2" s="27" t="s">
        <v>11</v>
      </c>
    </row>
    <row r="3" spans="2:27" ht="18" customHeight="1">
      <c r="B3" s="145"/>
      <c r="C3" s="145"/>
      <c r="D3" s="145"/>
      <c r="E3" s="148"/>
      <c r="F3" s="149"/>
      <c r="G3" s="157"/>
      <c r="H3" s="158"/>
      <c r="I3" s="159"/>
      <c r="J3" s="139" t="s">
        <v>12</v>
      </c>
      <c r="K3" s="140"/>
      <c r="L3" s="140"/>
      <c r="M3" s="141"/>
      <c r="N3" s="152" t="s">
        <v>13</v>
      </c>
      <c r="O3" s="153"/>
      <c r="P3" s="125"/>
      <c r="Q3" s="126"/>
      <c r="R3" s="127"/>
      <c r="S3" s="139" t="s">
        <v>14</v>
      </c>
      <c r="T3" s="140"/>
      <c r="U3" s="140"/>
      <c r="V3" s="141"/>
      <c r="W3" s="27" t="s">
        <v>13</v>
      </c>
    </row>
    <row r="4" spans="2:27" s="84" customFormat="1" ht="18" customHeight="1">
      <c r="B4" s="145"/>
      <c r="C4" s="145"/>
      <c r="D4" s="145"/>
      <c r="E4" s="148"/>
      <c r="F4" s="149"/>
      <c r="G4" s="157"/>
      <c r="H4" s="158"/>
      <c r="I4" s="159"/>
      <c r="J4" s="139"/>
      <c r="K4" s="140"/>
      <c r="L4" s="140"/>
      <c r="M4" s="141"/>
      <c r="N4" s="152" t="s">
        <v>15</v>
      </c>
      <c r="O4" s="153"/>
      <c r="P4" s="125"/>
      <c r="Q4" s="126"/>
      <c r="R4" s="127"/>
      <c r="S4" s="139"/>
      <c r="T4" s="140"/>
      <c r="U4" s="140"/>
      <c r="V4" s="141"/>
      <c r="W4" s="27" t="s">
        <v>15</v>
      </c>
      <c r="X4" s="33"/>
      <c r="Y4" s="33"/>
      <c r="Z4" s="25"/>
    </row>
    <row r="5" spans="2:27" s="84" customFormat="1" ht="18" customHeight="1">
      <c r="B5" s="145"/>
      <c r="C5" s="145"/>
      <c r="D5" s="145"/>
      <c r="E5" s="150"/>
      <c r="F5" s="151"/>
      <c r="G5" s="160"/>
      <c r="H5" s="161"/>
      <c r="I5" s="162"/>
      <c r="J5" s="142"/>
      <c r="K5" s="143"/>
      <c r="L5" s="143"/>
      <c r="M5" s="144"/>
      <c r="N5" s="152" t="s">
        <v>16</v>
      </c>
      <c r="O5" s="153"/>
      <c r="P5" s="128"/>
      <c r="Q5" s="129"/>
      <c r="R5" s="130"/>
      <c r="S5" s="142"/>
      <c r="T5" s="143"/>
      <c r="U5" s="143"/>
      <c r="V5" s="144"/>
      <c r="W5" s="27" t="s">
        <v>16</v>
      </c>
      <c r="X5" s="33"/>
      <c r="Y5" s="33"/>
      <c r="Z5" s="25"/>
    </row>
    <row r="6" spans="2:27" ht="13.15" customHeight="1">
      <c r="B6" s="85"/>
      <c r="C6" s="11"/>
      <c r="D6" s="2"/>
      <c r="E6" s="2"/>
      <c r="F6" s="3"/>
      <c r="G6" s="166"/>
      <c r="H6" s="166"/>
      <c r="I6" s="166"/>
      <c r="J6" s="166"/>
      <c r="K6" s="166"/>
      <c r="L6" s="166"/>
      <c r="M6" s="166"/>
      <c r="N6" s="166"/>
      <c r="O6" s="166"/>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7" t="s">
        <v>29</v>
      </c>
      <c r="C11" s="168"/>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9" t="s">
        <v>3</v>
      </c>
      <c r="C12" s="169" t="s">
        <v>32</v>
      </c>
      <c r="D12" s="171" t="s">
        <v>33</v>
      </c>
      <c r="E12" s="171" t="s">
        <v>34</v>
      </c>
      <c r="F12" s="173" t="s">
        <v>35</v>
      </c>
      <c r="G12" s="137" t="s">
        <v>3</v>
      </c>
      <c r="H12" s="137" t="s">
        <v>36</v>
      </c>
      <c r="I12" s="131" t="s">
        <v>33</v>
      </c>
      <c r="J12" s="132"/>
      <c r="K12" s="137" t="s">
        <v>34</v>
      </c>
      <c r="L12" s="18" t="s">
        <v>37</v>
      </c>
      <c r="M12" s="18" t="s">
        <v>37</v>
      </c>
      <c r="N12" s="18" t="s">
        <v>37</v>
      </c>
      <c r="O12" s="137" t="s">
        <v>35</v>
      </c>
      <c r="P12" s="135" t="s">
        <v>3</v>
      </c>
      <c r="Q12" s="137" t="s">
        <v>36</v>
      </c>
      <c r="R12" s="131" t="s">
        <v>33</v>
      </c>
      <c r="S12" s="132"/>
      <c r="T12" s="137" t="s">
        <v>34</v>
      </c>
      <c r="U12" s="135" t="s">
        <v>38</v>
      </c>
      <c r="V12" s="135" t="s">
        <v>39</v>
      </c>
      <c r="W12" s="135" t="s">
        <v>35</v>
      </c>
      <c r="Y12" s="67" t="s">
        <v>40</v>
      </c>
      <c r="Z12" s="67" t="s">
        <v>41</v>
      </c>
      <c r="AA12" s="6" t="s">
        <v>42</v>
      </c>
    </row>
    <row r="13" spans="2:27" ht="17.25" customHeight="1">
      <c r="B13" s="170"/>
      <c r="C13" s="170"/>
      <c r="D13" s="172"/>
      <c r="E13" s="172"/>
      <c r="F13" s="174"/>
      <c r="G13" s="138"/>
      <c r="H13" s="138"/>
      <c r="I13" s="133"/>
      <c r="J13" s="134"/>
      <c r="K13" s="138"/>
      <c r="L13" s="113">
        <f>I9</f>
        <v>0</v>
      </c>
      <c r="M13" s="18"/>
      <c r="N13" s="18"/>
      <c r="O13" s="138"/>
      <c r="P13" s="136"/>
      <c r="Q13" s="138"/>
      <c r="R13" s="133"/>
      <c r="S13" s="134"/>
      <c r="T13" s="138"/>
      <c r="U13" s="136"/>
      <c r="V13" s="136"/>
      <c r="W13" s="136"/>
      <c r="X13" s="68"/>
      <c r="Y13" s="68"/>
    </row>
    <row r="14" spans="2:27" ht="22.15" customHeight="1">
      <c r="B14" s="20">
        <f t="shared" ref="B14:B29" si="0">ROW()-13</f>
        <v>1</v>
      </c>
      <c r="C14" s="105"/>
      <c r="D14" s="106"/>
      <c r="E14" s="114"/>
      <c r="F14" s="119"/>
      <c r="G14" s="20">
        <f t="shared" ref="G14:G29" si="1">B14</f>
        <v>1</v>
      </c>
      <c r="H14" s="89">
        <f t="shared" ref="H14:H29" si="2">C14</f>
        <v>0</v>
      </c>
      <c r="I14" s="115">
        <f t="shared" ref="I14:I29" si="3">D14</f>
        <v>0</v>
      </c>
      <c r="J14" s="116"/>
      <c r="K14" s="19">
        <f t="shared" ref="K14:K29" si="4">E14</f>
        <v>0</v>
      </c>
      <c r="L14" s="37"/>
      <c r="M14" s="16"/>
      <c r="N14" s="17"/>
      <c r="O14" s="18"/>
      <c r="P14" s="20">
        <f t="shared" ref="P14:P29" si="5">$B14</f>
        <v>1</v>
      </c>
      <c r="Q14" s="89">
        <f t="shared" ref="Q14:Q29" si="6">C14</f>
        <v>0</v>
      </c>
      <c r="R14" s="117">
        <f t="shared" ref="R14:R29" si="7">D14</f>
        <v>0</v>
      </c>
      <c r="S14" s="118"/>
      <c r="T14" s="89">
        <f t="shared" ref="T14:T29" si="8">E14</f>
        <v>0</v>
      </c>
      <c r="U14" s="54" t="str">
        <f t="shared" ref="U14:U29" si="9">IF($Y14=0,"-",IF(ISBLANK($AA14),IF(ISBLANK($Z14),$Y14,$Y14&amp;"/"&amp;$Z14),$Y14&amp;"/"&amp;$Z14&amp;"/"&amp;$AA14))</f>
        <v>-</v>
      </c>
      <c r="V14" s="69" t="str">
        <f t="shared" ref="V14:V29" si="10">IF($Y14=0,"-",IF(AND($Y14&lt;80,$Z14&lt;80,$AA14&lt;80),"Không đạt",IF($Y14&lt;95,"Đạt","Xuất sắc")))</f>
        <v>-</v>
      </c>
      <c r="W14" s="70" t="str">
        <f t="shared" ref="W14:W29" si="11">IF($Y14=0,"Vắng",IF($AA14&lt;&gt;0,"Kiểm tra lần 1/2/3",IF($Z14&lt;&gt;0,"Kiểm tra lần 1/2","")))</f>
        <v>Vắng</v>
      </c>
      <c r="X14" s="71"/>
      <c r="Z14" s="15"/>
    </row>
    <row r="15" spans="2:27" ht="22.15" customHeight="1">
      <c r="B15" s="20">
        <f t="shared" si="0"/>
        <v>2</v>
      </c>
      <c r="C15" s="105"/>
      <c r="D15" s="106"/>
      <c r="E15" s="114"/>
      <c r="F15" s="120"/>
      <c r="G15" s="20">
        <f t="shared" si="1"/>
        <v>2</v>
      </c>
      <c r="H15" s="89">
        <f t="shared" si="2"/>
        <v>0</v>
      </c>
      <c r="I15" s="115">
        <f t="shared" si="3"/>
        <v>0</v>
      </c>
      <c r="J15" s="116"/>
      <c r="K15" s="19">
        <f t="shared" si="4"/>
        <v>0</v>
      </c>
      <c r="L15" s="37"/>
      <c r="M15" s="16"/>
      <c r="N15" s="17"/>
      <c r="O15" s="21"/>
      <c r="P15" s="20">
        <f t="shared" si="5"/>
        <v>2</v>
      </c>
      <c r="Q15" s="89">
        <f t="shared" si="6"/>
        <v>0</v>
      </c>
      <c r="R15" s="117">
        <f t="shared" si="7"/>
        <v>0</v>
      </c>
      <c r="S15" s="118"/>
      <c r="T15" s="89">
        <f t="shared" si="8"/>
        <v>0</v>
      </c>
      <c r="U15" s="54" t="str">
        <f t="shared" si="9"/>
        <v>-</v>
      </c>
      <c r="V15" s="69" t="str">
        <f t="shared" si="10"/>
        <v>-</v>
      </c>
      <c r="W15" s="70" t="str">
        <f t="shared" si="11"/>
        <v>Vắng</v>
      </c>
      <c r="Z15" s="15"/>
    </row>
    <row r="16" spans="2:27" ht="22.15" customHeight="1">
      <c r="B16" s="20">
        <f t="shared" si="0"/>
        <v>3</v>
      </c>
      <c r="C16" s="105"/>
      <c r="D16" s="106"/>
      <c r="E16" s="114"/>
      <c r="F16" s="36"/>
      <c r="G16" s="20">
        <f t="shared" si="1"/>
        <v>3</v>
      </c>
      <c r="H16" s="89">
        <f t="shared" si="2"/>
        <v>0</v>
      </c>
      <c r="I16" s="115">
        <f t="shared" si="3"/>
        <v>0</v>
      </c>
      <c r="J16" s="116"/>
      <c r="K16" s="19">
        <f t="shared" si="4"/>
        <v>0</v>
      </c>
      <c r="L16" s="37"/>
      <c r="M16" s="16"/>
      <c r="N16" s="17"/>
      <c r="O16" s="18"/>
      <c r="P16" s="20">
        <f t="shared" si="5"/>
        <v>3</v>
      </c>
      <c r="Q16" s="89">
        <f t="shared" si="6"/>
        <v>0</v>
      </c>
      <c r="R16" s="117">
        <f t="shared" si="7"/>
        <v>0</v>
      </c>
      <c r="S16" s="118"/>
      <c r="T16" s="89">
        <f t="shared" si="8"/>
        <v>0</v>
      </c>
      <c r="U16" s="54" t="str">
        <f t="shared" si="9"/>
        <v>-</v>
      </c>
      <c r="V16" s="69" t="str">
        <f t="shared" si="10"/>
        <v>-</v>
      </c>
      <c r="W16" s="70" t="str">
        <f t="shared" si="11"/>
        <v>Vắng</v>
      </c>
      <c r="X16" s="71"/>
      <c r="Z16" s="15"/>
    </row>
    <row r="17" spans="2:26" ht="22.15" customHeight="1">
      <c r="B17" s="20">
        <f t="shared" si="0"/>
        <v>4</v>
      </c>
      <c r="C17" s="105"/>
      <c r="D17" s="106"/>
      <c r="E17" s="114"/>
      <c r="F17" s="119"/>
      <c r="G17" s="20">
        <f t="shared" si="1"/>
        <v>4</v>
      </c>
      <c r="H17" s="89">
        <f t="shared" si="2"/>
        <v>0</v>
      </c>
      <c r="I17" s="115">
        <f t="shared" si="3"/>
        <v>0</v>
      </c>
      <c r="J17" s="116"/>
      <c r="K17" s="19">
        <f t="shared" si="4"/>
        <v>0</v>
      </c>
      <c r="L17" s="37"/>
      <c r="M17" s="16"/>
      <c r="N17" s="17"/>
      <c r="O17" s="18"/>
      <c r="P17" s="20">
        <f t="shared" si="5"/>
        <v>4</v>
      </c>
      <c r="Q17" s="89">
        <f t="shared" si="6"/>
        <v>0</v>
      </c>
      <c r="R17" s="117">
        <f t="shared" si="7"/>
        <v>0</v>
      </c>
      <c r="S17" s="118"/>
      <c r="T17" s="89">
        <f t="shared" si="8"/>
        <v>0</v>
      </c>
      <c r="U17" s="54" t="str">
        <f t="shared" si="9"/>
        <v>-</v>
      </c>
      <c r="V17" s="69" t="str">
        <f t="shared" si="10"/>
        <v>-</v>
      </c>
      <c r="W17" s="70" t="str">
        <f t="shared" si="11"/>
        <v>Vắng</v>
      </c>
      <c r="Z17" s="15"/>
    </row>
    <row r="18" spans="2:26" ht="22.15" customHeight="1">
      <c r="B18" s="20">
        <f t="shared" si="0"/>
        <v>5</v>
      </c>
      <c r="C18" s="105"/>
      <c r="D18" s="106"/>
      <c r="E18" s="114"/>
      <c r="F18" s="120"/>
      <c r="G18" s="20">
        <f t="shared" si="1"/>
        <v>5</v>
      </c>
      <c r="H18" s="89">
        <f t="shared" si="2"/>
        <v>0</v>
      </c>
      <c r="I18" s="115">
        <f t="shared" si="3"/>
        <v>0</v>
      </c>
      <c r="J18" s="116"/>
      <c r="K18" s="19">
        <f t="shared" si="4"/>
        <v>0</v>
      </c>
      <c r="L18" s="37"/>
      <c r="M18" s="16"/>
      <c r="N18" s="17"/>
      <c r="O18" s="21"/>
      <c r="P18" s="20">
        <f t="shared" si="5"/>
        <v>5</v>
      </c>
      <c r="Q18" s="89">
        <f t="shared" si="6"/>
        <v>0</v>
      </c>
      <c r="R18" s="117">
        <f t="shared" si="7"/>
        <v>0</v>
      </c>
      <c r="S18" s="118"/>
      <c r="T18" s="89">
        <f t="shared" si="8"/>
        <v>0</v>
      </c>
      <c r="U18" s="54" t="str">
        <f t="shared" si="9"/>
        <v>-</v>
      </c>
      <c r="V18" s="69" t="str">
        <f t="shared" si="10"/>
        <v>-</v>
      </c>
      <c r="W18" s="70" t="str">
        <f t="shared" si="11"/>
        <v>Vắng</v>
      </c>
      <c r="X18" s="71"/>
      <c r="Z18" s="15"/>
    </row>
    <row r="19" spans="2:26" ht="22.15" customHeight="1">
      <c r="B19" s="20">
        <f t="shared" si="0"/>
        <v>6</v>
      </c>
      <c r="C19" s="105"/>
      <c r="D19" s="106"/>
      <c r="E19" s="114"/>
      <c r="F19" s="36"/>
      <c r="G19" s="20">
        <f t="shared" si="1"/>
        <v>6</v>
      </c>
      <c r="H19" s="89">
        <f t="shared" si="2"/>
        <v>0</v>
      </c>
      <c r="I19" s="115">
        <f t="shared" si="3"/>
        <v>0</v>
      </c>
      <c r="J19" s="116"/>
      <c r="K19" s="19">
        <f t="shared" si="4"/>
        <v>0</v>
      </c>
      <c r="L19" s="37"/>
      <c r="M19" s="16"/>
      <c r="N19" s="17"/>
      <c r="O19" s="18"/>
      <c r="P19" s="20">
        <f t="shared" si="5"/>
        <v>6</v>
      </c>
      <c r="Q19" s="89">
        <f t="shared" si="6"/>
        <v>0</v>
      </c>
      <c r="R19" s="117">
        <f t="shared" si="7"/>
        <v>0</v>
      </c>
      <c r="S19" s="118"/>
      <c r="T19" s="89">
        <f t="shared" si="8"/>
        <v>0</v>
      </c>
      <c r="U19" s="54" t="str">
        <f t="shared" si="9"/>
        <v>-</v>
      </c>
      <c r="V19" s="69" t="str">
        <f t="shared" si="10"/>
        <v>-</v>
      </c>
      <c r="W19" s="70" t="str">
        <f t="shared" si="11"/>
        <v>Vắng</v>
      </c>
      <c r="X19" s="71"/>
      <c r="Z19" s="15"/>
    </row>
    <row r="20" spans="2:26" ht="22.15" customHeight="1">
      <c r="B20" s="20">
        <f t="shared" si="0"/>
        <v>7</v>
      </c>
      <c r="C20" s="105"/>
      <c r="D20" s="106"/>
      <c r="E20" s="114"/>
      <c r="F20" s="119"/>
      <c r="G20" s="20">
        <f t="shared" si="1"/>
        <v>7</v>
      </c>
      <c r="H20" s="89">
        <f t="shared" si="2"/>
        <v>0</v>
      </c>
      <c r="I20" s="115">
        <f t="shared" si="3"/>
        <v>0</v>
      </c>
      <c r="J20" s="116"/>
      <c r="K20" s="19">
        <f t="shared" si="4"/>
        <v>0</v>
      </c>
      <c r="L20" s="37"/>
      <c r="M20" s="16"/>
      <c r="N20" s="17"/>
      <c r="O20" s="18"/>
      <c r="P20" s="20">
        <f t="shared" si="5"/>
        <v>7</v>
      </c>
      <c r="Q20" s="89">
        <f t="shared" si="6"/>
        <v>0</v>
      </c>
      <c r="R20" s="117">
        <f t="shared" si="7"/>
        <v>0</v>
      </c>
      <c r="S20" s="118"/>
      <c r="T20" s="89">
        <f t="shared" si="8"/>
        <v>0</v>
      </c>
      <c r="U20" s="54" t="str">
        <f t="shared" si="9"/>
        <v>-</v>
      </c>
      <c r="V20" s="69" t="str">
        <f t="shared" si="10"/>
        <v>-</v>
      </c>
      <c r="W20" s="70" t="str">
        <f t="shared" si="11"/>
        <v>Vắng</v>
      </c>
      <c r="X20" s="72"/>
      <c r="Y20" s="72"/>
      <c r="Z20" s="15"/>
    </row>
    <row r="21" spans="2:26" ht="22.15" customHeight="1">
      <c r="B21" s="20">
        <f t="shared" si="0"/>
        <v>8</v>
      </c>
      <c r="C21" s="105"/>
      <c r="D21" s="106"/>
      <c r="E21" s="114"/>
      <c r="F21" s="120"/>
      <c r="G21" s="20">
        <f t="shared" si="1"/>
        <v>8</v>
      </c>
      <c r="H21" s="89">
        <f t="shared" si="2"/>
        <v>0</v>
      </c>
      <c r="I21" s="115">
        <f t="shared" si="3"/>
        <v>0</v>
      </c>
      <c r="J21" s="116"/>
      <c r="K21" s="19">
        <f t="shared" si="4"/>
        <v>0</v>
      </c>
      <c r="L21" s="37"/>
      <c r="M21" s="16"/>
      <c r="N21" s="17"/>
      <c r="O21" s="21"/>
      <c r="P21" s="20">
        <f t="shared" si="5"/>
        <v>8</v>
      </c>
      <c r="Q21" s="89">
        <f t="shared" si="6"/>
        <v>0</v>
      </c>
      <c r="R21" s="117">
        <f t="shared" si="7"/>
        <v>0</v>
      </c>
      <c r="S21" s="118"/>
      <c r="T21" s="89">
        <f t="shared" si="8"/>
        <v>0</v>
      </c>
      <c r="U21" s="54" t="str">
        <f t="shared" si="9"/>
        <v>-</v>
      </c>
      <c r="V21" s="69" t="str">
        <f t="shared" si="10"/>
        <v>-</v>
      </c>
      <c r="W21" s="70" t="str">
        <f t="shared" si="11"/>
        <v>Vắng</v>
      </c>
      <c r="X21" s="71"/>
      <c r="Z21" s="15"/>
    </row>
    <row r="22" spans="2:26" ht="22.15" customHeight="1">
      <c r="B22" s="20">
        <f t="shared" si="0"/>
        <v>9</v>
      </c>
      <c r="C22" s="105"/>
      <c r="D22" s="106"/>
      <c r="E22" s="114"/>
      <c r="F22" s="119"/>
      <c r="G22" s="20">
        <f t="shared" si="1"/>
        <v>9</v>
      </c>
      <c r="H22" s="89">
        <f t="shared" si="2"/>
        <v>0</v>
      </c>
      <c r="I22" s="115">
        <f t="shared" si="3"/>
        <v>0</v>
      </c>
      <c r="J22" s="116"/>
      <c r="K22" s="19">
        <f t="shared" si="4"/>
        <v>0</v>
      </c>
      <c r="L22" s="37"/>
      <c r="M22" s="16"/>
      <c r="N22" s="17"/>
      <c r="O22" s="18"/>
      <c r="P22" s="20">
        <f t="shared" si="5"/>
        <v>9</v>
      </c>
      <c r="Q22" s="89">
        <f t="shared" si="6"/>
        <v>0</v>
      </c>
      <c r="R22" s="117">
        <f t="shared" si="7"/>
        <v>0</v>
      </c>
      <c r="S22" s="118"/>
      <c r="T22" s="89">
        <f t="shared" si="8"/>
        <v>0</v>
      </c>
      <c r="U22" s="54" t="str">
        <f t="shared" si="9"/>
        <v>-</v>
      </c>
      <c r="V22" s="69" t="str">
        <f t="shared" si="10"/>
        <v>-</v>
      </c>
      <c r="W22" s="70" t="str">
        <f t="shared" si="11"/>
        <v>Vắng</v>
      </c>
      <c r="X22" s="71"/>
      <c r="Z22" s="15"/>
    </row>
    <row r="23" spans="2:26" ht="22.15" customHeight="1">
      <c r="B23" s="20">
        <f t="shared" si="0"/>
        <v>10</v>
      </c>
      <c r="C23" s="105"/>
      <c r="D23" s="106"/>
      <c r="E23" s="114"/>
      <c r="F23" s="120"/>
      <c r="G23" s="20">
        <f t="shared" si="1"/>
        <v>10</v>
      </c>
      <c r="H23" s="89">
        <f t="shared" si="2"/>
        <v>0</v>
      </c>
      <c r="I23" s="115">
        <f t="shared" si="3"/>
        <v>0</v>
      </c>
      <c r="J23" s="116"/>
      <c r="K23" s="19">
        <f t="shared" si="4"/>
        <v>0</v>
      </c>
      <c r="L23" s="37"/>
      <c r="M23" s="16"/>
      <c r="N23" s="17"/>
      <c r="O23" s="21"/>
      <c r="P23" s="20">
        <f t="shared" si="5"/>
        <v>10</v>
      </c>
      <c r="Q23" s="89">
        <f t="shared" si="6"/>
        <v>0</v>
      </c>
      <c r="R23" s="117">
        <f t="shared" si="7"/>
        <v>0</v>
      </c>
      <c r="S23" s="118"/>
      <c r="T23" s="89">
        <f t="shared" si="8"/>
        <v>0</v>
      </c>
      <c r="U23" s="54" t="str">
        <f t="shared" si="9"/>
        <v>-</v>
      </c>
      <c r="V23" s="69" t="str">
        <f t="shared" si="10"/>
        <v>-</v>
      </c>
      <c r="W23" s="70" t="str">
        <f t="shared" si="11"/>
        <v>Vắng</v>
      </c>
      <c r="Z23" s="15"/>
    </row>
    <row r="24" spans="2:26" ht="22.15" customHeight="1">
      <c r="B24" s="20">
        <f t="shared" si="0"/>
        <v>11</v>
      </c>
      <c r="C24" s="105"/>
      <c r="D24" s="106"/>
      <c r="E24" s="114"/>
      <c r="F24" s="36"/>
      <c r="G24" s="20">
        <f t="shared" si="1"/>
        <v>11</v>
      </c>
      <c r="H24" s="89">
        <f t="shared" si="2"/>
        <v>0</v>
      </c>
      <c r="I24" s="115">
        <f t="shared" si="3"/>
        <v>0</v>
      </c>
      <c r="J24" s="116"/>
      <c r="K24" s="19">
        <f t="shared" si="4"/>
        <v>0</v>
      </c>
      <c r="L24" s="37"/>
      <c r="M24" s="16"/>
      <c r="N24" s="17"/>
      <c r="O24" s="18"/>
      <c r="P24" s="20">
        <f t="shared" si="5"/>
        <v>11</v>
      </c>
      <c r="Q24" s="89">
        <f t="shared" si="6"/>
        <v>0</v>
      </c>
      <c r="R24" s="117">
        <f t="shared" si="7"/>
        <v>0</v>
      </c>
      <c r="S24" s="118"/>
      <c r="T24" s="89">
        <f t="shared" si="8"/>
        <v>0</v>
      </c>
      <c r="U24" s="54" t="str">
        <f t="shared" si="9"/>
        <v>-</v>
      </c>
      <c r="V24" s="69" t="str">
        <f t="shared" si="10"/>
        <v>-</v>
      </c>
      <c r="W24" s="70" t="str">
        <f t="shared" si="11"/>
        <v>Vắng</v>
      </c>
      <c r="X24" s="71"/>
      <c r="Z24" s="15"/>
    </row>
    <row r="25" spans="2:26" ht="22.15" customHeight="1">
      <c r="B25" s="20">
        <f t="shared" si="0"/>
        <v>12</v>
      </c>
      <c r="C25" s="105"/>
      <c r="D25" s="106"/>
      <c r="E25" s="114"/>
      <c r="F25" s="119"/>
      <c r="G25" s="20">
        <f t="shared" si="1"/>
        <v>12</v>
      </c>
      <c r="H25" s="89">
        <f t="shared" si="2"/>
        <v>0</v>
      </c>
      <c r="I25" s="115">
        <f t="shared" si="3"/>
        <v>0</v>
      </c>
      <c r="J25" s="116"/>
      <c r="K25" s="19">
        <f t="shared" si="4"/>
        <v>0</v>
      </c>
      <c r="L25" s="37"/>
      <c r="M25" s="16"/>
      <c r="N25" s="17"/>
      <c r="O25" s="18"/>
      <c r="P25" s="20">
        <f t="shared" si="5"/>
        <v>12</v>
      </c>
      <c r="Q25" s="89">
        <f t="shared" si="6"/>
        <v>0</v>
      </c>
      <c r="R25" s="117">
        <f t="shared" si="7"/>
        <v>0</v>
      </c>
      <c r="S25" s="118"/>
      <c r="T25" s="89">
        <f t="shared" si="8"/>
        <v>0</v>
      </c>
      <c r="U25" s="54" t="str">
        <f t="shared" si="9"/>
        <v>-</v>
      </c>
      <c r="V25" s="69" t="str">
        <f t="shared" si="10"/>
        <v>-</v>
      </c>
      <c r="W25" s="70" t="str">
        <f t="shared" si="11"/>
        <v>Vắng</v>
      </c>
      <c r="Z25" s="15"/>
    </row>
    <row r="26" spans="2:26" ht="22.15" customHeight="1">
      <c r="B26" s="20">
        <f t="shared" si="0"/>
        <v>13</v>
      </c>
      <c r="C26" s="105"/>
      <c r="D26" s="106"/>
      <c r="E26" s="114"/>
      <c r="F26" s="120"/>
      <c r="G26" s="20">
        <f t="shared" si="1"/>
        <v>13</v>
      </c>
      <c r="H26" s="89">
        <f t="shared" si="2"/>
        <v>0</v>
      </c>
      <c r="I26" s="115">
        <f t="shared" si="3"/>
        <v>0</v>
      </c>
      <c r="J26" s="116"/>
      <c r="K26" s="19">
        <f t="shared" si="4"/>
        <v>0</v>
      </c>
      <c r="L26" s="37"/>
      <c r="M26" s="16"/>
      <c r="N26" s="17"/>
      <c r="O26" s="21"/>
      <c r="P26" s="20">
        <f t="shared" si="5"/>
        <v>13</v>
      </c>
      <c r="Q26" s="89">
        <f t="shared" si="6"/>
        <v>0</v>
      </c>
      <c r="R26" s="117">
        <f t="shared" si="7"/>
        <v>0</v>
      </c>
      <c r="S26" s="118"/>
      <c r="T26" s="89">
        <f t="shared" si="8"/>
        <v>0</v>
      </c>
      <c r="U26" s="54" t="str">
        <f t="shared" si="9"/>
        <v>-</v>
      </c>
      <c r="V26" s="69" t="str">
        <f t="shared" si="10"/>
        <v>-</v>
      </c>
      <c r="W26" s="70" t="str">
        <f t="shared" si="11"/>
        <v>Vắng</v>
      </c>
      <c r="X26" s="71"/>
      <c r="Z26" s="15"/>
    </row>
    <row r="27" spans="2:26" ht="22.15" customHeight="1">
      <c r="B27" s="20">
        <f t="shared" si="0"/>
        <v>14</v>
      </c>
      <c r="C27" s="105"/>
      <c r="D27" s="106"/>
      <c r="E27" s="114"/>
      <c r="F27" s="36"/>
      <c r="G27" s="20">
        <f t="shared" si="1"/>
        <v>14</v>
      </c>
      <c r="H27" s="89">
        <f t="shared" si="2"/>
        <v>0</v>
      </c>
      <c r="I27" s="115">
        <f t="shared" si="3"/>
        <v>0</v>
      </c>
      <c r="J27" s="116"/>
      <c r="K27" s="19">
        <f t="shared" si="4"/>
        <v>0</v>
      </c>
      <c r="L27" s="37"/>
      <c r="M27" s="16"/>
      <c r="N27" s="17"/>
      <c r="O27" s="18"/>
      <c r="P27" s="20">
        <f t="shared" si="5"/>
        <v>14</v>
      </c>
      <c r="Q27" s="89">
        <f t="shared" si="6"/>
        <v>0</v>
      </c>
      <c r="R27" s="117">
        <f t="shared" si="7"/>
        <v>0</v>
      </c>
      <c r="S27" s="118"/>
      <c r="T27" s="89">
        <f t="shared" si="8"/>
        <v>0</v>
      </c>
      <c r="U27" s="54" t="str">
        <f t="shared" si="9"/>
        <v>-</v>
      </c>
      <c r="V27" s="69" t="str">
        <f t="shared" si="10"/>
        <v>-</v>
      </c>
      <c r="W27" s="70" t="str">
        <f t="shared" si="11"/>
        <v>Vắng</v>
      </c>
      <c r="X27" s="71"/>
      <c r="Z27" s="15"/>
    </row>
    <row r="28" spans="2:26" ht="22.15" customHeight="1">
      <c r="B28" s="20">
        <f t="shared" si="0"/>
        <v>15</v>
      </c>
      <c r="C28" s="105"/>
      <c r="D28" s="106"/>
      <c r="E28" s="114"/>
      <c r="F28" s="119"/>
      <c r="G28" s="20">
        <f t="shared" si="1"/>
        <v>15</v>
      </c>
      <c r="H28" s="89">
        <f t="shared" si="2"/>
        <v>0</v>
      </c>
      <c r="I28" s="115">
        <f t="shared" si="3"/>
        <v>0</v>
      </c>
      <c r="J28" s="116"/>
      <c r="K28" s="19">
        <f t="shared" si="4"/>
        <v>0</v>
      </c>
      <c r="L28" s="37"/>
      <c r="M28" s="16"/>
      <c r="N28" s="17"/>
      <c r="O28" s="18"/>
      <c r="P28" s="20">
        <f t="shared" si="5"/>
        <v>15</v>
      </c>
      <c r="Q28" s="89">
        <f t="shared" si="6"/>
        <v>0</v>
      </c>
      <c r="R28" s="117">
        <f t="shared" si="7"/>
        <v>0</v>
      </c>
      <c r="S28" s="118"/>
      <c r="T28" s="89">
        <f t="shared" si="8"/>
        <v>0</v>
      </c>
      <c r="U28" s="54" t="str">
        <f t="shared" si="9"/>
        <v>-</v>
      </c>
      <c r="V28" s="69" t="str">
        <f t="shared" si="10"/>
        <v>-</v>
      </c>
      <c r="W28" s="70" t="str">
        <f t="shared" si="11"/>
        <v>Vắng</v>
      </c>
      <c r="X28" s="72"/>
      <c r="Y28" s="72"/>
      <c r="Z28" s="15"/>
    </row>
    <row r="29" spans="2:26" ht="22.15" customHeight="1">
      <c r="B29" s="20">
        <f t="shared" si="0"/>
        <v>16</v>
      </c>
      <c r="C29" s="105"/>
      <c r="D29" s="106"/>
      <c r="E29" s="114"/>
      <c r="F29" s="120"/>
      <c r="G29" s="20">
        <f t="shared" si="1"/>
        <v>16</v>
      </c>
      <c r="H29" s="89">
        <f t="shared" si="2"/>
        <v>0</v>
      </c>
      <c r="I29" s="115">
        <f t="shared" si="3"/>
        <v>0</v>
      </c>
      <c r="J29" s="116"/>
      <c r="K29" s="19">
        <f t="shared" si="4"/>
        <v>0</v>
      </c>
      <c r="L29" s="37"/>
      <c r="M29" s="16"/>
      <c r="N29" s="17"/>
      <c r="O29" s="21"/>
      <c r="P29" s="20">
        <f t="shared" si="5"/>
        <v>16</v>
      </c>
      <c r="Q29" s="89">
        <f t="shared" si="6"/>
        <v>0</v>
      </c>
      <c r="R29" s="117">
        <f t="shared" si="7"/>
        <v>0</v>
      </c>
      <c r="S29" s="118"/>
      <c r="T29" s="89">
        <f t="shared" si="8"/>
        <v>0</v>
      </c>
      <c r="U29" s="54" t="str">
        <f t="shared" si="9"/>
        <v>-</v>
      </c>
      <c r="V29" s="69" t="str">
        <f t="shared" si="10"/>
        <v>-</v>
      </c>
      <c r="W29" s="70" t="str">
        <f t="shared" si="11"/>
        <v>Vắng</v>
      </c>
      <c r="X29" s="71"/>
      <c r="Z29" s="15"/>
    </row>
    <row r="30" spans="2:26" ht="34.15" customHeight="1">
      <c r="B30" s="7"/>
      <c r="C30" s="107" t="s">
        <v>43</v>
      </c>
      <c r="D30" s="9"/>
      <c r="E30" s="8"/>
      <c r="F30" s="108" t="s">
        <v>44</v>
      </c>
      <c r="G30" s="80"/>
      <c r="H30" s="163" t="s">
        <v>45</v>
      </c>
      <c r="I30" s="164"/>
      <c r="J30" s="16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45">
      <c r="C34" s="78" t="s">
        <v>51</v>
      </c>
      <c r="D34" s="8"/>
      <c r="E34" s="12" t="s">
        <v>52</v>
      </c>
      <c r="F34" s="12" t="s">
        <v>53</v>
      </c>
      <c r="G34" s="45" t="s">
        <v>54</v>
      </c>
      <c r="P34" s="55" t="s">
        <v>55</v>
      </c>
      <c r="Q34" s="57"/>
      <c r="R34" s="75"/>
      <c r="S34" s="55" t="s">
        <v>55</v>
      </c>
      <c r="T34" s="57"/>
      <c r="U34" s="60"/>
      <c r="V34" s="55" t="s">
        <v>56</v>
      </c>
      <c r="W34" s="60"/>
    </row>
    <row r="35" spans="2:23" ht="17.45">
      <c r="B35" s="8"/>
      <c r="G35" s="11" t="s">
        <v>57</v>
      </c>
      <c r="P35" s="61" t="s">
        <v>58</v>
      </c>
      <c r="Q35" s="62"/>
      <c r="R35" s="76"/>
      <c r="S35" s="61" t="s">
        <v>58</v>
      </c>
      <c r="T35" s="62"/>
      <c r="U35" s="38"/>
      <c r="V35" s="63" t="s">
        <v>59</v>
      </c>
      <c r="W35" s="38"/>
    </row>
    <row r="36" spans="2:23" ht="16.149999999999999" customHeight="1"/>
    <row r="37" spans="2:23" ht="16.149999999999999" customHeight="1"/>
  </sheetData>
  <sortState xmlns:xlrd2="http://schemas.microsoft.com/office/spreadsheetml/2017/richdata2" ref="B14:AA29">
    <sortCondition descending="1" ref="B14:B29"/>
  </sortState>
  <mergeCells count="30">
    <mergeCell ref="F12:F13"/>
    <mergeCell ref="G12:G13"/>
    <mergeCell ref="H12:H13"/>
    <mergeCell ref="G6:O6"/>
    <mergeCell ref="B2:D5"/>
    <mergeCell ref="E2:F5"/>
    <mergeCell ref="G2:I5"/>
    <mergeCell ref="N2:O2"/>
    <mergeCell ref="B11:C11"/>
    <mergeCell ref="B12:B13"/>
    <mergeCell ref="C12:C13"/>
    <mergeCell ref="D12:D13"/>
    <mergeCell ref="E12:E13"/>
    <mergeCell ref="I12:J13"/>
    <mergeCell ref="K12:K13"/>
    <mergeCell ref="O12:O13"/>
    <mergeCell ref="P2:R5"/>
    <mergeCell ref="J3:M5"/>
    <mergeCell ref="N3:O3"/>
    <mergeCell ref="S3:V5"/>
    <mergeCell ref="N4:O4"/>
    <mergeCell ref="N5:O5"/>
    <mergeCell ref="H30:J30"/>
    <mergeCell ref="V12:V13"/>
    <mergeCell ref="W12:W13"/>
    <mergeCell ref="P12:P13"/>
    <mergeCell ref="Q12:Q13"/>
    <mergeCell ref="R12:S13"/>
    <mergeCell ref="T12:T13"/>
    <mergeCell ref="U12:U13"/>
  </mergeCells>
  <conditionalFormatting sqref="C14:C29">
    <cfRule type="duplicateValues" dxfId="3" priority="5" stopIfTrue="1"/>
    <cfRule type="expression" dxfId="2" priority="6" stopIfTrue="1">
      <formula>AND(COUNTIF($C$1:$C$1280, C14)+COUNTIF($C$1282:$C$65363, C14)&gt;1,NOT(ISBLANK(C14)))</formula>
    </cfRule>
    <cfRule type="expression" dxfId="1" priority="7" stopIfTrue="1">
      <formula>AND(COUNTIF($C$1:$C$1283, C14)+COUNTIF($C$1284:$C$65363, C14)&gt;1,NOT(ISBLANK(C14)))</formula>
    </cfRule>
    <cfRule type="expression" dxfId="0" priority="8" stopIfTrue="1">
      <formula>AND(COUNTIF($C$1:$C$1389, C14)+COUNTIF($C$1402:$C$65363, C14)&gt;1,NOT(ISBLANK(C14)))</formula>
    </cfRule>
  </conditionalFormatting>
  <pageMargins left="0.7" right="0.43" top="0.41" bottom="0.46"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5F7CD27CA57E54F8FB35F5E7015F17A" ma:contentTypeVersion="18" ma:contentTypeDescription="Create a new document." ma:contentTypeScope="" ma:versionID="27cd29f35ef61252847d4b0f628a7f06">
  <xsd:schema xmlns:xsd="http://www.w3.org/2001/XMLSchema" xmlns:xs="http://www.w3.org/2001/XMLSchema" xmlns:p="http://schemas.microsoft.com/office/2006/metadata/properties" xmlns:ns2="22573080-bcca-47a7-8375-c58533d274af" xmlns:ns3="50157133-5f7b-42e0-9b94-ede48f368558" targetNamespace="http://schemas.microsoft.com/office/2006/metadata/properties" ma:root="true" ma:fieldsID="0279bd86f18df07e8042c5726e17a066" ns2:_="" ns3:_="">
    <xsd:import namespace="22573080-bcca-47a7-8375-c58533d274af"/>
    <xsd:import namespace="50157133-5f7b-42e0-9b94-ede48f36855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573080-bcca-47a7-8375-c58533d274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b740e5a-8837-4c3e-b512-0f975cc6772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157133-5f7b-42e0-9b94-ede48f36855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82fbc6c-96e7-4728-aa23-9aad2eec5add}" ma:internalName="TaxCatchAll" ma:showField="CatchAllData" ma:web="50157133-5f7b-42e0-9b94-ede48f36855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0157133-5f7b-42e0-9b94-ede48f368558" xsi:nil="true"/>
    <lcf76f155ced4ddcb4097134ff3c332f xmlns="22573080-bcca-47a7-8375-c58533d274a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A4D7BB-D812-4EFF-AE1D-0B1296AAFA26}"/>
</file>

<file path=customXml/itemProps2.xml><?xml version="1.0" encoding="utf-8"?>
<ds:datastoreItem xmlns:ds="http://schemas.openxmlformats.org/officeDocument/2006/customXml" ds:itemID="{E4C659B2-2A15-42BA-B40C-98BCF04C67BF}"/>
</file>

<file path=customXml/itemProps3.xml><?xml version="1.0" encoding="utf-8"?>
<ds:datastoreItem xmlns:ds="http://schemas.openxmlformats.org/officeDocument/2006/customXml" ds:itemID="{7AADC9C2-93B4-4F02-BFF9-7832FA4DB7A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nghiand</dc:creator>
  <cp:keywords/>
  <dc:description/>
  <cp:lastModifiedBy>Nguyen Cao Binh-VIAGS NBA</cp:lastModifiedBy>
  <cp:revision/>
  <dcterms:created xsi:type="dcterms:W3CDTF">2021-03-25T03:09:36Z</dcterms:created>
  <dcterms:modified xsi:type="dcterms:W3CDTF">2025-01-13T04:03:45Z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0x01010025F7CD27CA57E54F8FB35F5E7015F17A</vt:lpwstr>
  </property>
  <property fmtid="{D5CDD505-2E9C-101B-9397-08002B2CF9AE}" pid="3" name="MediaServiceImageTags">
    <vt:lpwstr/>
  </property>
</Properties>
</file>